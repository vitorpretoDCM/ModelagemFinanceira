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f89745635d9b7ab1/Profissional/"/>
    </mc:Choice>
  </mc:AlternateContent>
  <xr:revisionPtr revIDLastSave="6660" documentId="8_{CB7464C2-1CFA-4FC2-ADFC-6B2B8D3D2FE5}" xr6:coauthVersionLast="47" xr6:coauthVersionMax="47" xr10:uidLastSave="{D275F3BD-3CC7-477E-891C-B51136E4E92D}"/>
  <bookViews>
    <workbookView xWindow="-120" yWindow="-120" windowWidth="38640" windowHeight="21120" firstSheet="1" activeTab="3" xr2:uid="{1137D49B-182D-497D-AFC6-9523303EEBD7}"/>
  </bookViews>
  <sheets>
    <sheet name="CDI" sheetId="29" state="hidden" r:id="rId1"/>
    <sheet name="Inputs" sheetId="32" r:id="rId2"/>
    <sheet name="Curva DI" sheetId="38" r:id="rId3"/>
    <sheet name="Caixa" sheetId="34" r:id="rId4"/>
    <sheet name="Custos FIDC" sheetId="30" r:id="rId5"/>
    <sheet name="Carteira" sheetId="36" r:id="rId6"/>
    <sheet name="Classes" sheetId="37" r:id="rId7"/>
    <sheet name="Resultados" sheetId="39" r:id="rId8"/>
  </sheets>
  <externalReferences>
    <externalReference r:id="rId9"/>
  </externalReferences>
  <definedNames>
    <definedName name="_xlnm._FilterDatabase" localSheetId="5" hidden="1">Carteira!$A$1:$O$601</definedName>
    <definedName name="_xlchart.v1.0" hidden="1">Caixa!$B$57:$B$59</definedName>
    <definedName name="_xlchart.v1.1" hidden="1">Caixa!$C$57:$C$59</definedName>
    <definedName name="_xleta.DAY" hidden="1" xlm="1">#NAME?</definedName>
    <definedName name="_xleta.XLOOKUP" hidden="1" xlm="1">#NAME?</definedName>
    <definedName name="CDI">#REF!</definedName>
    <definedName name="CIQWBGuid">"2cd8126d-26c3-430c-b7fa-a069e3a1fc62"</definedName>
    <definedName name="Emissao">#REF!</definedName>
    <definedName name="F">[1]Aux!$A$1:$A$722</definedName>
    <definedName name="Integralizacao">#REF!</definedName>
    <definedName name="IQ_CH">110000</definedName>
    <definedName name="IQ_CQ">5000</definedName>
    <definedName name="IQ_CY">10000</definedName>
    <definedName name="IQ_DAILY">500000</definedName>
    <definedName name="IQ_DNTM">700000</definedName>
    <definedName name="IQ_FH">100000</definedName>
    <definedName name="IQ_FQ">500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Y">1000</definedName>
    <definedName name="IQ_LATESTK">1000</definedName>
    <definedName name="IQ_LATESTQ">500</definedName>
    <definedName name="IQ_LTM">2000</definedName>
    <definedName name="IQ_LTMMONTH">120000</definedName>
    <definedName name="IQ_MONTH">15000</definedName>
    <definedName name="IQ_MTD">800000</definedName>
    <definedName name="IQ_NAMES_REVISION_DATE_">"10/01/2018 15:52:08"</definedName>
    <definedName name="IQ_NTM">6000</definedName>
    <definedName name="IQ_QTD">750000</definedName>
    <definedName name="IQ_TODAY">0</definedName>
    <definedName name="IQ_WEEK">50000</definedName>
    <definedName name="IQ_YTD">3000</definedName>
    <definedName name="IQ_YTDMONTH">130000</definedName>
    <definedName name="Prazo">#REF!</definedName>
    <definedName name="Revolvencia">#REF!</definedName>
  </definedNames>
  <calcPr calcId="191028"/>
  <pivotCaches>
    <pivotCache cacheId="0" r:id="rId10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32" l="1"/>
  <c r="M22" i="32" s="1"/>
  <c r="N23" i="32"/>
  <c r="M23" i="32" s="1"/>
  <c r="N24" i="32"/>
  <c r="M24" i="32" s="1"/>
  <c r="N25" i="32"/>
  <c r="M25" i="32" s="1"/>
  <c r="N26" i="32"/>
  <c r="M26" i="32" s="1"/>
  <c r="N27" i="32"/>
  <c r="M27" i="32" s="1"/>
  <c r="N28" i="32"/>
  <c r="M28" i="32" s="1"/>
  <c r="N29" i="32"/>
  <c r="M29" i="32" s="1"/>
  <c r="N30" i="32"/>
  <c r="M30" i="32" s="1"/>
  <c r="N31" i="32"/>
  <c r="M31" i="32" s="1"/>
  <c r="N21" i="32"/>
  <c r="I22" i="32"/>
  <c r="I23" i="32"/>
  <c r="I24" i="32"/>
  <c r="I25" i="32"/>
  <c r="I26" i="32"/>
  <c r="I27" i="32"/>
  <c r="I28" i="32"/>
  <c r="I29" i="32"/>
  <c r="I30" i="32"/>
  <c r="H30" i="32" s="1"/>
  <c r="I31" i="32"/>
  <c r="H31" i="32" s="1"/>
  <c r="I21" i="32"/>
  <c r="H21" i="32" s="1"/>
  <c r="D22" i="32"/>
  <c r="D23" i="32"/>
  <c r="D24" i="32"/>
  <c r="D25" i="32"/>
  <c r="C25" i="32" s="1"/>
  <c r="D26" i="32"/>
  <c r="D27" i="32"/>
  <c r="D28" i="32"/>
  <c r="D29" i="32"/>
  <c r="D30" i="32"/>
  <c r="D31" i="32"/>
  <c r="D21" i="32"/>
  <c r="C21" i="32" s="1"/>
  <c r="N20" i="32"/>
  <c r="M20" i="32" s="1"/>
  <c r="I20" i="32"/>
  <c r="H20" i="32" s="1"/>
  <c r="D20" i="32"/>
  <c r="AG4" i="37"/>
  <c r="R4" i="37"/>
  <c r="H22" i="32"/>
  <c r="H23" i="32"/>
  <c r="H24" i="32"/>
  <c r="H25" i="32"/>
  <c r="H26" i="32"/>
  <c r="H27" i="32"/>
  <c r="H28" i="32"/>
  <c r="H29" i="32"/>
  <c r="C22" i="32"/>
  <c r="C23" i="32"/>
  <c r="C24" i="32"/>
  <c r="C26" i="32"/>
  <c r="C27" i="32"/>
  <c r="C28" i="32"/>
  <c r="C29" i="32"/>
  <c r="C30" i="32"/>
  <c r="C31" i="32"/>
  <c r="C20" i="32"/>
  <c r="AV9" i="37"/>
  <c r="AW9" i="37" s="1"/>
  <c r="AG13" i="37"/>
  <c r="AG14" i="37"/>
  <c r="AG15" i="37"/>
  <c r="AG16" i="37"/>
  <c r="AG17" i="37"/>
  <c r="AG18" i="37"/>
  <c r="AG19" i="37"/>
  <c r="AG20" i="37"/>
  <c r="AG21" i="37"/>
  <c r="AG22" i="37"/>
  <c r="AG23" i="37"/>
  <c r="AG24" i="37"/>
  <c r="AG25" i="37"/>
  <c r="AG26" i="37"/>
  <c r="AG27" i="37"/>
  <c r="AG28" i="37"/>
  <c r="AG29" i="37"/>
  <c r="AG30" i="37"/>
  <c r="AG31" i="37"/>
  <c r="AG32" i="37"/>
  <c r="AG33" i="37"/>
  <c r="AG34" i="37"/>
  <c r="AG35" i="37"/>
  <c r="AG36" i="37"/>
  <c r="AG37" i="37"/>
  <c r="AG38" i="37"/>
  <c r="AG39" i="37"/>
  <c r="AG40" i="37"/>
  <c r="AG41" i="37"/>
  <c r="AG42" i="37"/>
  <c r="AG43" i="37"/>
  <c r="AG44" i="37"/>
  <c r="AG45" i="37"/>
  <c r="AG46" i="37"/>
  <c r="AG47" i="37"/>
  <c r="AG48" i="37"/>
  <c r="AG49" i="37"/>
  <c r="AG50" i="37"/>
  <c r="AG51" i="37"/>
  <c r="AG52" i="37"/>
  <c r="AG53" i="37"/>
  <c r="AG54" i="37"/>
  <c r="AG55" i="37"/>
  <c r="AG56" i="37"/>
  <c r="AG57" i="37"/>
  <c r="AG58" i="37"/>
  <c r="AG59" i="37"/>
  <c r="AG60" i="37"/>
  <c r="AG61" i="37"/>
  <c r="AG62" i="37"/>
  <c r="AG63" i="37"/>
  <c r="AG64" i="37"/>
  <c r="AG65" i="37"/>
  <c r="AG66" i="37"/>
  <c r="AG67" i="37"/>
  <c r="AG68" i="37"/>
  <c r="AG69" i="37"/>
  <c r="AG70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V39" i="37"/>
  <c r="AV40" i="37"/>
  <c r="AV41" i="37"/>
  <c r="AV42" i="37"/>
  <c r="AV43" i="37"/>
  <c r="AV44" i="37"/>
  <c r="AV45" i="37"/>
  <c r="AV46" i="37"/>
  <c r="AV47" i="37"/>
  <c r="AV48" i="37"/>
  <c r="AV49" i="37"/>
  <c r="AV50" i="37"/>
  <c r="AV51" i="37"/>
  <c r="AV52" i="37"/>
  <c r="AV53" i="37"/>
  <c r="AV54" i="37"/>
  <c r="AV55" i="37"/>
  <c r="AV56" i="37"/>
  <c r="AV57" i="37"/>
  <c r="AV58" i="37"/>
  <c r="AV59" i="37"/>
  <c r="AV60" i="37"/>
  <c r="AV61" i="37"/>
  <c r="AV62" i="37"/>
  <c r="AV63" i="37"/>
  <c r="AV64" i="37"/>
  <c r="AV65" i="37"/>
  <c r="AV66" i="37"/>
  <c r="AV67" i="37"/>
  <c r="AV68" i="37"/>
  <c r="AV69" i="37"/>
  <c r="AV70" i="37"/>
  <c r="AV15" i="37"/>
  <c r="AV14" i="37"/>
  <c r="AV13" i="37"/>
  <c r="AV12" i="37"/>
  <c r="AG9" i="37"/>
  <c r="AH9" i="37" s="1"/>
  <c r="R9" i="37"/>
  <c r="S9" i="37" s="1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R54" i="37"/>
  <c r="R53" i="37"/>
  <c r="R52" i="37"/>
  <c r="R51" i="37"/>
  <c r="R50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AG12" i="37"/>
  <c r="T27" i="39"/>
  <c r="J27" i="39"/>
  <c r="I42" i="39"/>
  <c r="I43" i="39"/>
  <c r="I44" i="39"/>
  <c r="I98" i="39"/>
  <c r="I102" i="39"/>
  <c r="H42" i="39"/>
  <c r="G42" i="39"/>
  <c r="F42" i="39"/>
  <c r="E42" i="39"/>
  <c r="B43" i="39"/>
  <c r="B42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B62" i="39"/>
  <c r="B63" i="39"/>
  <c r="B64" i="39"/>
  <c r="B65" i="39"/>
  <c r="B66" i="39"/>
  <c r="B67" i="39"/>
  <c r="B68" i="39"/>
  <c r="B69" i="39"/>
  <c r="B70" i="39"/>
  <c r="B71" i="39"/>
  <c r="B72" i="39"/>
  <c r="B73" i="39"/>
  <c r="B74" i="39"/>
  <c r="B75" i="39"/>
  <c r="B76" i="39"/>
  <c r="B77" i="39"/>
  <c r="B78" i="39"/>
  <c r="B79" i="39"/>
  <c r="B80" i="39"/>
  <c r="B81" i="39"/>
  <c r="B82" i="39"/>
  <c r="B83" i="39"/>
  <c r="B84" i="39"/>
  <c r="B85" i="39"/>
  <c r="B86" i="39"/>
  <c r="B87" i="39"/>
  <c r="B88" i="39"/>
  <c r="B89" i="39"/>
  <c r="B90" i="39"/>
  <c r="B91" i="39"/>
  <c r="B92" i="39"/>
  <c r="B93" i="39"/>
  <c r="B94" i="39"/>
  <c r="B95" i="39"/>
  <c r="B96" i="39"/>
  <c r="B97" i="39"/>
  <c r="B98" i="39"/>
  <c r="B99" i="39"/>
  <c r="B100" i="39"/>
  <c r="B101" i="39"/>
  <c r="B102" i="39"/>
  <c r="C42" i="39"/>
  <c r="D42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82" i="39"/>
  <c r="A83" i="39"/>
  <c r="A84" i="39"/>
  <c r="A85" i="39"/>
  <c r="A86" i="39"/>
  <c r="A87" i="39"/>
  <c r="A88" i="39"/>
  <c r="A89" i="39"/>
  <c r="A90" i="39"/>
  <c r="A91" i="39"/>
  <c r="A92" i="39"/>
  <c r="A93" i="39"/>
  <c r="A94" i="39"/>
  <c r="A95" i="39"/>
  <c r="A96" i="39"/>
  <c r="A97" i="39"/>
  <c r="A98" i="39"/>
  <c r="A99" i="39"/>
  <c r="A100" i="39"/>
  <c r="A101" i="39"/>
  <c r="BK60" i="34"/>
  <c r="BJ60" i="34"/>
  <c r="I101" i="39" s="1"/>
  <c r="BI60" i="34"/>
  <c r="I100" i="39" s="1"/>
  <c r="BH60" i="34"/>
  <c r="I99" i="39" s="1"/>
  <c r="BG60" i="34"/>
  <c r="BF60" i="34"/>
  <c r="I97" i="39" s="1"/>
  <c r="BE60" i="34"/>
  <c r="I96" i="39" s="1"/>
  <c r="BD60" i="34"/>
  <c r="I95" i="39" s="1"/>
  <c r="BC60" i="34"/>
  <c r="I94" i="39" s="1"/>
  <c r="BB60" i="34"/>
  <c r="I93" i="39" s="1"/>
  <c r="BA60" i="34"/>
  <c r="I92" i="39" s="1"/>
  <c r="AZ60" i="34"/>
  <c r="I91" i="39" s="1"/>
  <c r="AY60" i="34"/>
  <c r="I90" i="39" s="1"/>
  <c r="AX60" i="34"/>
  <c r="I89" i="39" s="1"/>
  <c r="AW60" i="34"/>
  <c r="I88" i="39" s="1"/>
  <c r="AV60" i="34"/>
  <c r="I87" i="39" s="1"/>
  <c r="AU60" i="34"/>
  <c r="I86" i="39" s="1"/>
  <c r="AT60" i="34"/>
  <c r="I85" i="39" s="1"/>
  <c r="AS60" i="34"/>
  <c r="I84" i="39" s="1"/>
  <c r="AR60" i="34"/>
  <c r="I83" i="39" s="1"/>
  <c r="AQ60" i="34"/>
  <c r="I82" i="39" s="1"/>
  <c r="AP60" i="34"/>
  <c r="I81" i="39" s="1"/>
  <c r="AO60" i="34"/>
  <c r="I80" i="39" s="1"/>
  <c r="AN60" i="34"/>
  <c r="I79" i="39" s="1"/>
  <c r="AM60" i="34"/>
  <c r="I78" i="39" s="1"/>
  <c r="AL60" i="34"/>
  <c r="I77" i="39" s="1"/>
  <c r="AK60" i="34"/>
  <c r="I76" i="39" s="1"/>
  <c r="AJ60" i="34"/>
  <c r="I75" i="39" s="1"/>
  <c r="AI60" i="34"/>
  <c r="I74" i="39" s="1"/>
  <c r="AH60" i="34"/>
  <c r="I73" i="39" s="1"/>
  <c r="AG60" i="34"/>
  <c r="I72" i="39" s="1"/>
  <c r="AF60" i="34"/>
  <c r="I71" i="39" s="1"/>
  <c r="AE60" i="34"/>
  <c r="I70" i="39" s="1"/>
  <c r="AD60" i="34"/>
  <c r="I69" i="39" s="1"/>
  <c r="AC60" i="34"/>
  <c r="I68" i="39" s="1"/>
  <c r="AB60" i="34"/>
  <c r="I67" i="39" s="1"/>
  <c r="AA60" i="34"/>
  <c r="I66" i="39" s="1"/>
  <c r="Z60" i="34"/>
  <c r="I65" i="39" s="1"/>
  <c r="Y60" i="34"/>
  <c r="I64" i="39" s="1"/>
  <c r="X60" i="34"/>
  <c r="I63" i="39" s="1"/>
  <c r="W60" i="34"/>
  <c r="I62" i="39" s="1"/>
  <c r="V60" i="34"/>
  <c r="I61" i="39" s="1"/>
  <c r="U60" i="34"/>
  <c r="I60" i="39" s="1"/>
  <c r="T60" i="34"/>
  <c r="I59" i="39" s="1"/>
  <c r="S60" i="34"/>
  <c r="I58" i="39" s="1"/>
  <c r="R60" i="34"/>
  <c r="I57" i="39" s="1"/>
  <c r="Q60" i="34"/>
  <c r="I56" i="39" s="1"/>
  <c r="P60" i="34"/>
  <c r="I55" i="39" s="1"/>
  <c r="O60" i="34"/>
  <c r="I54" i="39" s="1"/>
  <c r="N60" i="34"/>
  <c r="I53" i="39" s="1"/>
  <c r="M60" i="34"/>
  <c r="I52" i="39" s="1"/>
  <c r="L60" i="34"/>
  <c r="I51" i="39" s="1"/>
  <c r="K60" i="34"/>
  <c r="I50" i="39" s="1"/>
  <c r="J60" i="34"/>
  <c r="I49" i="39" s="1"/>
  <c r="I60" i="34"/>
  <c r="I48" i="39" s="1"/>
  <c r="H60" i="34"/>
  <c r="I47" i="39" s="1"/>
  <c r="G60" i="34"/>
  <c r="I46" i="39" s="1"/>
  <c r="F60" i="34"/>
  <c r="I45" i="39" s="1"/>
  <c r="E60" i="34"/>
  <c r="D60" i="34"/>
  <c r="C60" i="34"/>
  <c r="A102" i="39"/>
  <c r="E67" i="34"/>
  <c r="F67" i="34" s="1"/>
  <c r="G67" i="34" s="1"/>
  <c r="H67" i="34" s="1"/>
  <c r="I67" i="34" s="1"/>
  <c r="J67" i="34" s="1"/>
  <c r="K67" i="34" s="1"/>
  <c r="L67" i="34" s="1"/>
  <c r="M67" i="34" s="1"/>
  <c r="N67" i="34" s="1"/>
  <c r="O67" i="34" s="1"/>
  <c r="P67" i="34" s="1"/>
  <c r="Q67" i="34" s="1"/>
  <c r="R67" i="34" s="1"/>
  <c r="S67" i="34" s="1"/>
  <c r="T67" i="34" s="1"/>
  <c r="U67" i="34" s="1"/>
  <c r="V67" i="34" s="1"/>
  <c r="W67" i="34" s="1"/>
  <c r="X67" i="34" s="1"/>
  <c r="Y67" i="34" s="1"/>
  <c r="Z67" i="34" s="1"/>
  <c r="AA67" i="34" s="1"/>
  <c r="AB67" i="34" s="1"/>
  <c r="AC67" i="34" s="1"/>
  <c r="AD67" i="34" s="1"/>
  <c r="AE67" i="34" s="1"/>
  <c r="AF67" i="34" s="1"/>
  <c r="AG67" i="34" s="1"/>
  <c r="AH67" i="34" s="1"/>
  <c r="AI67" i="34" s="1"/>
  <c r="AJ67" i="34" s="1"/>
  <c r="AK67" i="34" s="1"/>
  <c r="AL67" i="34" s="1"/>
  <c r="AM67" i="34" s="1"/>
  <c r="AN67" i="34" s="1"/>
  <c r="AO67" i="34" s="1"/>
  <c r="AP67" i="34" s="1"/>
  <c r="AQ67" i="34" s="1"/>
  <c r="AR67" i="34" s="1"/>
  <c r="AS67" i="34" s="1"/>
  <c r="AT67" i="34" s="1"/>
  <c r="AU67" i="34" s="1"/>
  <c r="AV67" i="34" s="1"/>
  <c r="AW67" i="34" s="1"/>
  <c r="AX67" i="34" s="1"/>
  <c r="AY67" i="34" s="1"/>
  <c r="AZ67" i="34" s="1"/>
  <c r="BA67" i="34" s="1"/>
  <c r="BB67" i="34" s="1"/>
  <c r="BC67" i="34" s="1"/>
  <c r="BD67" i="34" s="1"/>
  <c r="BE67" i="34" s="1"/>
  <c r="BF67" i="34" s="1"/>
  <c r="BG67" i="34" s="1"/>
  <c r="BH67" i="34" s="1"/>
  <c r="BI67" i="34" s="1"/>
  <c r="BJ67" i="34" s="1"/>
  <c r="BK67" i="34" s="1"/>
  <c r="C3" i="34"/>
  <c r="AK11" i="37"/>
  <c r="M31" i="39"/>
  <c r="M30" i="39"/>
  <c r="C31" i="39"/>
  <c r="C30" i="39"/>
  <c r="H4" i="39"/>
  <c r="G4" i="39"/>
  <c r="F4" i="39"/>
  <c r="E4" i="39"/>
  <c r="D4" i="39"/>
  <c r="L24" i="39"/>
  <c r="L22" i="39"/>
  <c r="B22" i="39"/>
  <c r="B24" i="39"/>
  <c r="N1" i="39"/>
  <c r="H21" i="39"/>
  <c r="G21" i="39"/>
  <c r="F21" i="39"/>
  <c r="E21" i="39"/>
  <c r="D21" i="39"/>
  <c r="M14" i="39"/>
  <c r="M13" i="39"/>
  <c r="L6" i="39"/>
  <c r="L5" i="39"/>
  <c r="AU9" i="37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2" i="36"/>
  <c r="C11" i="32"/>
  <c r="C56" i="34" s="1"/>
  <c r="C68" i="34" s="1"/>
  <c r="BC11" i="37"/>
  <c r="AU11" i="37"/>
  <c r="E11" i="37"/>
  <c r="AI11" i="37"/>
  <c r="AN11" i="37" s="1"/>
  <c r="B9" i="37"/>
  <c r="B11" i="37" s="1"/>
  <c r="A2" i="38"/>
  <c r="Q9" i="37"/>
  <c r="Q11" i="37" s="1"/>
  <c r="T11" i="37"/>
  <c r="E53" i="34"/>
  <c r="F53" i="34" s="1"/>
  <c r="G53" i="34" s="1"/>
  <c r="H53" i="34" s="1"/>
  <c r="I53" i="34" s="1"/>
  <c r="J53" i="34" s="1"/>
  <c r="K53" i="34" s="1"/>
  <c r="L53" i="34" s="1"/>
  <c r="M53" i="34" s="1"/>
  <c r="N53" i="34" s="1"/>
  <c r="O53" i="34" s="1"/>
  <c r="P53" i="34" s="1"/>
  <c r="Q53" i="34" s="1"/>
  <c r="R53" i="34" s="1"/>
  <c r="S53" i="34" s="1"/>
  <c r="T53" i="34" s="1"/>
  <c r="U53" i="34" s="1"/>
  <c r="V53" i="34" s="1"/>
  <c r="W53" i="34" s="1"/>
  <c r="X53" i="34" s="1"/>
  <c r="Y53" i="34" s="1"/>
  <c r="Z53" i="34" s="1"/>
  <c r="AA53" i="34" s="1"/>
  <c r="AB53" i="34" s="1"/>
  <c r="AC53" i="34" s="1"/>
  <c r="AD53" i="34" s="1"/>
  <c r="AE53" i="34" s="1"/>
  <c r="AF53" i="34" s="1"/>
  <c r="AG53" i="34" s="1"/>
  <c r="AH53" i="34" s="1"/>
  <c r="AI53" i="34" s="1"/>
  <c r="AJ53" i="34" s="1"/>
  <c r="AK53" i="34" s="1"/>
  <c r="AL53" i="34" s="1"/>
  <c r="AM53" i="34" s="1"/>
  <c r="AN53" i="34" s="1"/>
  <c r="AO53" i="34" s="1"/>
  <c r="AP53" i="34" s="1"/>
  <c r="AQ53" i="34" s="1"/>
  <c r="AR53" i="34" s="1"/>
  <c r="AS53" i="34" s="1"/>
  <c r="AT53" i="34" s="1"/>
  <c r="AU53" i="34" s="1"/>
  <c r="AV53" i="34" s="1"/>
  <c r="AW53" i="34" s="1"/>
  <c r="AX53" i="34" s="1"/>
  <c r="AY53" i="34" s="1"/>
  <c r="AZ53" i="34" s="1"/>
  <c r="BA53" i="34" s="1"/>
  <c r="BB53" i="34" s="1"/>
  <c r="BC53" i="34" s="1"/>
  <c r="BD53" i="34" s="1"/>
  <c r="BE53" i="34" s="1"/>
  <c r="BF53" i="34" s="1"/>
  <c r="BG53" i="34" s="1"/>
  <c r="BH53" i="34" s="1"/>
  <c r="BI53" i="34" s="1"/>
  <c r="BJ53" i="34" s="1"/>
  <c r="BK53" i="34" s="1"/>
  <c r="R6" i="37"/>
  <c r="C59" i="34"/>
  <c r="C71" i="34" s="1"/>
  <c r="C58" i="34"/>
  <c r="C70" i="34" s="1"/>
  <c r="C57" i="34"/>
  <c r="C69" i="34" s="1"/>
  <c r="AG5" i="37"/>
  <c r="AG6" i="37" s="1"/>
  <c r="R5" i="37"/>
  <c r="H2" i="38"/>
  <c r="BK36" i="34"/>
  <c r="BJ36" i="34"/>
  <c r="BI36" i="34"/>
  <c r="BH36" i="34"/>
  <c r="BG36" i="34"/>
  <c r="BF36" i="34"/>
  <c r="BE36" i="34"/>
  <c r="BD36" i="34"/>
  <c r="BC36" i="34"/>
  <c r="BB36" i="34"/>
  <c r="BA36" i="34"/>
  <c r="AZ36" i="34"/>
  <c r="AY36" i="34"/>
  <c r="AX36" i="34"/>
  <c r="AW36" i="34"/>
  <c r="AV36" i="34"/>
  <c r="AU36" i="34"/>
  <c r="AT36" i="34"/>
  <c r="Q9" i="39" s="1"/>
  <c r="AS36" i="34"/>
  <c r="AR36" i="34"/>
  <c r="AQ36" i="34"/>
  <c r="AP36" i="34"/>
  <c r="AO36" i="34"/>
  <c r="AN36" i="34"/>
  <c r="AM36" i="34"/>
  <c r="AL36" i="34"/>
  <c r="AK36" i="34"/>
  <c r="AJ36" i="34"/>
  <c r="AI36" i="34"/>
  <c r="AH36" i="34"/>
  <c r="AG36" i="34"/>
  <c r="AF36" i="34"/>
  <c r="AE36" i="34"/>
  <c r="AD36" i="34"/>
  <c r="AC36" i="34"/>
  <c r="AB36" i="34"/>
  <c r="AA36" i="34"/>
  <c r="Z36" i="34"/>
  <c r="Y36" i="34"/>
  <c r="X36" i="34"/>
  <c r="W36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L20" i="32"/>
  <c r="G20" i="32"/>
  <c r="AF9" i="37" s="1"/>
  <c r="AF11" i="37" s="1"/>
  <c r="AG11" i="37" s="1"/>
  <c r="B20" i="32"/>
  <c r="H282" i="38"/>
  <c r="H281" i="38"/>
  <c r="H280" i="38"/>
  <c r="H279" i="38"/>
  <c r="H278" i="38"/>
  <c r="H277" i="38"/>
  <c r="H276" i="38"/>
  <c r="H275" i="38"/>
  <c r="H274" i="38"/>
  <c r="H273" i="38"/>
  <c r="H272" i="38"/>
  <c r="H271" i="38"/>
  <c r="H270" i="38"/>
  <c r="H269" i="38"/>
  <c r="H268" i="38"/>
  <c r="H267" i="38"/>
  <c r="H266" i="38"/>
  <c r="H265" i="38"/>
  <c r="H264" i="38"/>
  <c r="H263" i="38"/>
  <c r="H262" i="38"/>
  <c r="H261" i="38"/>
  <c r="H260" i="38"/>
  <c r="H259" i="38"/>
  <c r="H258" i="38"/>
  <c r="H257" i="38"/>
  <c r="H256" i="38"/>
  <c r="H255" i="38"/>
  <c r="H254" i="38"/>
  <c r="H253" i="38"/>
  <c r="H252" i="38"/>
  <c r="H251" i="38"/>
  <c r="H250" i="38"/>
  <c r="H249" i="38"/>
  <c r="H248" i="38"/>
  <c r="H247" i="38"/>
  <c r="H246" i="38"/>
  <c r="H245" i="38"/>
  <c r="H244" i="38"/>
  <c r="H243" i="38"/>
  <c r="H242" i="38"/>
  <c r="H241" i="38"/>
  <c r="H240" i="38"/>
  <c r="H239" i="38"/>
  <c r="H238" i="38"/>
  <c r="H237" i="38"/>
  <c r="H236" i="38"/>
  <c r="H235" i="38"/>
  <c r="H234" i="38"/>
  <c r="H233" i="38"/>
  <c r="H232" i="38"/>
  <c r="H231" i="38"/>
  <c r="H230" i="38"/>
  <c r="H229" i="38"/>
  <c r="H228" i="38"/>
  <c r="H227" i="38"/>
  <c r="H226" i="38"/>
  <c r="H225" i="38"/>
  <c r="H224" i="38"/>
  <c r="H223" i="38"/>
  <c r="H222" i="38"/>
  <c r="H221" i="38"/>
  <c r="H220" i="38"/>
  <c r="H219" i="38"/>
  <c r="H218" i="38"/>
  <c r="H217" i="38"/>
  <c r="H216" i="38"/>
  <c r="H215" i="38"/>
  <c r="H214" i="38"/>
  <c r="H213" i="38"/>
  <c r="H212" i="38"/>
  <c r="H211" i="38"/>
  <c r="H210" i="38"/>
  <c r="H209" i="38"/>
  <c r="H208" i="38"/>
  <c r="H207" i="38"/>
  <c r="H206" i="38"/>
  <c r="H205" i="38"/>
  <c r="H204" i="38"/>
  <c r="H203" i="38"/>
  <c r="H202" i="38"/>
  <c r="H201" i="38"/>
  <c r="H200" i="38"/>
  <c r="H199" i="38"/>
  <c r="H198" i="38"/>
  <c r="H197" i="38"/>
  <c r="H196" i="38"/>
  <c r="H195" i="38"/>
  <c r="H194" i="38"/>
  <c r="H193" i="38"/>
  <c r="H192" i="38"/>
  <c r="H191" i="38"/>
  <c r="H190" i="38"/>
  <c r="H189" i="38"/>
  <c r="H188" i="38"/>
  <c r="H187" i="38"/>
  <c r="H186" i="38"/>
  <c r="H185" i="38"/>
  <c r="H184" i="38"/>
  <c r="H183" i="38"/>
  <c r="H182" i="38"/>
  <c r="H181" i="38"/>
  <c r="H180" i="38"/>
  <c r="H179" i="38"/>
  <c r="H178" i="38"/>
  <c r="H177" i="38"/>
  <c r="H176" i="38"/>
  <c r="H175" i="38"/>
  <c r="H174" i="38"/>
  <c r="H173" i="38"/>
  <c r="H172" i="38"/>
  <c r="H171" i="38"/>
  <c r="H170" i="38"/>
  <c r="H169" i="38"/>
  <c r="H168" i="38"/>
  <c r="H167" i="38"/>
  <c r="H166" i="38"/>
  <c r="H165" i="38"/>
  <c r="H164" i="38"/>
  <c r="H163" i="38"/>
  <c r="H162" i="38"/>
  <c r="H161" i="38"/>
  <c r="H160" i="38"/>
  <c r="H159" i="38"/>
  <c r="H158" i="38"/>
  <c r="H157" i="38"/>
  <c r="H156" i="38"/>
  <c r="H155" i="38"/>
  <c r="H154" i="38"/>
  <c r="H153" i="38"/>
  <c r="H152" i="38"/>
  <c r="H151" i="38"/>
  <c r="H150" i="38"/>
  <c r="H149" i="38"/>
  <c r="H148" i="38"/>
  <c r="H147" i="38"/>
  <c r="H146" i="38"/>
  <c r="H145" i="38"/>
  <c r="H144" i="38"/>
  <c r="H143" i="38"/>
  <c r="H142" i="38"/>
  <c r="H141" i="38"/>
  <c r="H140" i="38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H8" i="38"/>
  <c r="H7" i="38"/>
  <c r="H6" i="38"/>
  <c r="H5" i="38"/>
  <c r="H4" i="38"/>
  <c r="H3" i="38"/>
  <c r="E2" i="34"/>
  <c r="D2" i="36"/>
  <c r="J4" i="39" l="1"/>
  <c r="J21" i="39"/>
  <c r="H27" i="39"/>
  <c r="R27" i="39"/>
  <c r="R9" i="39"/>
  <c r="H9" i="39"/>
  <c r="G27" i="39"/>
  <c r="Q27" i="39"/>
  <c r="G9" i="39"/>
  <c r="F27" i="39"/>
  <c r="P27" i="39"/>
  <c r="P9" i="39"/>
  <c r="F9" i="39"/>
  <c r="E27" i="39"/>
  <c r="O27" i="39"/>
  <c r="O9" i="39"/>
  <c r="E9" i="39"/>
  <c r="AH11" i="37"/>
  <c r="AV11" i="37"/>
  <c r="Y11" i="37"/>
  <c r="V11" i="37"/>
  <c r="E2" i="36"/>
  <c r="D3" i="36"/>
  <c r="B12" i="37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B28" i="37" s="1"/>
  <c r="B29" i="37" s="1"/>
  <c r="B30" i="37" s="1"/>
  <c r="B31" i="37" s="1"/>
  <c r="B32" i="37" s="1"/>
  <c r="B33" i="37" s="1"/>
  <c r="B34" i="37" s="1"/>
  <c r="B35" i="37" s="1"/>
  <c r="B36" i="37" s="1"/>
  <c r="B37" i="37" s="1"/>
  <c r="B38" i="37" s="1"/>
  <c r="B39" i="37" s="1"/>
  <c r="B40" i="37" s="1"/>
  <c r="B41" i="37" s="1"/>
  <c r="B42" i="37" s="1"/>
  <c r="B43" i="37" s="1"/>
  <c r="B44" i="37" s="1"/>
  <c r="B45" i="37" s="1"/>
  <c r="B46" i="37" s="1"/>
  <c r="B47" i="37" s="1"/>
  <c r="B48" i="37" s="1"/>
  <c r="B49" i="37" s="1"/>
  <c r="B50" i="37" s="1"/>
  <c r="B51" i="37" s="1"/>
  <c r="B52" i="37" s="1"/>
  <c r="B53" i="37" s="1"/>
  <c r="B54" i="37" s="1"/>
  <c r="B55" i="37" s="1"/>
  <c r="B56" i="37" s="1"/>
  <c r="B57" i="37" s="1"/>
  <c r="B58" i="37" s="1"/>
  <c r="B59" i="37" s="1"/>
  <c r="B60" i="37" s="1"/>
  <c r="B61" i="37" s="1"/>
  <c r="B62" i="37" s="1"/>
  <c r="B63" i="37" s="1"/>
  <c r="B64" i="37" s="1"/>
  <c r="B65" i="37" s="1"/>
  <c r="B66" i="37" s="1"/>
  <c r="B67" i="37" s="1"/>
  <c r="B68" i="37" s="1"/>
  <c r="B69" i="37" s="1"/>
  <c r="B70" i="37" s="1"/>
  <c r="F2" i="34"/>
  <c r="G2" i="34" s="1"/>
  <c r="H2" i="34" s="1"/>
  <c r="I2" i="34" s="1"/>
  <c r="J2" i="34" s="1"/>
  <c r="K2" i="34" s="1"/>
  <c r="L2" i="34" s="1"/>
  <c r="M2" i="34" s="1"/>
  <c r="N2" i="34" s="1"/>
  <c r="O2" i="34" s="1"/>
  <c r="P2" i="34" s="1"/>
  <c r="Q2" i="34" s="1"/>
  <c r="R2" i="34" s="1"/>
  <c r="S2" i="34" s="1"/>
  <c r="T2" i="34" s="1"/>
  <c r="U2" i="34" s="1"/>
  <c r="V2" i="34" s="1"/>
  <c r="W2" i="34" s="1"/>
  <c r="X2" i="34" s="1"/>
  <c r="Y2" i="34" s="1"/>
  <c r="Z2" i="34" s="1"/>
  <c r="AA2" i="34" s="1"/>
  <c r="AB2" i="34" s="1"/>
  <c r="AC2" i="34" s="1"/>
  <c r="AD2" i="34" s="1"/>
  <c r="AE2" i="34" s="1"/>
  <c r="AF2" i="34" s="1"/>
  <c r="AG2" i="34" s="1"/>
  <c r="AH2" i="34" s="1"/>
  <c r="AI2" i="34" s="1"/>
  <c r="AJ2" i="34" s="1"/>
  <c r="AK2" i="34" s="1"/>
  <c r="AL2" i="34" s="1"/>
  <c r="AM2" i="34" s="1"/>
  <c r="AN2" i="34" s="1"/>
  <c r="AO2" i="34" s="1"/>
  <c r="AP2" i="34" s="1"/>
  <c r="AQ2" i="34" s="1"/>
  <c r="AR2" i="34" s="1"/>
  <c r="AS2" i="34" s="1"/>
  <c r="AT2" i="34" s="1"/>
  <c r="AU2" i="34" s="1"/>
  <c r="AV2" i="34" s="1"/>
  <c r="AW2" i="34" s="1"/>
  <c r="AX2" i="34" s="1"/>
  <c r="AY2" i="34" s="1"/>
  <c r="AZ2" i="34" s="1"/>
  <c r="BA2" i="34" s="1"/>
  <c r="BB2" i="34" s="1"/>
  <c r="BC2" i="34" s="1"/>
  <c r="BD2" i="34" s="1"/>
  <c r="BE2" i="34" s="1"/>
  <c r="BF2" i="34" s="1"/>
  <c r="BG2" i="34" s="1"/>
  <c r="BH2" i="34" s="1"/>
  <c r="BI2" i="34" s="1"/>
  <c r="BJ2" i="34" s="1"/>
  <c r="BK2" i="34" s="1"/>
  <c r="M2" i="36" l="1"/>
  <c r="N2" i="36" s="1"/>
  <c r="O2" i="36" s="1"/>
  <c r="E3" i="36"/>
  <c r="D4" i="36"/>
  <c r="Q12" i="37"/>
  <c r="R11" i="37"/>
  <c r="J11" i="37"/>
  <c r="A273" i="38"/>
  <c r="A274" i="38"/>
  <c r="A275" i="38"/>
  <c r="A276" i="38"/>
  <c r="A277" i="38"/>
  <c r="A278" i="38"/>
  <c r="A279" i="38"/>
  <c r="A280" i="38"/>
  <c r="A281" i="38"/>
  <c r="A282" i="38"/>
  <c r="A8" i="38"/>
  <c r="A11" i="38"/>
  <c r="A13" i="38"/>
  <c r="A14" i="38"/>
  <c r="A18" i="38"/>
  <c r="A7" i="38"/>
  <c r="A21" i="38"/>
  <c r="A10" i="38"/>
  <c r="A17" i="38"/>
  <c r="A5" i="38"/>
  <c r="A23" i="38"/>
  <c r="A28" i="38"/>
  <c r="A30" i="38"/>
  <c r="A32" i="38"/>
  <c r="A6" i="38"/>
  <c r="A22" i="38"/>
  <c r="A25" i="38"/>
  <c r="A31" i="38"/>
  <c r="A4" i="38"/>
  <c r="A27" i="38"/>
  <c r="A3" i="38"/>
  <c r="A24" i="38"/>
  <c r="A29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9" i="38"/>
  <c r="A12" i="38"/>
  <c r="A15" i="38"/>
  <c r="A16" i="38"/>
  <c r="A26" i="38"/>
  <c r="A203" i="38"/>
  <c r="A204" i="38"/>
  <c r="A205" i="38"/>
  <c r="A206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160" i="38"/>
  <c r="A161" i="38"/>
  <c r="A162" i="38"/>
  <c r="A163" i="38"/>
  <c r="A164" i="38"/>
  <c r="A165" i="38"/>
  <c r="A50" i="38"/>
  <c r="A48" i="38"/>
  <c r="A44" i="38"/>
  <c r="A42" i="38"/>
  <c r="A40" i="38"/>
  <c r="A39" i="38"/>
  <c r="A38" i="38"/>
  <c r="A37" i="38"/>
  <c r="A36" i="38"/>
  <c r="A35" i="38"/>
  <c r="A33" i="38"/>
  <c r="A20" i="38"/>
  <c r="A98" i="38"/>
  <c r="A95" i="38"/>
  <c r="A92" i="38"/>
  <c r="A90" i="38"/>
  <c r="A88" i="38"/>
  <c r="A85" i="38"/>
  <c r="A83" i="38"/>
  <c r="A82" i="38"/>
  <c r="A80" i="38"/>
  <c r="A77" i="38"/>
  <c r="A74" i="38"/>
  <c r="A71" i="38"/>
  <c r="A70" i="38"/>
  <c r="A68" i="38"/>
  <c r="A66" i="38"/>
  <c r="A64" i="38"/>
  <c r="A62" i="38"/>
  <c r="A60" i="38"/>
  <c r="A58" i="38"/>
  <c r="A56" i="38"/>
  <c r="A54" i="38"/>
  <c r="A52" i="38"/>
  <c r="A51" i="38"/>
  <c r="A49" i="38"/>
  <c r="A46" i="38"/>
  <c r="A45" i="38"/>
  <c r="A43" i="38"/>
  <c r="A41" i="38"/>
  <c r="A34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9" i="38"/>
  <c r="A96" i="38"/>
  <c r="A73" i="38"/>
  <c r="A101" i="38"/>
  <c r="A97" i="38"/>
  <c r="A93" i="38"/>
  <c r="A89" i="38"/>
  <c r="A86" i="38"/>
  <c r="A79" i="38"/>
  <c r="A47" i="38"/>
  <c r="A100" i="38"/>
  <c r="A99" i="38"/>
  <c r="A94" i="38"/>
  <c r="A91" i="38"/>
  <c r="A87" i="38"/>
  <c r="A84" i="38"/>
  <c r="A81" i="38"/>
  <c r="A78" i="38"/>
  <c r="A76" i="38"/>
  <c r="A75" i="38"/>
  <c r="A72" i="38"/>
  <c r="A69" i="38"/>
  <c r="A67" i="38"/>
  <c r="A65" i="38"/>
  <c r="A63" i="38"/>
  <c r="A61" i="38"/>
  <c r="A59" i="38"/>
  <c r="A57" i="38"/>
  <c r="A55" i="38"/>
  <c r="A53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M3" i="36" l="1"/>
  <c r="N3" i="36" s="1"/>
  <c r="O3" i="36" s="1"/>
  <c r="E4" i="36"/>
  <c r="D5" i="36"/>
  <c r="S11" i="37"/>
  <c r="C11" i="37"/>
  <c r="Q13" i="37"/>
  <c r="L11" i="37"/>
  <c r="J12" i="37"/>
  <c r="BC12" i="37"/>
  <c r="BE11" i="37"/>
  <c r="M4" i="36" l="1"/>
  <c r="N4" i="36" s="1"/>
  <c r="O4" i="36" s="1"/>
  <c r="D6" i="36"/>
  <c r="E5" i="36"/>
  <c r="J13" i="37"/>
  <c r="L12" i="37"/>
  <c r="Q14" i="37"/>
  <c r="BC13" i="37"/>
  <c r="BE12" i="37"/>
  <c r="M5" i="36" l="1"/>
  <c r="N5" i="36" s="1"/>
  <c r="O5" i="36" s="1"/>
  <c r="D7" i="36"/>
  <c r="E6" i="36"/>
  <c r="L13" i="37"/>
  <c r="J14" i="37"/>
  <c r="Q15" i="37"/>
  <c r="BC14" i="37"/>
  <c r="BE13" i="37"/>
  <c r="E7" i="36" l="1"/>
  <c r="M7" i="36" s="1"/>
  <c r="N7" i="36" s="1"/>
  <c r="O7" i="36" s="1"/>
  <c r="D8" i="36"/>
  <c r="M6" i="36"/>
  <c r="N6" i="36" s="1"/>
  <c r="O6" i="36" s="1"/>
  <c r="J15" i="37"/>
  <c r="L14" i="37"/>
  <c r="Q16" i="37"/>
  <c r="BC15" i="37"/>
  <c r="BE14" i="37"/>
  <c r="J16" i="37"/>
  <c r="L15" i="37"/>
  <c r="E8" i="36" l="1"/>
  <c r="M8" i="36" s="1"/>
  <c r="N8" i="36" s="1"/>
  <c r="O8" i="36" s="1"/>
  <c r="D9" i="36"/>
  <c r="Q17" i="37"/>
  <c r="BC16" i="37"/>
  <c r="BE15" i="37"/>
  <c r="J17" i="37"/>
  <c r="L16" i="37"/>
  <c r="E9" i="36" l="1"/>
  <c r="M9" i="36" s="1"/>
  <c r="N9" i="36" s="1"/>
  <c r="O9" i="36" s="1"/>
  <c r="D10" i="36"/>
  <c r="Q18" i="37"/>
  <c r="BC17" i="37"/>
  <c r="BE16" i="37"/>
  <c r="L17" i="37"/>
  <c r="J18" i="37"/>
  <c r="E10" i="36" l="1"/>
  <c r="M10" i="36" s="1"/>
  <c r="N10" i="36" s="1"/>
  <c r="O10" i="36" s="1"/>
  <c r="D11" i="36"/>
  <c r="Q19" i="37"/>
  <c r="BC18" i="37"/>
  <c r="BE17" i="37"/>
  <c r="J19" i="37"/>
  <c r="L18" i="37"/>
  <c r="E11" i="36" l="1"/>
  <c r="M11" i="36" s="1"/>
  <c r="N11" i="36" s="1"/>
  <c r="O11" i="36" s="1"/>
  <c r="D12" i="36"/>
  <c r="Q20" i="37"/>
  <c r="BC19" i="37"/>
  <c r="BE18" i="37"/>
  <c r="L19" i="37"/>
  <c r="J20" i="37"/>
  <c r="E12" i="36" l="1"/>
  <c r="M12" i="36" s="1"/>
  <c r="N12" i="36" s="1"/>
  <c r="O12" i="36" s="1"/>
  <c r="D13" i="36"/>
  <c r="Q21" i="37"/>
  <c r="BC20" i="37"/>
  <c r="BE19" i="37"/>
  <c r="J21" i="37"/>
  <c r="L20" i="37"/>
  <c r="E13" i="36" l="1"/>
  <c r="M13" i="36" s="1"/>
  <c r="N13" i="36" s="1"/>
  <c r="O13" i="36" s="1"/>
  <c r="D14" i="36"/>
  <c r="Q22" i="37"/>
  <c r="BC21" i="37"/>
  <c r="BE20" i="37"/>
  <c r="J22" i="37"/>
  <c r="L21" i="37"/>
  <c r="E14" i="36" l="1"/>
  <c r="M14" i="36" s="1"/>
  <c r="N14" i="36" s="1"/>
  <c r="O14" i="36" s="1"/>
  <c r="D15" i="36"/>
  <c r="Q23" i="37"/>
  <c r="BC22" i="37"/>
  <c r="BE21" i="37"/>
  <c r="J23" i="37"/>
  <c r="L22" i="37"/>
  <c r="E15" i="36" l="1"/>
  <c r="M15" i="36" s="1"/>
  <c r="N15" i="36" s="1"/>
  <c r="O15" i="36" s="1"/>
  <c r="D16" i="36"/>
  <c r="Q24" i="37"/>
  <c r="BC23" i="37"/>
  <c r="BE22" i="37"/>
  <c r="J24" i="37"/>
  <c r="L23" i="37"/>
  <c r="E16" i="36" l="1"/>
  <c r="M16" i="36" s="1"/>
  <c r="N16" i="36" s="1"/>
  <c r="O16" i="36" s="1"/>
  <c r="D17" i="36"/>
  <c r="Q25" i="37"/>
  <c r="BC24" i="37"/>
  <c r="BE23" i="37"/>
  <c r="J25" i="37"/>
  <c r="L24" i="37"/>
  <c r="E17" i="36" l="1"/>
  <c r="M17" i="36" s="1"/>
  <c r="N17" i="36" s="1"/>
  <c r="O17" i="36" s="1"/>
  <c r="D18" i="36"/>
  <c r="Q26" i="37"/>
  <c r="BC25" i="37"/>
  <c r="BE24" i="37"/>
  <c r="J26" i="37"/>
  <c r="L25" i="37"/>
  <c r="E18" i="36" l="1"/>
  <c r="M18" i="36" s="1"/>
  <c r="N18" i="36" s="1"/>
  <c r="O18" i="36" s="1"/>
  <c r="D19" i="36"/>
  <c r="Q27" i="37"/>
  <c r="BC26" i="37"/>
  <c r="BE25" i="37"/>
  <c r="J27" i="37"/>
  <c r="L26" i="37"/>
  <c r="E19" i="36" l="1"/>
  <c r="M19" i="36" s="1"/>
  <c r="N19" i="36" s="1"/>
  <c r="O19" i="36" s="1"/>
  <c r="D20" i="36"/>
  <c r="Q28" i="37"/>
  <c r="BC27" i="37"/>
  <c r="BE26" i="37"/>
  <c r="J28" i="37"/>
  <c r="L27" i="37"/>
  <c r="E20" i="36" l="1"/>
  <c r="M20" i="36" s="1"/>
  <c r="N20" i="36" s="1"/>
  <c r="O20" i="36" s="1"/>
  <c r="D21" i="36"/>
  <c r="Q29" i="37"/>
  <c r="BC28" i="37"/>
  <c r="BE27" i="37"/>
  <c r="J29" i="37"/>
  <c r="L28" i="37"/>
  <c r="E21" i="36" l="1"/>
  <c r="M21" i="36" s="1"/>
  <c r="N21" i="36" s="1"/>
  <c r="O21" i="36" s="1"/>
  <c r="D22" i="36"/>
  <c r="Q30" i="37"/>
  <c r="BE28" i="37"/>
  <c r="BC29" i="37"/>
  <c r="J30" i="37"/>
  <c r="L29" i="37"/>
  <c r="E22" i="36" l="1"/>
  <c r="M22" i="36" s="1"/>
  <c r="N22" i="36" s="1"/>
  <c r="O22" i="36" s="1"/>
  <c r="D23" i="36"/>
  <c r="Q31" i="37"/>
  <c r="BE29" i="37"/>
  <c r="BC30" i="37"/>
  <c r="J31" i="37"/>
  <c r="L30" i="37"/>
  <c r="E23" i="36" l="1"/>
  <c r="M23" i="36" s="1"/>
  <c r="N23" i="36" s="1"/>
  <c r="O23" i="36" s="1"/>
  <c r="D24" i="36"/>
  <c r="Q32" i="37"/>
  <c r="BC31" i="37"/>
  <c r="BE30" i="37"/>
  <c r="J32" i="37"/>
  <c r="L31" i="37"/>
  <c r="E24" i="36" l="1"/>
  <c r="M24" i="36" s="1"/>
  <c r="N24" i="36" s="1"/>
  <c r="O24" i="36" s="1"/>
  <c r="D25" i="36"/>
  <c r="Q33" i="37"/>
  <c r="BE31" i="37"/>
  <c r="BC32" i="37"/>
  <c r="J33" i="37"/>
  <c r="L32" i="37"/>
  <c r="E25" i="36" l="1"/>
  <c r="M25" i="36" s="1"/>
  <c r="N25" i="36" s="1"/>
  <c r="O25" i="36" s="1"/>
  <c r="D26" i="36"/>
  <c r="Q34" i="37"/>
  <c r="BE32" i="37"/>
  <c r="BC33" i="37"/>
  <c r="J34" i="37"/>
  <c r="L33" i="37"/>
  <c r="E26" i="36" l="1"/>
  <c r="M26" i="36" s="1"/>
  <c r="N26" i="36" s="1"/>
  <c r="O26" i="36" s="1"/>
  <c r="D27" i="36"/>
  <c r="Q35" i="37"/>
  <c r="BE33" i="37"/>
  <c r="BC34" i="37"/>
  <c r="J35" i="37"/>
  <c r="L34" i="37"/>
  <c r="E27" i="36" l="1"/>
  <c r="M27" i="36" s="1"/>
  <c r="N27" i="36" s="1"/>
  <c r="O27" i="36" s="1"/>
  <c r="D28" i="36"/>
  <c r="Q36" i="37"/>
  <c r="BE34" i="37"/>
  <c r="BC35" i="37"/>
  <c r="L35" i="37"/>
  <c r="J36" i="37"/>
  <c r="E28" i="36" l="1"/>
  <c r="M28" i="36" s="1"/>
  <c r="N28" i="36" s="1"/>
  <c r="O28" i="36" s="1"/>
  <c r="D29" i="36"/>
  <c r="Q37" i="37"/>
  <c r="BE35" i="37"/>
  <c r="BC36" i="37"/>
  <c r="J37" i="37"/>
  <c r="L36" i="37"/>
  <c r="E29" i="36" l="1"/>
  <c r="M29" i="36" s="1"/>
  <c r="N29" i="36" s="1"/>
  <c r="O29" i="36" s="1"/>
  <c r="D30" i="36"/>
  <c r="Q38" i="37"/>
  <c r="BE36" i="37"/>
  <c r="BC37" i="37"/>
  <c r="J38" i="37"/>
  <c r="L37" i="37"/>
  <c r="E30" i="36" l="1"/>
  <c r="M30" i="36" s="1"/>
  <c r="N30" i="36" s="1"/>
  <c r="O30" i="36" s="1"/>
  <c r="D31" i="36"/>
  <c r="Q39" i="37"/>
  <c r="BE37" i="37"/>
  <c r="BC38" i="37"/>
  <c r="J39" i="37"/>
  <c r="L38" i="37"/>
  <c r="E31" i="36" l="1"/>
  <c r="M31" i="36" s="1"/>
  <c r="N31" i="36" s="1"/>
  <c r="O31" i="36" s="1"/>
  <c r="D32" i="36"/>
  <c r="Q40" i="37"/>
  <c r="BC39" i="37"/>
  <c r="BE38" i="37"/>
  <c r="J40" i="37"/>
  <c r="L39" i="37"/>
  <c r="E32" i="36" l="1"/>
  <c r="M32" i="36" s="1"/>
  <c r="N32" i="36" s="1"/>
  <c r="O32" i="36" s="1"/>
  <c r="D33" i="36"/>
  <c r="Q41" i="37"/>
  <c r="BC40" i="37"/>
  <c r="BE39" i="37"/>
  <c r="J41" i="37"/>
  <c r="L40" i="37"/>
  <c r="E33" i="36" l="1"/>
  <c r="M33" i="36" s="1"/>
  <c r="N33" i="36" s="1"/>
  <c r="O33" i="36" s="1"/>
  <c r="D34" i="36"/>
  <c r="Q42" i="37"/>
  <c r="BC41" i="37"/>
  <c r="BE40" i="37"/>
  <c r="J42" i="37"/>
  <c r="L41" i="37"/>
  <c r="E34" i="36" l="1"/>
  <c r="M34" i="36" s="1"/>
  <c r="N34" i="36" s="1"/>
  <c r="O34" i="36" s="1"/>
  <c r="D35" i="36"/>
  <c r="Q43" i="37"/>
  <c r="BC42" i="37"/>
  <c r="BE41" i="37"/>
  <c r="L42" i="37"/>
  <c r="J43" i="37"/>
  <c r="E35" i="36" l="1"/>
  <c r="M35" i="36" s="1"/>
  <c r="N35" i="36" s="1"/>
  <c r="O35" i="36" s="1"/>
  <c r="D36" i="36"/>
  <c r="Q44" i="37"/>
  <c r="BC43" i="37"/>
  <c r="BE42" i="37"/>
  <c r="J44" i="37"/>
  <c r="L43" i="37"/>
  <c r="E36" i="36" l="1"/>
  <c r="M36" i="36" s="1"/>
  <c r="N36" i="36" s="1"/>
  <c r="O36" i="36" s="1"/>
  <c r="D37" i="36"/>
  <c r="Q45" i="37"/>
  <c r="BC44" i="37"/>
  <c r="BE43" i="37"/>
  <c r="J45" i="37"/>
  <c r="L44" i="37"/>
  <c r="E37" i="36" l="1"/>
  <c r="M37" i="36" s="1"/>
  <c r="N37" i="36" s="1"/>
  <c r="O37" i="36" s="1"/>
  <c r="D38" i="36"/>
  <c r="Q46" i="37"/>
  <c r="BC45" i="37"/>
  <c r="BE44" i="37"/>
  <c r="J46" i="37"/>
  <c r="L45" i="37"/>
  <c r="E38" i="36" l="1"/>
  <c r="M38" i="36" s="1"/>
  <c r="N38" i="36" s="1"/>
  <c r="O38" i="36" s="1"/>
  <c r="D39" i="36"/>
  <c r="Q47" i="37"/>
  <c r="BC46" i="37"/>
  <c r="BE45" i="37"/>
  <c r="J47" i="37"/>
  <c r="L46" i="37"/>
  <c r="E39" i="36" l="1"/>
  <c r="M39" i="36" s="1"/>
  <c r="N39" i="36" s="1"/>
  <c r="O39" i="36" s="1"/>
  <c r="D40" i="36"/>
  <c r="Q48" i="37"/>
  <c r="BC47" i="37"/>
  <c r="BE46" i="37"/>
  <c r="J48" i="37"/>
  <c r="L47" i="37"/>
  <c r="E40" i="36" l="1"/>
  <c r="M40" i="36" s="1"/>
  <c r="N40" i="36" s="1"/>
  <c r="O40" i="36" s="1"/>
  <c r="D41" i="36"/>
  <c r="Q49" i="37"/>
  <c r="BE47" i="37"/>
  <c r="BC48" i="37"/>
  <c r="J49" i="37"/>
  <c r="L48" i="37"/>
  <c r="E41" i="36" l="1"/>
  <c r="M41" i="36" s="1"/>
  <c r="N41" i="36" s="1"/>
  <c r="O41" i="36" s="1"/>
  <c r="D42" i="36"/>
  <c r="Q50" i="37"/>
  <c r="BE48" i="37"/>
  <c r="BC49" i="37"/>
  <c r="J50" i="37"/>
  <c r="L49" i="37"/>
  <c r="E42" i="36" l="1"/>
  <c r="M42" i="36" s="1"/>
  <c r="N42" i="36" s="1"/>
  <c r="O42" i="36" s="1"/>
  <c r="D43" i="36"/>
  <c r="Q51" i="37"/>
  <c r="BE49" i="37"/>
  <c r="BC50" i="37"/>
  <c r="J51" i="37"/>
  <c r="L50" i="37"/>
  <c r="E43" i="36" l="1"/>
  <c r="M43" i="36" s="1"/>
  <c r="N43" i="36" s="1"/>
  <c r="O43" i="36" s="1"/>
  <c r="D44" i="36"/>
  <c r="Q52" i="37"/>
  <c r="BC51" i="37"/>
  <c r="BE50" i="37"/>
  <c r="J52" i="37"/>
  <c r="L51" i="37"/>
  <c r="E44" i="36" l="1"/>
  <c r="M44" i="36" s="1"/>
  <c r="N44" i="36" s="1"/>
  <c r="O44" i="36" s="1"/>
  <c r="D45" i="36"/>
  <c r="Q53" i="37"/>
  <c r="BE51" i="37"/>
  <c r="BC52" i="37"/>
  <c r="J53" i="37"/>
  <c r="L52" i="37"/>
  <c r="E45" i="36" l="1"/>
  <c r="M45" i="36" s="1"/>
  <c r="N45" i="36" s="1"/>
  <c r="O45" i="36" s="1"/>
  <c r="D46" i="36"/>
  <c r="Q54" i="37"/>
  <c r="BE52" i="37"/>
  <c r="BC53" i="37"/>
  <c r="J54" i="37"/>
  <c r="L53" i="37"/>
  <c r="E46" i="36" l="1"/>
  <c r="M46" i="36" s="1"/>
  <c r="N46" i="36" s="1"/>
  <c r="O46" i="36" s="1"/>
  <c r="D47" i="36"/>
  <c r="Q55" i="37"/>
  <c r="BE53" i="37"/>
  <c r="BC54" i="37"/>
  <c r="J55" i="37"/>
  <c r="L54" i="37"/>
  <c r="E47" i="36" l="1"/>
  <c r="M47" i="36" s="1"/>
  <c r="N47" i="36" s="1"/>
  <c r="O47" i="36" s="1"/>
  <c r="D48" i="36"/>
  <c r="Q56" i="37"/>
  <c r="BE54" i="37"/>
  <c r="BC55" i="37"/>
  <c r="J56" i="37"/>
  <c r="L55" i="37"/>
  <c r="E48" i="36" l="1"/>
  <c r="M48" i="36" s="1"/>
  <c r="N48" i="36" s="1"/>
  <c r="O48" i="36" s="1"/>
  <c r="D49" i="36"/>
  <c r="Q57" i="37"/>
  <c r="BE55" i="37"/>
  <c r="BC56" i="37"/>
  <c r="J57" i="37"/>
  <c r="L56" i="37"/>
  <c r="E49" i="36" l="1"/>
  <c r="M49" i="36" s="1"/>
  <c r="N49" i="36" s="1"/>
  <c r="O49" i="36" s="1"/>
  <c r="D50" i="36"/>
  <c r="Q58" i="37"/>
  <c r="BC57" i="37"/>
  <c r="BE56" i="37"/>
  <c r="J58" i="37"/>
  <c r="L57" i="37"/>
  <c r="E50" i="36" l="1"/>
  <c r="M50" i="36" s="1"/>
  <c r="N50" i="36" s="1"/>
  <c r="O50" i="36" s="1"/>
  <c r="D51" i="36"/>
  <c r="Q59" i="37"/>
  <c r="BE57" i="37"/>
  <c r="BC58" i="37"/>
  <c r="J59" i="37"/>
  <c r="L58" i="37"/>
  <c r="E51" i="36" l="1"/>
  <c r="M51" i="36" s="1"/>
  <c r="N51" i="36" s="1"/>
  <c r="O51" i="36" s="1"/>
  <c r="D52" i="36"/>
  <c r="Q60" i="37"/>
  <c r="BC59" i="37"/>
  <c r="BE58" i="37"/>
  <c r="J60" i="37"/>
  <c r="L59" i="37"/>
  <c r="E52" i="36" l="1"/>
  <c r="M52" i="36" s="1"/>
  <c r="N52" i="36" s="1"/>
  <c r="O52" i="36" s="1"/>
  <c r="D53" i="36"/>
  <c r="Q61" i="37"/>
  <c r="BE59" i="37"/>
  <c r="BC60" i="37"/>
  <c r="J61" i="37"/>
  <c r="L60" i="37"/>
  <c r="E53" i="36" l="1"/>
  <c r="M53" i="36" s="1"/>
  <c r="N53" i="36" s="1"/>
  <c r="O53" i="36" s="1"/>
  <c r="D54" i="36"/>
  <c r="Q62" i="37"/>
  <c r="BE60" i="37"/>
  <c r="BC61" i="37"/>
  <c r="L61" i="37"/>
  <c r="J62" i="37"/>
  <c r="E54" i="36" l="1"/>
  <c r="M54" i="36" s="1"/>
  <c r="N54" i="36" s="1"/>
  <c r="O54" i="36" s="1"/>
  <c r="D55" i="36"/>
  <c r="Q63" i="37"/>
  <c r="BE61" i="37"/>
  <c r="BC62" i="37"/>
  <c r="L62" i="37"/>
  <c r="J63" i="37"/>
  <c r="E55" i="36" l="1"/>
  <c r="M55" i="36" s="1"/>
  <c r="N55" i="36" s="1"/>
  <c r="O55" i="36" s="1"/>
  <c r="D56" i="36"/>
  <c r="Q64" i="37"/>
  <c r="BE62" i="37"/>
  <c r="BC63" i="37"/>
  <c r="J64" i="37"/>
  <c r="L63" i="37"/>
  <c r="E56" i="36" l="1"/>
  <c r="M56" i="36" s="1"/>
  <c r="N56" i="36" s="1"/>
  <c r="O56" i="36" s="1"/>
  <c r="D57" i="36"/>
  <c r="Q65" i="37"/>
  <c r="BE63" i="37"/>
  <c r="BC64" i="37"/>
  <c r="J65" i="37"/>
  <c r="L64" i="37"/>
  <c r="E57" i="36" l="1"/>
  <c r="M57" i="36" s="1"/>
  <c r="N57" i="36" s="1"/>
  <c r="O57" i="36" s="1"/>
  <c r="D58" i="36"/>
  <c r="Q66" i="37"/>
  <c r="BC65" i="37"/>
  <c r="BE64" i="37"/>
  <c r="J66" i="37"/>
  <c r="L65" i="37"/>
  <c r="E58" i="36" l="1"/>
  <c r="M58" i="36" s="1"/>
  <c r="N58" i="36" s="1"/>
  <c r="O58" i="36" s="1"/>
  <c r="D59" i="36"/>
  <c r="Q67" i="37"/>
  <c r="BE65" i="37"/>
  <c r="BC66" i="37"/>
  <c r="L66" i="37"/>
  <c r="J67" i="37"/>
  <c r="E59" i="36" l="1"/>
  <c r="M59" i="36" s="1"/>
  <c r="N59" i="36" s="1"/>
  <c r="O59" i="36" s="1"/>
  <c r="D60" i="36"/>
  <c r="Q68" i="37"/>
  <c r="BE66" i="37"/>
  <c r="BC67" i="37"/>
  <c r="J68" i="37"/>
  <c r="L67" i="37"/>
  <c r="E60" i="36" l="1"/>
  <c r="M60" i="36" s="1"/>
  <c r="N60" i="36" s="1"/>
  <c r="O60" i="36" s="1"/>
  <c r="D61" i="36"/>
  <c r="E61" i="36" s="1"/>
  <c r="M61" i="36" s="1"/>
  <c r="N61" i="36" s="1"/>
  <c r="O61" i="36" s="1"/>
  <c r="Q69" i="37"/>
  <c r="BC68" i="37"/>
  <c r="BE67" i="37"/>
  <c r="J69" i="37"/>
  <c r="L68" i="37"/>
  <c r="D37" i="34"/>
  <c r="D36" i="34" s="1"/>
  <c r="C14" i="39"/>
  <c r="C13" i="39"/>
  <c r="B6" i="39"/>
  <c r="B5" i="39"/>
  <c r="D27" i="39" l="1"/>
  <c r="N27" i="39"/>
  <c r="N9" i="39"/>
  <c r="T9" i="39" s="1"/>
  <c r="D9" i="39"/>
  <c r="J9" i="39" s="1"/>
  <c r="Q70" i="37"/>
  <c r="BE68" i="37"/>
  <c r="BC69" i="37"/>
  <c r="J70" i="37"/>
  <c r="L70" i="37" s="1"/>
  <c r="L69" i="37"/>
  <c r="AW11" i="37"/>
  <c r="AF12" i="37"/>
  <c r="BK34" i="34"/>
  <c r="BJ34" i="34"/>
  <c r="BI34" i="34"/>
  <c r="BH34" i="34"/>
  <c r="BG34" i="34"/>
  <c r="BF34" i="34"/>
  <c r="BE34" i="34"/>
  <c r="BD34" i="34"/>
  <c r="BC34" i="34"/>
  <c r="BB34" i="34"/>
  <c r="BA34" i="34"/>
  <c r="AZ34" i="34"/>
  <c r="AY34" i="34"/>
  <c r="AX34" i="34"/>
  <c r="AW34" i="34"/>
  <c r="AV34" i="34"/>
  <c r="AU34" i="34"/>
  <c r="AT34" i="34"/>
  <c r="AS34" i="34"/>
  <c r="AR34" i="34"/>
  <c r="AQ34" i="34"/>
  <c r="AP34" i="34"/>
  <c r="AO34" i="34"/>
  <c r="AN34" i="34"/>
  <c r="AM34" i="34"/>
  <c r="AL34" i="34"/>
  <c r="AK34" i="34"/>
  <c r="AJ34" i="34"/>
  <c r="AI34" i="34"/>
  <c r="AH34" i="34"/>
  <c r="AG34" i="34"/>
  <c r="AF34" i="34"/>
  <c r="AE34" i="34"/>
  <c r="AD34" i="34"/>
  <c r="AC34" i="34"/>
  <c r="AB34" i="34"/>
  <c r="AA34" i="34"/>
  <c r="Z34" i="34"/>
  <c r="Y34" i="34"/>
  <c r="X34" i="34"/>
  <c r="W34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G21" i="30"/>
  <c r="G20" i="30"/>
  <c r="D3" i="34"/>
  <c r="E3" i="34"/>
  <c r="I3" i="38"/>
  <c r="J3" i="38" s="1"/>
  <c r="I4" i="38"/>
  <c r="J4" i="38" s="1"/>
  <c r="I5" i="38"/>
  <c r="J5" i="38" s="1"/>
  <c r="I6" i="38"/>
  <c r="J6" i="38" s="1"/>
  <c r="I7" i="38"/>
  <c r="J7" i="38" s="1"/>
  <c r="I8" i="38"/>
  <c r="J8" i="38" s="1"/>
  <c r="I9" i="38"/>
  <c r="J9" i="38" s="1"/>
  <c r="I10" i="38"/>
  <c r="J10" i="38" s="1"/>
  <c r="I11" i="38"/>
  <c r="J11" i="38" s="1"/>
  <c r="I12" i="38"/>
  <c r="J12" i="38" s="1"/>
  <c r="I13" i="38"/>
  <c r="J13" i="38" s="1"/>
  <c r="I14" i="38"/>
  <c r="J14" i="38" s="1"/>
  <c r="I15" i="38"/>
  <c r="J15" i="38" s="1"/>
  <c r="I16" i="38"/>
  <c r="J16" i="38" s="1"/>
  <c r="I17" i="38"/>
  <c r="J17" i="38" s="1"/>
  <c r="I18" i="38"/>
  <c r="J18" i="38" s="1"/>
  <c r="I19" i="38"/>
  <c r="J19" i="38" s="1"/>
  <c r="I20" i="38"/>
  <c r="J20" i="38" s="1"/>
  <c r="I21" i="38"/>
  <c r="J21" i="38" s="1"/>
  <c r="I22" i="38"/>
  <c r="J22" i="38" s="1"/>
  <c r="I23" i="38"/>
  <c r="J23" i="38" s="1"/>
  <c r="I24" i="38"/>
  <c r="J24" i="38" s="1"/>
  <c r="I25" i="38"/>
  <c r="J25" i="38" s="1"/>
  <c r="I26" i="38"/>
  <c r="J26" i="38" s="1"/>
  <c r="I27" i="38"/>
  <c r="J27" i="38" s="1"/>
  <c r="I28" i="38"/>
  <c r="J28" i="38" s="1"/>
  <c r="I29" i="38"/>
  <c r="J29" i="38" s="1"/>
  <c r="I30" i="38"/>
  <c r="J30" i="38" s="1"/>
  <c r="I31" i="38"/>
  <c r="J31" i="38" s="1"/>
  <c r="I32" i="38"/>
  <c r="J32" i="38" s="1"/>
  <c r="I33" i="38"/>
  <c r="J33" i="38" s="1"/>
  <c r="I34" i="38"/>
  <c r="J34" i="38" s="1"/>
  <c r="I35" i="38"/>
  <c r="J35" i="38" s="1"/>
  <c r="I36" i="38"/>
  <c r="J36" i="38" s="1"/>
  <c r="I37" i="38"/>
  <c r="J37" i="38" s="1"/>
  <c r="I38" i="38"/>
  <c r="J38" i="38" s="1"/>
  <c r="I39" i="38"/>
  <c r="J39" i="38" s="1"/>
  <c r="I40" i="38"/>
  <c r="J40" i="38" s="1"/>
  <c r="I41" i="38"/>
  <c r="J41" i="38" s="1"/>
  <c r="I42" i="38"/>
  <c r="J42" i="38" s="1"/>
  <c r="I43" i="38"/>
  <c r="J43" i="38" s="1"/>
  <c r="I44" i="38"/>
  <c r="J44" i="38" s="1"/>
  <c r="I45" i="38"/>
  <c r="J45" i="38" s="1"/>
  <c r="I46" i="38"/>
  <c r="J46" i="38" s="1"/>
  <c r="I47" i="38"/>
  <c r="J47" i="38" s="1"/>
  <c r="I48" i="38"/>
  <c r="J48" i="38" s="1"/>
  <c r="I49" i="38"/>
  <c r="J49" i="38" s="1"/>
  <c r="I50" i="38"/>
  <c r="J50" i="38" s="1"/>
  <c r="I51" i="38"/>
  <c r="J51" i="38" s="1"/>
  <c r="I52" i="38"/>
  <c r="J52" i="38" s="1"/>
  <c r="I53" i="38"/>
  <c r="J53" i="38" s="1"/>
  <c r="I54" i="38"/>
  <c r="J54" i="38" s="1"/>
  <c r="I55" i="38"/>
  <c r="J55" i="38" s="1"/>
  <c r="I56" i="38"/>
  <c r="J56" i="38" s="1"/>
  <c r="I57" i="38"/>
  <c r="J57" i="38" s="1"/>
  <c r="I58" i="38"/>
  <c r="J58" i="38" s="1"/>
  <c r="I59" i="38"/>
  <c r="J59" i="38" s="1"/>
  <c r="I60" i="38"/>
  <c r="J60" i="38" s="1"/>
  <c r="I61" i="38"/>
  <c r="J61" i="38" s="1"/>
  <c r="I62" i="38"/>
  <c r="J62" i="38" s="1"/>
  <c r="I63" i="38"/>
  <c r="J63" i="38" s="1"/>
  <c r="I64" i="38"/>
  <c r="J64" i="38" s="1"/>
  <c r="I65" i="38"/>
  <c r="J65" i="38" s="1"/>
  <c r="I66" i="38"/>
  <c r="J66" i="38" s="1"/>
  <c r="I67" i="38"/>
  <c r="J67" i="38" s="1"/>
  <c r="I68" i="38"/>
  <c r="J68" i="38" s="1"/>
  <c r="I69" i="38"/>
  <c r="J69" i="38" s="1"/>
  <c r="I70" i="38"/>
  <c r="J70" i="38" s="1"/>
  <c r="I71" i="38"/>
  <c r="J71" i="38" s="1"/>
  <c r="I72" i="38"/>
  <c r="J72" i="38" s="1"/>
  <c r="I73" i="38"/>
  <c r="J73" i="38" s="1"/>
  <c r="I74" i="38"/>
  <c r="J74" i="38" s="1"/>
  <c r="I75" i="38"/>
  <c r="J75" i="38" s="1"/>
  <c r="I76" i="38"/>
  <c r="J76" i="38" s="1"/>
  <c r="I77" i="38"/>
  <c r="J77" i="38" s="1"/>
  <c r="I78" i="38"/>
  <c r="J78" i="38" s="1"/>
  <c r="I79" i="38"/>
  <c r="J79" i="38" s="1"/>
  <c r="I80" i="38"/>
  <c r="J80" i="38" s="1"/>
  <c r="I81" i="38"/>
  <c r="J81" i="38" s="1"/>
  <c r="I82" i="38"/>
  <c r="J82" i="38" s="1"/>
  <c r="I83" i="38"/>
  <c r="J83" i="38" s="1"/>
  <c r="I84" i="38"/>
  <c r="J84" i="38" s="1"/>
  <c r="I85" i="38"/>
  <c r="J85" i="38" s="1"/>
  <c r="I86" i="38"/>
  <c r="J86" i="38" s="1"/>
  <c r="I87" i="38"/>
  <c r="J87" i="38" s="1"/>
  <c r="I88" i="38"/>
  <c r="J88" i="38" s="1"/>
  <c r="I89" i="38"/>
  <c r="J89" i="38" s="1"/>
  <c r="I90" i="38"/>
  <c r="J90" i="38" s="1"/>
  <c r="I91" i="38"/>
  <c r="J91" i="38" s="1"/>
  <c r="I92" i="38"/>
  <c r="J92" i="38" s="1"/>
  <c r="I93" i="38"/>
  <c r="J93" i="38" s="1"/>
  <c r="I94" i="38"/>
  <c r="J94" i="38" s="1"/>
  <c r="I95" i="38"/>
  <c r="J95" i="38" s="1"/>
  <c r="I96" i="38"/>
  <c r="J96" i="38" s="1"/>
  <c r="I97" i="38"/>
  <c r="J97" i="38" s="1"/>
  <c r="I98" i="38"/>
  <c r="J98" i="38" s="1"/>
  <c r="I99" i="38"/>
  <c r="J99" i="38" s="1"/>
  <c r="I100" i="38"/>
  <c r="J100" i="38" s="1"/>
  <c r="I101" i="38"/>
  <c r="J101" i="38" s="1"/>
  <c r="I102" i="38"/>
  <c r="J102" i="38" s="1"/>
  <c r="I103" i="38"/>
  <c r="J103" i="38" s="1"/>
  <c r="I104" i="38"/>
  <c r="J104" i="38" s="1"/>
  <c r="I105" i="38"/>
  <c r="J105" i="38" s="1"/>
  <c r="I106" i="38"/>
  <c r="J106" i="38" s="1"/>
  <c r="I107" i="38"/>
  <c r="J107" i="38" s="1"/>
  <c r="I108" i="38"/>
  <c r="J108" i="38" s="1"/>
  <c r="I109" i="38"/>
  <c r="J109" i="38" s="1"/>
  <c r="I110" i="38"/>
  <c r="J110" i="38" s="1"/>
  <c r="I111" i="38"/>
  <c r="J111" i="38" s="1"/>
  <c r="I112" i="38"/>
  <c r="J112" i="38" s="1"/>
  <c r="I113" i="38"/>
  <c r="J113" i="38" s="1"/>
  <c r="I114" i="38"/>
  <c r="J114" i="38" s="1"/>
  <c r="I115" i="38"/>
  <c r="J115" i="38" s="1"/>
  <c r="I116" i="38"/>
  <c r="J116" i="38" s="1"/>
  <c r="I117" i="38"/>
  <c r="J117" i="38" s="1"/>
  <c r="I118" i="38"/>
  <c r="J118" i="38" s="1"/>
  <c r="I119" i="38"/>
  <c r="J119" i="38" s="1"/>
  <c r="I120" i="38"/>
  <c r="J120" i="38" s="1"/>
  <c r="I121" i="38"/>
  <c r="J121" i="38" s="1"/>
  <c r="I122" i="38"/>
  <c r="J122" i="38" s="1"/>
  <c r="I123" i="38"/>
  <c r="J123" i="38" s="1"/>
  <c r="I124" i="38"/>
  <c r="J124" i="38" s="1"/>
  <c r="I125" i="38"/>
  <c r="J125" i="38" s="1"/>
  <c r="I126" i="38"/>
  <c r="J126" i="38" s="1"/>
  <c r="I127" i="38"/>
  <c r="J127" i="38" s="1"/>
  <c r="I128" i="38"/>
  <c r="J128" i="38" s="1"/>
  <c r="I129" i="38"/>
  <c r="J129" i="38" s="1"/>
  <c r="I130" i="38"/>
  <c r="J130" i="38" s="1"/>
  <c r="I131" i="38"/>
  <c r="J131" i="38" s="1"/>
  <c r="I132" i="38"/>
  <c r="J132" i="38" s="1"/>
  <c r="I133" i="38"/>
  <c r="J133" i="38" s="1"/>
  <c r="I134" i="38"/>
  <c r="J134" i="38" s="1"/>
  <c r="I135" i="38"/>
  <c r="J135" i="38" s="1"/>
  <c r="I136" i="38"/>
  <c r="J136" i="38" s="1"/>
  <c r="I137" i="38"/>
  <c r="J137" i="38" s="1"/>
  <c r="I138" i="38"/>
  <c r="J138" i="38" s="1"/>
  <c r="I139" i="38"/>
  <c r="J139" i="38" s="1"/>
  <c r="I140" i="38"/>
  <c r="J140" i="38" s="1"/>
  <c r="I141" i="38"/>
  <c r="J141" i="38" s="1"/>
  <c r="I142" i="38"/>
  <c r="J142" i="38" s="1"/>
  <c r="I143" i="38"/>
  <c r="J143" i="38" s="1"/>
  <c r="I144" i="38"/>
  <c r="J144" i="38" s="1"/>
  <c r="I145" i="38"/>
  <c r="J145" i="38" s="1"/>
  <c r="I146" i="38"/>
  <c r="J146" i="38" s="1"/>
  <c r="I147" i="38"/>
  <c r="J147" i="38" s="1"/>
  <c r="I148" i="38"/>
  <c r="J148" i="38" s="1"/>
  <c r="I149" i="38"/>
  <c r="J149" i="38" s="1"/>
  <c r="I150" i="38"/>
  <c r="J150" i="38" s="1"/>
  <c r="I151" i="38"/>
  <c r="J151" i="38" s="1"/>
  <c r="I152" i="38"/>
  <c r="J152" i="38" s="1"/>
  <c r="I153" i="38"/>
  <c r="J153" i="38" s="1"/>
  <c r="I154" i="38"/>
  <c r="J154" i="38" s="1"/>
  <c r="I155" i="38"/>
  <c r="J155" i="38" s="1"/>
  <c r="I156" i="38"/>
  <c r="J156" i="38" s="1"/>
  <c r="I157" i="38"/>
  <c r="J157" i="38" s="1"/>
  <c r="I158" i="38"/>
  <c r="J158" i="38" s="1"/>
  <c r="I159" i="38"/>
  <c r="J159" i="38" s="1"/>
  <c r="I160" i="38"/>
  <c r="J160" i="38" s="1"/>
  <c r="I161" i="38"/>
  <c r="J161" i="38" s="1"/>
  <c r="I162" i="38"/>
  <c r="J162" i="38" s="1"/>
  <c r="I163" i="38"/>
  <c r="J163" i="38" s="1"/>
  <c r="I164" i="38"/>
  <c r="J164" i="38" s="1"/>
  <c r="I165" i="38"/>
  <c r="J165" i="38" s="1"/>
  <c r="I166" i="38"/>
  <c r="J166" i="38" s="1"/>
  <c r="I167" i="38"/>
  <c r="J167" i="38" s="1"/>
  <c r="I168" i="38"/>
  <c r="J168" i="38" s="1"/>
  <c r="I169" i="38"/>
  <c r="J169" i="38" s="1"/>
  <c r="I170" i="38"/>
  <c r="J170" i="38" s="1"/>
  <c r="I171" i="38"/>
  <c r="J171" i="38" s="1"/>
  <c r="I172" i="38"/>
  <c r="J172" i="38" s="1"/>
  <c r="I173" i="38"/>
  <c r="J173" i="38" s="1"/>
  <c r="I174" i="38"/>
  <c r="J174" i="38" s="1"/>
  <c r="I175" i="38"/>
  <c r="J175" i="38" s="1"/>
  <c r="I176" i="38"/>
  <c r="J176" i="38" s="1"/>
  <c r="I177" i="38"/>
  <c r="J177" i="38" s="1"/>
  <c r="I178" i="38"/>
  <c r="J178" i="38" s="1"/>
  <c r="I179" i="38"/>
  <c r="J179" i="38" s="1"/>
  <c r="I180" i="38"/>
  <c r="J180" i="38" s="1"/>
  <c r="I181" i="38"/>
  <c r="J181" i="38" s="1"/>
  <c r="I182" i="38"/>
  <c r="J182" i="38" s="1"/>
  <c r="I183" i="38"/>
  <c r="J183" i="38" s="1"/>
  <c r="I184" i="38"/>
  <c r="J184" i="38" s="1"/>
  <c r="I185" i="38"/>
  <c r="J185" i="38" s="1"/>
  <c r="I186" i="38"/>
  <c r="J186" i="38" s="1"/>
  <c r="I187" i="38"/>
  <c r="J187" i="38" s="1"/>
  <c r="I188" i="38"/>
  <c r="J188" i="38" s="1"/>
  <c r="I189" i="38"/>
  <c r="J189" i="38" s="1"/>
  <c r="I190" i="38"/>
  <c r="J190" i="38" s="1"/>
  <c r="I191" i="38"/>
  <c r="J191" i="38" s="1"/>
  <c r="I192" i="38"/>
  <c r="J192" i="38" s="1"/>
  <c r="I193" i="38"/>
  <c r="J193" i="38" s="1"/>
  <c r="I194" i="38"/>
  <c r="J194" i="38" s="1"/>
  <c r="I195" i="38"/>
  <c r="J195" i="38" s="1"/>
  <c r="I196" i="38"/>
  <c r="J196" i="38" s="1"/>
  <c r="I197" i="38"/>
  <c r="J197" i="38" s="1"/>
  <c r="I198" i="38"/>
  <c r="J198" i="38" s="1"/>
  <c r="I199" i="38"/>
  <c r="J199" i="38" s="1"/>
  <c r="I200" i="38"/>
  <c r="J200" i="38" s="1"/>
  <c r="I201" i="38"/>
  <c r="J201" i="38" s="1"/>
  <c r="I202" i="38"/>
  <c r="J202" i="38" s="1"/>
  <c r="I203" i="38"/>
  <c r="J203" i="38" s="1"/>
  <c r="I204" i="38"/>
  <c r="J204" i="38" s="1"/>
  <c r="I205" i="38"/>
  <c r="J205" i="38" s="1"/>
  <c r="I206" i="38"/>
  <c r="J206" i="38" s="1"/>
  <c r="I207" i="38"/>
  <c r="J207" i="38" s="1"/>
  <c r="I208" i="38"/>
  <c r="J208" i="38" s="1"/>
  <c r="I209" i="38"/>
  <c r="J209" i="38" s="1"/>
  <c r="I210" i="38"/>
  <c r="J210" i="38" s="1"/>
  <c r="I211" i="38"/>
  <c r="J211" i="38" s="1"/>
  <c r="I212" i="38"/>
  <c r="J212" i="38" s="1"/>
  <c r="I213" i="38"/>
  <c r="J213" i="38" s="1"/>
  <c r="I214" i="38"/>
  <c r="J214" i="38" s="1"/>
  <c r="I215" i="38"/>
  <c r="J215" i="38" s="1"/>
  <c r="I216" i="38"/>
  <c r="J216" i="38" s="1"/>
  <c r="I217" i="38"/>
  <c r="J217" i="38" s="1"/>
  <c r="I218" i="38"/>
  <c r="J218" i="38" s="1"/>
  <c r="I219" i="38"/>
  <c r="J219" i="38" s="1"/>
  <c r="I220" i="38"/>
  <c r="J220" i="38" s="1"/>
  <c r="I221" i="38"/>
  <c r="J221" i="38" s="1"/>
  <c r="I222" i="38"/>
  <c r="J222" i="38" s="1"/>
  <c r="I223" i="38"/>
  <c r="J223" i="38" s="1"/>
  <c r="I224" i="38"/>
  <c r="J224" i="38" s="1"/>
  <c r="I225" i="38"/>
  <c r="J225" i="38" s="1"/>
  <c r="I226" i="38"/>
  <c r="J226" i="38" s="1"/>
  <c r="I227" i="38"/>
  <c r="J227" i="38" s="1"/>
  <c r="I228" i="38"/>
  <c r="J228" i="38" s="1"/>
  <c r="I229" i="38"/>
  <c r="J229" i="38" s="1"/>
  <c r="I230" i="38"/>
  <c r="J230" i="38" s="1"/>
  <c r="I231" i="38"/>
  <c r="J231" i="38" s="1"/>
  <c r="I232" i="38"/>
  <c r="J232" i="38" s="1"/>
  <c r="I233" i="38"/>
  <c r="J233" i="38" s="1"/>
  <c r="I234" i="38"/>
  <c r="J234" i="38" s="1"/>
  <c r="I235" i="38"/>
  <c r="J235" i="38" s="1"/>
  <c r="I236" i="38"/>
  <c r="J236" i="38" s="1"/>
  <c r="I237" i="38"/>
  <c r="J237" i="38" s="1"/>
  <c r="I238" i="38"/>
  <c r="J238" i="38" s="1"/>
  <c r="I239" i="38"/>
  <c r="J239" i="38" s="1"/>
  <c r="I240" i="38"/>
  <c r="J240" i="38" s="1"/>
  <c r="I241" i="38"/>
  <c r="J241" i="38" s="1"/>
  <c r="I242" i="38"/>
  <c r="J242" i="38" s="1"/>
  <c r="I243" i="38"/>
  <c r="J243" i="38" s="1"/>
  <c r="I244" i="38"/>
  <c r="J244" i="38" s="1"/>
  <c r="I245" i="38"/>
  <c r="J245" i="38" s="1"/>
  <c r="I246" i="38"/>
  <c r="J246" i="38" s="1"/>
  <c r="I247" i="38"/>
  <c r="J247" i="38" s="1"/>
  <c r="I248" i="38"/>
  <c r="J248" i="38" s="1"/>
  <c r="I249" i="38"/>
  <c r="J249" i="38" s="1"/>
  <c r="I250" i="38"/>
  <c r="J250" i="38" s="1"/>
  <c r="I251" i="38"/>
  <c r="J251" i="38" s="1"/>
  <c r="I252" i="38"/>
  <c r="J252" i="38" s="1"/>
  <c r="I253" i="38"/>
  <c r="J253" i="38" s="1"/>
  <c r="I254" i="38"/>
  <c r="J254" i="38" s="1"/>
  <c r="I255" i="38"/>
  <c r="J255" i="38" s="1"/>
  <c r="I256" i="38"/>
  <c r="J256" i="38" s="1"/>
  <c r="I257" i="38"/>
  <c r="J257" i="38" s="1"/>
  <c r="I258" i="38"/>
  <c r="J258" i="38" s="1"/>
  <c r="I259" i="38"/>
  <c r="J259" i="38" s="1"/>
  <c r="I260" i="38"/>
  <c r="J260" i="38" s="1"/>
  <c r="I261" i="38"/>
  <c r="J261" i="38" s="1"/>
  <c r="I262" i="38"/>
  <c r="J262" i="38" s="1"/>
  <c r="I263" i="38"/>
  <c r="J263" i="38" s="1"/>
  <c r="I264" i="38"/>
  <c r="J264" i="38" s="1"/>
  <c r="I265" i="38"/>
  <c r="J265" i="38" s="1"/>
  <c r="I266" i="38"/>
  <c r="J266" i="38" s="1"/>
  <c r="I267" i="38"/>
  <c r="J267" i="38" s="1"/>
  <c r="I268" i="38"/>
  <c r="J268" i="38" s="1"/>
  <c r="I269" i="38"/>
  <c r="J269" i="38" s="1"/>
  <c r="I270" i="38"/>
  <c r="J270" i="38" s="1"/>
  <c r="I271" i="38"/>
  <c r="J271" i="38" s="1"/>
  <c r="I272" i="38"/>
  <c r="J272" i="38" s="1"/>
  <c r="I273" i="38"/>
  <c r="J273" i="38" s="1"/>
  <c r="I274" i="38"/>
  <c r="J274" i="38" s="1"/>
  <c r="I275" i="38"/>
  <c r="J275" i="38" s="1"/>
  <c r="I276" i="38"/>
  <c r="J276" i="38" s="1"/>
  <c r="I277" i="38"/>
  <c r="J277" i="38" s="1"/>
  <c r="I278" i="38"/>
  <c r="J278" i="38" s="1"/>
  <c r="I279" i="38"/>
  <c r="J279" i="38" s="1"/>
  <c r="I280" i="38"/>
  <c r="J280" i="38" s="1"/>
  <c r="I281" i="38"/>
  <c r="J281" i="38" s="1"/>
  <c r="I282" i="38"/>
  <c r="J282" i="38" s="1"/>
  <c r="I2" i="38"/>
  <c r="J2" i="38" s="1"/>
  <c r="G9" i="30"/>
  <c r="G10" i="30"/>
  <c r="I10" i="30" s="1"/>
  <c r="D46" i="34" l="1"/>
  <c r="D47" i="34"/>
  <c r="D43" i="34"/>
  <c r="D42" i="34"/>
  <c r="D11" i="37"/>
  <c r="D50" i="34"/>
  <c r="D51" i="34"/>
  <c r="D21" i="34"/>
  <c r="D24" i="34"/>
  <c r="E21" i="34"/>
  <c r="E24" i="34"/>
  <c r="AF13" i="37"/>
  <c r="BE69" i="37"/>
  <c r="BC70" i="37"/>
  <c r="BE70" i="37" s="1"/>
  <c r="AU12" i="37"/>
  <c r="I21" i="30"/>
  <c r="F3" i="34"/>
  <c r="E8" i="34"/>
  <c r="E7" i="34"/>
  <c r="D8" i="34"/>
  <c r="D7" i="34"/>
  <c r="D6" i="34"/>
  <c r="F70" i="30"/>
  <c r="F69" i="30"/>
  <c r="F68" i="30"/>
  <c r="D67" i="30"/>
  <c r="E62" i="30"/>
  <c r="E61" i="30"/>
  <c r="E60" i="30"/>
  <c r="E59" i="30"/>
  <c r="E58" i="30"/>
  <c r="E57" i="30"/>
  <c r="E56" i="30"/>
  <c r="G13" i="30"/>
  <c r="I13" i="30" s="1"/>
  <c r="D22" i="30"/>
  <c r="G12" i="30"/>
  <c r="I12" i="30" s="1"/>
  <c r="G11" i="30"/>
  <c r="D41" i="34" l="1"/>
  <c r="D45" i="34"/>
  <c r="D49" i="34"/>
  <c r="E51" i="34"/>
  <c r="F51" i="34"/>
  <c r="F21" i="34"/>
  <c r="F24" i="34"/>
  <c r="C12" i="37"/>
  <c r="AU13" i="37"/>
  <c r="AF14" i="37"/>
  <c r="G3" i="34"/>
  <c r="F7" i="34"/>
  <c r="F8" i="34"/>
  <c r="F6" i="34"/>
  <c r="D5" i="34"/>
  <c r="D68" i="30"/>
  <c r="D69" i="30" s="1"/>
  <c r="D70" i="30" s="1"/>
  <c r="F67" i="30"/>
  <c r="G14" i="30"/>
  <c r="I14" i="30" s="1"/>
  <c r="E63" i="30"/>
  <c r="D23" i="30"/>
  <c r="I9" i="30"/>
  <c r="G51" i="34" l="1"/>
  <c r="D30" i="34"/>
  <c r="D29" i="34"/>
  <c r="AU14" i="37"/>
  <c r="C13" i="37"/>
  <c r="AF15" i="37"/>
  <c r="D31" i="34"/>
  <c r="C61" i="34"/>
  <c r="H3" i="34"/>
  <c r="G8" i="34"/>
  <c r="G7" i="34"/>
  <c r="G6" i="34"/>
  <c r="Y12" i="37"/>
  <c r="AA11" i="37"/>
  <c r="AP11" i="37"/>
  <c r="AN12" i="37"/>
  <c r="F5" i="34"/>
  <c r="D32" i="34"/>
  <c r="I11" i="30"/>
  <c r="F71" i="30"/>
  <c r="G22" i="30"/>
  <c r="I22" i="30" s="1"/>
  <c r="G23" i="30"/>
  <c r="I23" i="30" s="1"/>
  <c r="I20" i="30"/>
  <c r="G25" i="30"/>
  <c r="I25" i="30" s="1"/>
  <c r="C72" i="34" l="1"/>
  <c r="J42" i="39"/>
  <c r="C14" i="37"/>
  <c r="AU15" i="37"/>
  <c r="AF16" i="37"/>
  <c r="G5" i="34"/>
  <c r="H8" i="34"/>
  <c r="H7" i="34"/>
  <c r="H6" i="34"/>
  <c r="I3" i="34"/>
  <c r="AN13" i="37"/>
  <c r="AP12" i="37"/>
  <c r="Y13" i="37"/>
  <c r="AA12" i="37"/>
  <c r="D28" i="34"/>
  <c r="H51" i="34" l="1"/>
  <c r="C15" i="37"/>
  <c r="AU16" i="37"/>
  <c r="AF17" i="37"/>
  <c r="H5" i="34"/>
  <c r="I6" i="34"/>
  <c r="I7" i="34"/>
  <c r="I8" i="34"/>
  <c r="J3" i="34"/>
  <c r="AM11" i="37"/>
  <c r="Y14" i="37"/>
  <c r="AA13" i="37"/>
  <c r="AN14" i="37"/>
  <c r="AP13" i="37"/>
  <c r="G24" i="30"/>
  <c r="I24" i="30" s="1"/>
  <c r="G15" i="30"/>
  <c r="F72" i="30"/>
  <c r="I4" i="29"/>
  <c r="I5" i="29" s="1"/>
  <c r="I6" i="29" s="1"/>
  <c r="I7" i="29" s="1"/>
  <c r="I8" i="29" s="1"/>
  <c r="I9" i="29" s="1"/>
  <c r="I10" i="29" s="1"/>
  <c r="I11" i="29" s="1"/>
  <c r="I12" i="29" s="1"/>
  <c r="I13" i="29" s="1"/>
  <c r="I14" i="29" s="1"/>
  <c r="I15" i="29" s="1"/>
  <c r="I16" i="29" s="1"/>
  <c r="I17" i="29" s="1"/>
  <c r="I18" i="29" s="1"/>
  <c r="I19" i="29" s="1"/>
  <c r="I20" i="29" s="1"/>
  <c r="I21" i="29" s="1"/>
  <c r="I22" i="29" s="1"/>
  <c r="I23" i="29" s="1"/>
  <c r="I24" i="29" s="1"/>
  <c r="I25" i="29" s="1"/>
  <c r="I26" i="29" s="1"/>
  <c r="I27" i="29" s="1"/>
  <c r="I28" i="29" s="1"/>
  <c r="I29" i="29" s="1"/>
  <c r="I30" i="29" s="1"/>
  <c r="I31" i="29" s="1"/>
  <c r="I32" i="29" s="1"/>
  <c r="I33" i="29" s="1"/>
  <c r="I34" i="29" s="1"/>
  <c r="I35" i="29" s="1"/>
  <c r="I36" i="29" s="1"/>
  <c r="I37" i="29" s="1"/>
  <c r="I38" i="29" s="1"/>
  <c r="I39" i="29" s="1"/>
  <c r="I40" i="29" s="1"/>
  <c r="I41" i="29" s="1"/>
  <c r="I42" i="29" s="1"/>
  <c r="I43" i="29" s="1"/>
  <c r="I44" i="29" s="1"/>
  <c r="I45" i="29" s="1"/>
  <c r="I46" i="29" s="1"/>
  <c r="I47" i="29" s="1"/>
  <c r="I48" i="29" s="1"/>
  <c r="I49" i="29" s="1"/>
  <c r="I50" i="29" s="1"/>
  <c r="I51" i="29" s="1"/>
  <c r="I52" i="29" s="1"/>
  <c r="I53" i="29" s="1"/>
  <c r="I54" i="29" s="1"/>
  <c r="I55" i="29" s="1"/>
  <c r="I56" i="29" s="1"/>
  <c r="I57" i="29" s="1"/>
  <c r="I58" i="29" s="1"/>
  <c r="I59" i="29" s="1"/>
  <c r="I60" i="29" s="1"/>
  <c r="I61" i="29" s="1"/>
  <c r="I62" i="29" s="1"/>
  <c r="K3" i="29"/>
  <c r="J3" i="29"/>
  <c r="C16" i="37" l="1"/>
  <c r="AU17" i="37"/>
  <c r="AF18" i="37"/>
  <c r="I5" i="34"/>
  <c r="K3" i="34"/>
  <c r="J8" i="34"/>
  <c r="J7" i="34"/>
  <c r="J6" i="34"/>
  <c r="AJ12" i="37"/>
  <c r="AQ11" i="37"/>
  <c r="AR11" i="37" s="1"/>
  <c r="X11" i="37"/>
  <c r="Y15" i="37"/>
  <c r="AA14" i="37"/>
  <c r="AN15" i="37"/>
  <c r="AP14" i="37"/>
  <c r="I26" i="30"/>
  <c r="J4" i="29"/>
  <c r="K4" i="29" s="1"/>
  <c r="C17" i="37" l="1"/>
  <c r="AU18" i="37"/>
  <c r="AF19" i="37"/>
  <c r="J5" i="34"/>
  <c r="K8" i="34"/>
  <c r="K6" i="34"/>
  <c r="K7" i="34"/>
  <c r="L3" i="34"/>
  <c r="AI12" i="37"/>
  <c r="AK12" i="37" s="1"/>
  <c r="AB11" i="37"/>
  <c r="AC11" i="37" s="1"/>
  <c r="U12" i="37"/>
  <c r="Y16" i="37"/>
  <c r="AA15" i="37"/>
  <c r="AN16" i="37"/>
  <c r="AP15" i="37"/>
  <c r="I15" i="30"/>
  <c r="I16" i="30" s="1"/>
  <c r="J5" i="29"/>
  <c r="C18" i="37" l="1"/>
  <c r="AU19" i="37"/>
  <c r="AF20" i="37"/>
  <c r="AM12" i="37"/>
  <c r="AH12" i="37"/>
  <c r="K5" i="34"/>
  <c r="L7" i="34"/>
  <c r="L8" i="34"/>
  <c r="L6" i="34"/>
  <c r="M3" i="34"/>
  <c r="Y17" i="37"/>
  <c r="AA16" i="37"/>
  <c r="AN17" i="37"/>
  <c r="AP16" i="37"/>
  <c r="T12" i="37"/>
  <c r="V12" i="37" s="1"/>
  <c r="J6" i="29"/>
  <c r="K5" i="29"/>
  <c r="L5" i="34" l="1"/>
  <c r="E46" i="34"/>
  <c r="E47" i="34"/>
  <c r="C19" i="37"/>
  <c r="AU20" i="37"/>
  <c r="AQ12" i="37"/>
  <c r="AJ13" i="37"/>
  <c r="AF21" i="37"/>
  <c r="S12" i="37"/>
  <c r="M8" i="34"/>
  <c r="M7" i="34"/>
  <c r="M6" i="34"/>
  <c r="N3" i="34"/>
  <c r="AP17" i="37"/>
  <c r="AN18" i="37"/>
  <c r="Y18" i="37"/>
  <c r="AA17" i="37"/>
  <c r="J7" i="29"/>
  <c r="K6" i="29"/>
  <c r="E43" i="34" l="1"/>
  <c r="E42" i="34"/>
  <c r="E45" i="34"/>
  <c r="AI13" i="37"/>
  <c r="AR12" i="37"/>
  <c r="C20" i="37"/>
  <c r="AU21" i="37"/>
  <c r="AF22" i="37"/>
  <c r="M5" i="34"/>
  <c r="N7" i="34"/>
  <c r="N8" i="34"/>
  <c r="N6" i="34"/>
  <c r="O3" i="34"/>
  <c r="X12" i="37"/>
  <c r="U13" i="37" s="1"/>
  <c r="Y19" i="37"/>
  <c r="AA18" i="37"/>
  <c r="AN19" i="37"/>
  <c r="AP18" i="37"/>
  <c r="J8" i="29"/>
  <c r="K7" i="29"/>
  <c r="AK13" i="37" l="1"/>
  <c r="AM13" i="37" s="1"/>
  <c r="AH13" i="37"/>
  <c r="N2" i="39"/>
  <c r="E6" i="34"/>
  <c r="E5" i="34" s="1"/>
  <c r="E41" i="34"/>
  <c r="AJ14" i="37"/>
  <c r="AQ13" i="37"/>
  <c r="C21" i="37"/>
  <c r="AU22" i="37"/>
  <c r="AF23" i="37"/>
  <c r="N5" i="34"/>
  <c r="O7" i="34"/>
  <c r="O6" i="34"/>
  <c r="O8" i="34"/>
  <c r="P3" i="34"/>
  <c r="O1" i="39" s="1"/>
  <c r="AB12" i="37"/>
  <c r="AN20" i="37"/>
  <c r="AP19" i="37"/>
  <c r="Y20" i="37"/>
  <c r="AA19" i="37"/>
  <c r="J9" i="29"/>
  <c r="K8" i="29"/>
  <c r="F47" i="34" l="1"/>
  <c r="F46" i="34"/>
  <c r="F45" i="34" s="1"/>
  <c r="AR13" i="37"/>
  <c r="AI14" i="37"/>
  <c r="C22" i="37"/>
  <c r="AU23" i="37"/>
  <c r="AF24" i="37"/>
  <c r="O5" i="34"/>
  <c r="P7" i="34"/>
  <c r="P8" i="34"/>
  <c r="P6" i="34"/>
  <c r="Q3" i="34"/>
  <c r="AC12" i="37"/>
  <c r="T13" i="37"/>
  <c r="V13" i="37" s="1"/>
  <c r="Y21" i="37"/>
  <c r="AA20" i="37"/>
  <c r="AN21" i="37"/>
  <c r="AP20" i="37"/>
  <c r="J10" i="29"/>
  <c r="K9" i="29"/>
  <c r="AK14" i="37" l="1"/>
  <c r="AM14" i="37" s="1"/>
  <c r="AH14" i="37"/>
  <c r="C23" i="37"/>
  <c r="AU24" i="37"/>
  <c r="AF25" i="37"/>
  <c r="X13" i="37"/>
  <c r="S13" i="37"/>
  <c r="P5" i="34"/>
  <c r="Q6" i="34"/>
  <c r="Q7" i="34"/>
  <c r="Q8" i="34"/>
  <c r="R3" i="34"/>
  <c r="AQ14" i="37"/>
  <c r="AI15" i="37" s="1"/>
  <c r="AK15" i="37" s="1"/>
  <c r="AJ15" i="37"/>
  <c r="Y22" i="37"/>
  <c r="AA21" i="37"/>
  <c r="AP21" i="37"/>
  <c r="AN22" i="37"/>
  <c r="J11" i="29"/>
  <c r="K10" i="29"/>
  <c r="AH15" i="37" l="1"/>
  <c r="G46" i="34"/>
  <c r="G47" i="34"/>
  <c r="F43" i="34"/>
  <c r="F42" i="34"/>
  <c r="C24" i="37"/>
  <c r="AU25" i="37"/>
  <c r="U14" i="37"/>
  <c r="AB13" i="37"/>
  <c r="AF26" i="37"/>
  <c r="Q5" i="34"/>
  <c r="R7" i="34"/>
  <c r="R6" i="34"/>
  <c r="R8" i="34"/>
  <c r="S3" i="34"/>
  <c r="AM15" i="37"/>
  <c r="AR14" i="37"/>
  <c r="Y23" i="37"/>
  <c r="AA22" i="37"/>
  <c r="AP22" i="37"/>
  <c r="AN23" i="37"/>
  <c r="J12" i="29"/>
  <c r="K11" i="29"/>
  <c r="H46" i="34" l="1"/>
  <c r="H47" i="34"/>
  <c r="G45" i="34"/>
  <c r="F41" i="34"/>
  <c r="AC13" i="37"/>
  <c r="T14" i="37"/>
  <c r="V14" i="37" s="1"/>
  <c r="C25" i="37"/>
  <c r="AU26" i="37"/>
  <c r="AF27" i="37"/>
  <c r="R5" i="34"/>
  <c r="T3" i="34"/>
  <c r="S6" i="34"/>
  <c r="S8" i="34"/>
  <c r="S7" i="34"/>
  <c r="AJ16" i="37"/>
  <c r="AQ15" i="37"/>
  <c r="AN24" i="37"/>
  <c r="AP23" i="37"/>
  <c r="Y24" i="37"/>
  <c r="AA23" i="37"/>
  <c r="J13" i="29"/>
  <c r="K12" i="29"/>
  <c r="H45" i="34" l="1"/>
  <c r="X14" i="37"/>
  <c r="S14" i="37"/>
  <c r="C26" i="37"/>
  <c r="AU27" i="37"/>
  <c r="AF28" i="37"/>
  <c r="S5" i="34"/>
  <c r="U3" i="34"/>
  <c r="T8" i="34"/>
  <c r="T7" i="34"/>
  <c r="T6" i="34"/>
  <c r="AI16" i="37"/>
  <c r="AR15" i="37"/>
  <c r="AN25" i="37"/>
  <c r="AP24" i="37"/>
  <c r="Y25" i="37"/>
  <c r="AA24" i="37"/>
  <c r="J14" i="29"/>
  <c r="K13" i="29"/>
  <c r="AK16" i="37" l="1"/>
  <c r="AM16" i="37" s="1"/>
  <c r="AH16" i="37"/>
  <c r="G42" i="34"/>
  <c r="G43" i="34"/>
  <c r="U15" i="37"/>
  <c r="AB14" i="37"/>
  <c r="C27" i="37"/>
  <c r="AU28" i="37"/>
  <c r="AF29" i="37"/>
  <c r="T5" i="34"/>
  <c r="U6" i="34"/>
  <c r="U7" i="34"/>
  <c r="U8" i="34"/>
  <c r="V3" i="34"/>
  <c r="AQ16" i="37"/>
  <c r="AJ17" i="37"/>
  <c r="Y26" i="37"/>
  <c r="AA25" i="37"/>
  <c r="AN26" i="37"/>
  <c r="AP25" i="37"/>
  <c r="J15" i="29"/>
  <c r="K14" i="29"/>
  <c r="AH17" i="37" l="1"/>
  <c r="I46" i="34"/>
  <c r="I47" i="34"/>
  <c r="G41" i="34"/>
  <c r="AC14" i="37"/>
  <c r="T15" i="37"/>
  <c r="V15" i="37" s="1"/>
  <c r="C28" i="37"/>
  <c r="AU29" i="37"/>
  <c r="AF30" i="37"/>
  <c r="U5" i="34"/>
  <c r="V8" i="34"/>
  <c r="V7" i="34"/>
  <c r="V6" i="34"/>
  <c r="W3" i="34"/>
  <c r="AR16" i="37"/>
  <c r="AI17" i="37"/>
  <c r="AK17" i="37" s="1"/>
  <c r="AN27" i="37"/>
  <c r="AP26" i="37"/>
  <c r="Y27" i="37"/>
  <c r="AA26" i="37"/>
  <c r="J16" i="29"/>
  <c r="K15" i="29"/>
  <c r="I45" i="34" l="1"/>
  <c r="J46" i="34"/>
  <c r="J47" i="34"/>
  <c r="AM17" i="37"/>
  <c r="S15" i="37"/>
  <c r="X15" i="37"/>
  <c r="C29" i="37"/>
  <c r="AU30" i="37"/>
  <c r="AF31" i="37"/>
  <c r="V5" i="34"/>
  <c r="W8" i="34"/>
  <c r="W6" i="34"/>
  <c r="X3" i="34"/>
  <c r="W7" i="34"/>
  <c r="AJ18" i="37"/>
  <c r="AQ17" i="37"/>
  <c r="AR17" i="37" s="1"/>
  <c r="AP27" i="37"/>
  <c r="AN28" i="37"/>
  <c r="Y28" i="37"/>
  <c r="AA27" i="37"/>
  <c r="J17" i="29"/>
  <c r="K16" i="29"/>
  <c r="J45" i="34" l="1"/>
  <c r="H43" i="34"/>
  <c r="H42" i="34"/>
  <c r="U16" i="37"/>
  <c r="AB15" i="37"/>
  <c r="C30" i="37"/>
  <c r="AU31" i="37"/>
  <c r="AF32" i="37"/>
  <c r="W5" i="34"/>
  <c r="X7" i="34"/>
  <c r="X6" i="34"/>
  <c r="X8" i="34"/>
  <c r="Y3" i="34"/>
  <c r="AI18" i="37"/>
  <c r="Y29" i="37"/>
  <c r="AA28" i="37"/>
  <c r="AP28" i="37"/>
  <c r="AN29" i="37"/>
  <c r="J18" i="29"/>
  <c r="K17" i="29"/>
  <c r="AK18" i="37" l="1"/>
  <c r="AH18" i="37"/>
  <c r="T16" i="37"/>
  <c r="AC15" i="37"/>
  <c r="H41" i="34"/>
  <c r="C31" i="37"/>
  <c r="AU32" i="37"/>
  <c r="AF33" i="37"/>
  <c r="X5" i="34"/>
  <c r="Y6" i="34"/>
  <c r="Y7" i="34"/>
  <c r="Y8" i="34"/>
  <c r="Z3" i="34"/>
  <c r="AJ19" i="37"/>
  <c r="AQ18" i="37"/>
  <c r="Y30" i="37"/>
  <c r="AA29" i="37"/>
  <c r="AP29" i="37"/>
  <c r="AN30" i="37"/>
  <c r="J19" i="29"/>
  <c r="K18" i="29"/>
  <c r="AM18" i="37" l="1"/>
  <c r="K47" i="34"/>
  <c r="K46" i="34"/>
  <c r="V16" i="37"/>
  <c r="X16" i="37" s="1"/>
  <c r="S16" i="37"/>
  <c r="I43" i="34"/>
  <c r="I42" i="34"/>
  <c r="U17" i="37"/>
  <c r="AB16" i="37"/>
  <c r="C32" i="37"/>
  <c r="AU33" i="37"/>
  <c r="AF34" i="37"/>
  <c r="Y5" i="34"/>
  <c r="Z8" i="34"/>
  <c r="Z6" i="34"/>
  <c r="Z7" i="34"/>
  <c r="AA3" i="34"/>
  <c r="O2" i="39" s="1"/>
  <c r="AI19" i="37"/>
  <c r="AR18" i="37"/>
  <c r="Y31" i="37"/>
  <c r="AA30" i="37"/>
  <c r="AN31" i="37"/>
  <c r="AP30" i="37"/>
  <c r="J20" i="29"/>
  <c r="K19" i="29"/>
  <c r="K45" i="34" l="1"/>
  <c r="AK19" i="37"/>
  <c r="AH19" i="37"/>
  <c r="I41" i="34"/>
  <c r="T17" i="37"/>
  <c r="V17" i="37" s="1"/>
  <c r="AC16" i="37"/>
  <c r="C33" i="37"/>
  <c r="AU34" i="37"/>
  <c r="AF35" i="37"/>
  <c r="Z5" i="34"/>
  <c r="AA8" i="34"/>
  <c r="AA6" i="34"/>
  <c r="AA7" i="34"/>
  <c r="AB3" i="34"/>
  <c r="P1" i="39" s="1"/>
  <c r="AJ20" i="37"/>
  <c r="AQ19" i="37"/>
  <c r="AN32" i="37"/>
  <c r="AP31" i="37"/>
  <c r="Y32" i="37"/>
  <c r="AA31" i="37"/>
  <c r="J21" i="29"/>
  <c r="K20" i="29"/>
  <c r="AM19" i="37" l="1"/>
  <c r="L46" i="34"/>
  <c r="L47" i="34"/>
  <c r="AH20" i="37"/>
  <c r="X17" i="37"/>
  <c r="S17" i="37"/>
  <c r="C34" i="37"/>
  <c r="AU35" i="37"/>
  <c r="AF36" i="37"/>
  <c r="AA5" i="34"/>
  <c r="AB6" i="34"/>
  <c r="AB8" i="34"/>
  <c r="AB7" i="34"/>
  <c r="AC3" i="34"/>
  <c r="AI20" i="37"/>
  <c r="AK20" i="37" s="1"/>
  <c r="AR19" i="37"/>
  <c r="Y33" i="37"/>
  <c r="AA32" i="37"/>
  <c r="AN33" i="37"/>
  <c r="AP32" i="37"/>
  <c r="J22" i="29"/>
  <c r="K21" i="29"/>
  <c r="L45" i="34" l="1"/>
  <c r="M47" i="34"/>
  <c r="M46" i="34"/>
  <c r="AM20" i="37"/>
  <c r="J43" i="34"/>
  <c r="J42" i="34"/>
  <c r="U18" i="37"/>
  <c r="AB17" i="37"/>
  <c r="C35" i="37"/>
  <c r="AU36" i="37"/>
  <c r="AF37" i="37"/>
  <c r="AB5" i="34"/>
  <c r="AC8" i="34"/>
  <c r="AC6" i="34"/>
  <c r="AC7" i="34"/>
  <c r="AD3" i="34"/>
  <c r="AQ20" i="37"/>
  <c r="AJ21" i="37"/>
  <c r="AP33" i="37"/>
  <c r="AN34" i="37"/>
  <c r="Y34" i="37"/>
  <c r="AA33" i="37"/>
  <c r="J23" i="29"/>
  <c r="K22" i="29"/>
  <c r="M45" i="34" l="1"/>
  <c r="J41" i="34"/>
  <c r="AC17" i="37"/>
  <c r="T18" i="37"/>
  <c r="V18" i="37" s="1"/>
  <c r="C36" i="37"/>
  <c r="AU37" i="37"/>
  <c r="AF38" i="37"/>
  <c r="AC5" i="34"/>
  <c r="AD8" i="34"/>
  <c r="AD7" i="34"/>
  <c r="AD6" i="34"/>
  <c r="AE3" i="34"/>
  <c r="AI21" i="37"/>
  <c r="AR20" i="37"/>
  <c r="AN35" i="37"/>
  <c r="AP34" i="37"/>
  <c r="Y35" i="37"/>
  <c r="AA34" i="37"/>
  <c r="J24" i="29"/>
  <c r="K23" i="29"/>
  <c r="AK21" i="37" l="1"/>
  <c r="AH21" i="37"/>
  <c r="S18" i="37"/>
  <c r="X18" i="37"/>
  <c r="C37" i="37"/>
  <c r="AU38" i="37"/>
  <c r="AF39" i="37"/>
  <c r="AD5" i="34"/>
  <c r="AE7" i="34"/>
  <c r="AE6" i="34"/>
  <c r="AF3" i="34"/>
  <c r="AE8" i="34"/>
  <c r="AJ22" i="37"/>
  <c r="AQ21" i="37"/>
  <c r="AN36" i="37"/>
  <c r="AP35" i="37"/>
  <c r="Y36" i="37"/>
  <c r="AA35" i="37"/>
  <c r="J25" i="29"/>
  <c r="K24" i="29"/>
  <c r="AM21" i="37" l="1"/>
  <c r="N46" i="34"/>
  <c r="N47" i="34"/>
  <c r="K43" i="34"/>
  <c r="K42" i="34"/>
  <c r="U19" i="37"/>
  <c r="AB18" i="37"/>
  <c r="C38" i="37"/>
  <c r="AU39" i="37"/>
  <c r="AF40" i="37"/>
  <c r="AE5" i="34"/>
  <c r="AF8" i="34"/>
  <c r="AG3" i="34"/>
  <c r="AF7" i="34"/>
  <c r="AF6" i="34"/>
  <c r="AI22" i="37"/>
  <c r="AR21" i="37"/>
  <c r="Y37" i="37"/>
  <c r="AA36" i="37"/>
  <c r="AP36" i="37"/>
  <c r="AN37" i="37"/>
  <c r="J26" i="29"/>
  <c r="K25" i="29"/>
  <c r="N45" i="34" l="1"/>
  <c r="AK22" i="37"/>
  <c r="AM22" i="37" s="1"/>
  <c r="AH22" i="37"/>
  <c r="K41" i="34"/>
  <c r="T19" i="37"/>
  <c r="V19" i="37" s="1"/>
  <c r="AC18" i="37"/>
  <c r="C39" i="37"/>
  <c r="AU40" i="37"/>
  <c r="AF41" i="37"/>
  <c r="AF5" i="34"/>
  <c r="AG8" i="34"/>
  <c r="AG7" i="34"/>
  <c r="AG6" i="34"/>
  <c r="AH3" i="34"/>
  <c r="AJ23" i="37"/>
  <c r="AQ22" i="37"/>
  <c r="AN38" i="37"/>
  <c r="AP37" i="37"/>
  <c r="Y38" i="37"/>
  <c r="AA37" i="37"/>
  <c r="J27" i="29"/>
  <c r="K26" i="29"/>
  <c r="O46" i="34" l="1"/>
  <c r="O47" i="34"/>
  <c r="X19" i="37"/>
  <c r="S19" i="37"/>
  <c r="C40" i="37"/>
  <c r="AU41" i="37"/>
  <c r="AF42" i="37"/>
  <c r="AG5" i="34"/>
  <c r="AH7" i="34"/>
  <c r="AH6" i="34"/>
  <c r="AH8" i="34"/>
  <c r="AI3" i="34"/>
  <c r="AR22" i="37"/>
  <c r="AI23" i="37"/>
  <c r="Y39" i="37"/>
  <c r="Y40" i="37" s="1"/>
  <c r="AA38" i="37"/>
  <c r="AP38" i="37"/>
  <c r="AN39" i="37"/>
  <c r="J28" i="29"/>
  <c r="K27" i="29"/>
  <c r="D31" i="39" l="1"/>
  <c r="D14" i="39"/>
  <c r="O45" i="34"/>
  <c r="AK23" i="37"/>
  <c r="AH23" i="37"/>
  <c r="P47" i="34" s="1"/>
  <c r="AM23" i="37"/>
  <c r="P46" i="34"/>
  <c r="L43" i="34"/>
  <c r="L42" i="34"/>
  <c r="U20" i="37"/>
  <c r="AB19" i="37"/>
  <c r="C41" i="37"/>
  <c r="AU42" i="37"/>
  <c r="AF43" i="37"/>
  <c r="Y41" i="37"/>
  <c r="AA40" i="37"/>
  <c r="AH5" i="34"/>
  <c r="AI8" i="34"/>
  <c r="AI7" i="34"/>
  <c r="AI6" i="34"/>
  <c r="AJ3" i="34"/>
  <c r="AP39" i="37"/>
  <c r="AN40" i="37"/>
  <c r="AA39" i="37"/>
  <c r="J29" i="29"/>
  <c r="K28" i="29"/>
  <c r="P45" i="34" l="1"/>
  <c r="L41" i="34"/>
  <c r="AQ23" i="37"/>
  <c r="AJ24" i="37"/>
  <c r="AC19" i="37"/>
  <c r="T20" i="37"/>
  <c r="V20" i="37" s="1"/>
  <c r="C42" i="37"/>
  <c r="AU43" i="37"/>
  <c r="AF44" i="37"/>
  <c r="Y42" i="37"/>
  <c r="AA41" i="37"/>
  <c r="AI5" i="34"/>
  <c r="AJ8" i="34"/>
  <c r="AJ6" i="34"/>
  <c r="AJ7" i="34"/>
  <c r="AK3" i="34"/>
  <c r="AP40" i="37"/>
  <c r="AN41" i="37"/>
  <c r="J30" i="29"/>
  <c r="K29" i="29"/>
  <c r="AR23" i="37" l="1"/>
  <c r="AI24" i="37"/>
  <c r="X20" i="37"/>
  <c r="S20" i="37"/>
  <c r="C43" i="37"/>
  <c r="AU44" i="37"/>
  <c r="AF45" i="37"/>
  <c r="Y43" i="37"/>
  <c r="AA42" i="37"/>
  <c r="AJ5" i="34"/>
  <c r="AK7" i="34"/>
  <c r="AK8" i="34"/>
  <c r="AK6" i="34"/>
  <c r="AL3" i="34"/>
  <c r="AN42" i="37"/>
  <c r="AP41" i="37"/>
  <c r="J31" i="29"/>
  <c r="K30" i="29"/>
  <c r="AK24" i="37" l="1"/>
  <c r="AH24" i="37"/>
  <c r="Q47" i="34" s="1"/>
  <c r="Q46" i="34"/>
  <c r="AM24" i="37"/>
  <c r="M42" i="34"/>
  <c r="M43" i="34"/>
  <c r="U21" i="37"/>
  <c r="AB20" i="37"/>
  <c r="C44" i="37"/>
  <c r="AU45" i="37"/>
  <c r="AF46" i="37"/>
  <c r="Y44" i="37"/>
  <c r="AA43" i="37"/>
  <c r="AK5" i="34"/>
  <c r="AL8" i="34"/>
  <c r="AL7" i="34"/>
  <c r="AL6" i="34"/>
  <c r="AM3" i="34"/>
  <c r="P2" i="39" s="1"/>
  <c r="AP42" i="37"/>
  <c r="AN43" i="37"/>
  <c r="J32" i="29"/>
  <c r="K31" i="29"/>
  <c r="Q45" i="34" l="1"/>
  <c r="AJ25" i="37"/>
  <c r="AQ24" i="37"/>
  <c r="M41" i="34"/>
  <c r="AC20" i="37"/>
  <c r="T21" i="37"/>
  <c r="V21" i="37" s="1"/>
  <c r="C45" i="37"/>
  <c r="AU46" i="37"/>
  <c r="AF47" i="37"/>
  <c r="Y45" i="37"/>
  <c r="AA44" i="37"/>
  <c r="AL5" i="34"/>
  <c r="AM8" i="34"/>
  <c r="AM6" i="34"/>
  <c r="AN3" i="34"/>
  <c r="Q1" i="39" s="1"/>
  <c r="AM7" i="34"/>
  <c r="AN44" i="37"/>
  <c r="AP43" i="37"/>
  <c r="J33" i="29"/>
  <c r="K32" i="29"/>
  <c r="AR24" i="37" l="1"/>
  <c r="AI25" i="37"/>
  <c r="X21" i="37"/>
  <c r="S21" i="37"/>
  <c r="C46" i="37"/>
  <c r="AU47" i="37"/>
  <c r="AF48" i="37"/>
  <c r="Y46" i="37"/>
  <c r="AA45" i="37"/>
  <c r="AM5" i="34"/>
  <c r="AN8" i="34"/>
  <c r="AN7" i="34"/>
  <c r="AN6" i="34"/>
  <c r="AO3" i="34"/>
  <c r="AN45" i="37"/>
  <c r="AP44" i="37"/>
  <c r="J34" i="29"/>
  <c r="K33" i="29"/>
  <c r="AK25" i="37" l="1"/>
  <c r="AH25" i="37"/>
  <c r="R47" i="34" s="1"/>
  <c r="R46" i="34"/>
  <c r="AM25" i="37"/>
  <c r="N43" i="34"/>
  <c r="N42" i="34"/>
  <c r="U22" i="37"/>
  <c r="AB21" i="37"/>
  <c r="C47" i="37"/>
  <c r="AU48" i="37"/>
  <c r="AF49" i="37"/>
  <c r="Y47" i="37"/>
  <c r="AA46" i="37"/>
  <c r="AN5" i="34"/>
  <c r="AO6" i="34"/>
  <c r="AO8" i="34"/>
  <c r="AO7" i="34"/>
  <c r="AP3" i="34"/>
  <c r="AP45" i="37"/>
  <c r="AN46" i="37"/>
  <c r="J35" i="29"/>
  <c r="K34" i="29"/>
  <c r="N41" i="34" l="1"/>
  <c r="R45" i="34"/>
  <c r="AQ25" i="37"/>
  <c r="AJ26" i="37"/>
  <c r="T22" i="37"/>
  <c r="V22" i="37" s="1"/>
  <c r="AC21" i="37"/>
  <c r="C48" i="37"/>
  <c r="AU49" i="37"/>
  <c r="AF50" i="37"/>
  <c r="Y48" i="37"/>
  <c r="AA47" i="37"/>
  <c r="AO5" i="34"/>
  <c r="AP7" i="34"/>
  <c r="AP8" i="34"/>
  <c r="AP6" i="34"/>
  <c r="AQ3" i="34"/>
  <c r="AP46" i="37"/>
  <c r="AN47" i="37"/>
  <c r="J36" i="29"/>
  <c r="K35" i="29"/>
  <c r="AR25" i="37" l="1"/>
  <c r="AI26" i="37"/>
  <c r="S22" i="37"/>
  <c r="X22" i="37"/>
  <c r="C49" i="37"/>
  <c r="AU50" i="37"/>
  <c r="AF51" i="37"/>
  <c r="AA48" i="37"/>
  <c r="Y49" i="37"/>
  <c r="AP5" i="34"/>
  <c r="AQ7" i="34"/>
  <c r="AQ8" i="34"/>
  <c r="AQ6" i="34"/>
  <c r="AR3" i="34"/>
  <c r="AN48" i="37"/>
  <c r="AP47" i="37"/>
  <c r="J37" i="29"/>
  <c r="K36" i="29"/>
  <c r="AK26" i="37" l="1"/>
  <c r="AH26" i="37"/>
  <c r="S47" i="34" s="1"/>
  <c r="N30" i="39"/>
  <c r="N13" i="39"/>
  <c r="S46" i="34"/>
  <c r="AM26" i="37"/>
  <c r="O42" i="34"/>
  <c r="O43" i="34"/>
  <c r="U23" i="37"/>
  <c r="AB22" i="37"/>
  <c r="C50" i="37"/>
  <c r="AU51" i="37"/>
  <c r="AF52" i="37"/>
  <c r="AA49" i="37"/>
  <c r="Y50" i="37"/>
  <c r="AQ5" i="34"/>
  <c r="AR8" i="34"/>
  <c r="AR7" i="34"/>
  <c r="AR6" i="34"/>
  <c r="AS3" i="34"/>
  <c r="AN49" i="37"/>
  <c r="AP48" i="37"/>
  <c r="J38" i="29"/>
  <c r="K37" i="29"/>
  <c r="D13" i="39" l="1"/>
  <c r="D30" i="39"/>
  <c r="S45" i="34"/>
  <c r="AJ27" i="37"/>
  <c r="AQ26" i="37"/>
  <c r="O41" i="34"/>
  <c r="T23" i="37"/>
  <c r="V23" i="37" s="1"/>
  <c r="AC22" i="37"/>
  <c r="C51" i="37"/>
  <c r="AU52" i="37"/>
  <c r="AF53" i="37"/>
  <c r="Y51" i="37"/>
  <c r="AA50" i="37"/>
  <c r="AR5" i="34"/>
  <c r="AS8" i="34"/>
  <c r="AS6" i="34"/>
  <c r="AS7" i="34"/>
  <c r="AT3" i="34"/>
  <c r="AN50" i="37"/>
  <c r="AP49" i="37"/>
  <c r="K38" i="29"/>
  <c r="J39" i="29"/>
  <c r="AR26" i="37" l="1"/>
  <c r="AI27" i="37"/>
  <c r="S23" i="37"/>
  <c r="P42" i="34" s="1"/>
  <c r="C52" i="37"/>
  <c r="AU53" i="37"/>
  <c r="AF54" i="37"/>
  <c r="AA51" i="37"/>
  <c r="Y52" i="37"/>
  <c r="AS5" i="34"/>
  <c r="AT7" i="34"/>
  <c r="AT8" i="34"/>
  <c r="AT6" i="34"/>
  <c r="AU3" i="34"/>
  <c r="AP50" i="37"/>
  <c r="AN51" i="37"/>
  <c r="K39" i="29"/>
  <c r="J40" i="29"/>
  <c r="AK27" i="37" l="1"/>
  <c r="AH27" i="37"/>
  <c r="T47" i="34" s="1"/>
  <c r="S24" i="37"/>
  <c r="P43" i="34"/>
  <c r="P41" i="34" s="1"/>
  <c r="X23" i="37"/>
  <c r="C53" i="37"/>
  <c r="AU54" i="37"/>
  <c r="AF55" i="37"/>
  <c r="Y53" i="37"/>
  <c r="AA52" i="37"/>
  <c r="AT5" i="34"/>
  <c r="AU8" i="34"/>
  <c r="AU6" i="34"/>
  <c r="AU7" i="34"/>
  <c r="AV3" i="34"/>
  <c r="AP51" i="37"/>
  <c r="AN52" i="37"/>
  <c r="K40" i="29"/>
  <c r="J41" i="29"/>
  <c r="T46" i="34" l="1"/>
  <c r="AM27" i="37"/>
  <c r="Q43" i="34"/>
  <c r="S25" i="37"/>
  <c r="U24" i="37"/>
  <c r="AB23" i="37"/>
  <c r="C54" i="37"/>
  <c r="AU55" i="37"/>
  <c r="AF56" i="37"/>
  <c r="Y54" i="37"/>
  <c r="AA53" i="37"/>
  <c r="AU5" i="34"/>
  <c r="AV7" i="34"/>
  <c r="AV6" i="34"/>
  <c r="AV8" i="34"/>
  <c r="AW3" i="34"/>
  <c r="AN53" i="37"/>
  <c r="AP52" i="37"/>
  <c r="K41" i="29"/>
  <c r="J42" i="29"/>
  <c r="T45" i="34" l="1"/>
  <c r="AJ28" i="37"/>
  <c r="AQ27" i="37"/>
  <c r="R43" i="34"/>
  <c r="S26" i="37"/>
  <c r="T24" i="37"/>
  <c r="V24" i="37" s="1"/>
  <c r="Q42" i="34" s="1"/>
  <c r="AC23" i="37"/>
  <c r="C55" i="37"/>
  <c r="AU56" i="37"/>
  <c r="AF57" i="37"/>
  <c r="Y55" i="37"/>
  <c r="AA54" i="37"/>
  <c r="AV5" i="34"/>
  <c r="AW6" i="34"/>
  <c r="AW7" i="34"/>
  <c r="AW8" i="34"/>
  <c r="AX3" i="34"/>
  <c r="AN54" i="37"/>
  <c r="AP53" i="37"/>
  <c r="K42" i="29"/>
  <c r="J43" i="29"/>
  <c r="AI28" i="37" l="1"/>
  <c r="AR27" i="37"/>
  <c r="S43" i="34"/>
  <c r="S27" i="37"/>
  <c r="X24" i="37"/>
  <c r="Q41" i="34"/>
  <c r="C56" i="37"/>
  <c r="AU57" i="37"/>
  <c r="AF58" i="37"/>
  <c r="AX8" i="34"/>
  <c r="Y56" i="37"/>
  <c r="AA55" i="37"/>
  <c r="AW5" i="34"/>
  <c r="AX7" i="34"/>
  <c r="AX6" i="34"/>
  <c r="AY3" i="34"/>
  <c r="Q2" i="39" s="1"/>
  <c r="AN55" i="37"/>
  <c r="AP54" i="37"/>
  <c r="K43" i="29"/>
  <c r="J44" i="29"/>
  <c r="AK28" i="37" l="1"/>
  <c r="AH28" i="37"/>
  <c r="U47" i="34" s="1"/>
  <c r="T43" i="34"/>
  <c r="S28" i="37"/>
  <c r="AB24" i="37"/>
  <c r="U25" i="37"/>
  <c r="C57" i="37"/>
  <c r="AU58" i="37"/>
  <c r="AF59" i="37"/>
  <c r="Y57" i="37"/>
  <c r="AA56" i="37"/>
  <c r="AX5" i="34"/>
  <c r="AY6" i="34"/>
  <c r="AY8" i="34"/>
  <c r="AY7" i="34"/>
  <c r="AZ3" i="34"/>
  <c r="R1" i="39" s="1"/>
  <c r="AP55" i="37"/>
  <c r="AN56" i="37"/>
  <c r="K44" i="29"/>
  <c r="J45" i="29"/>
  <c r="U46" i="34" l="1"/>
  <c r="U45" i="34" s="1"/>
  <c r="AM28" i="37"/>
  <c r="U43" i="34"/>
  <c r="S29" i="37"/>
  <c r="T25" i="37"/>
  <c r="V25" i="37" s="1"/>
  <c r="R42" i="34" s="1"/>
  <c r="AC24" i="37"/>
  <c r="C58" i="37"/>
  <c r="AU59" i="37"/>
  <c r="AF60" i="37"/>
  <c r="Y58" i="37"/>
  <c r="AA57" i="37"/>
  <c r="AY5" i="34"/>
  <c r="AZ7" i="34"/>
  <c r="AZ8" i="34"/>
  <c r="AZ6" i="34"/>
  <c r="BA3" i="34"/>
  <c r="AN57" i="37"/>
  <c r="AP56" i="37"/>
  <c r="K45" i="29"/>
  <c r="J46" i="29"/>
  <c r="AQ28" i="37" l="1"/>
  <c r="AJ29" i="37"/>
  <c r="V43" i="34"/>
  <c r="S30" i="37"/>
  <c r="X25" i="37"/>
  <c r="R41" i="34"/>
  <c r="C59" i="37"/>
  <c r="AU60" i="37"/>
  <c r="AF61" i="37"/>
  <c r="Y59" i="37"/>
  <c r="AA58" i="37"/>
  <c r="AZ5" i="34"/>
  <c r="BA6" i="34"/>
  <c r="BA8" i="34"/>
  <c r="BA7" i="34"/>
  <c r="BB3" i="34"/>
  <c r="AN58" i="37"/>
  <c r="AP57" i="37"/>
  <c r="K46" i="29"/>
  <c r="J47" i="29"/>
  <c r="AR28" i="37" l="1"/>
  <c r="AI29" i="37"/>
  <c r="W43" i="34"/>
  <c r="S31" i="37"/>
  <c r="U26" i="37"/>
  <c r="AB25" i="37"/>
  <c r="C60" i="37"/>
  <c r="AU61" i="37"/>
  <c r="AF62" i="37"/>
  <c r="Y60" i="37"/>
  <c r="AA59" i="37"/>
  <c r="BA5" i="34"/>
  <c r="BB6" i="34"/>
  <c r="BB8" i="34"/>
  <c r="BB7" i="34"/>
  <c r="BC3" i="34"/>
  <c r="AP58" i="37"/>
  <c r="AN59" i="37"/>
  <c r="K47" i="29"/>
  <c r="J48" i="29"/>
  <c r="AK29" i="37" l="1"/>
  <c r="AH29" i="37"/>
  <c r="V47" i="34" s="1"/>
  <c r="V46" i="34"/>
  <c r="AM29" i="37"/>
  <c r="X43" i="34"/>
  <c r="S32" i="37"/>
  <c r="AC25" i="37"/>
  <c r="T26" i="37"/>
  <c r="V26" i="37" s="1"/>
  <c r="S42" i="34" s="1"/>
  <c r="C61" i="37"/>
  <c r="AU62" i="37"/>
  <c r="AF63" i="37"/>
  <c r="Y61" i="37"/>
  <c r="AA60" i="37"/>
  <c r="BB5" i="34"/>
  <c r="BC7" i="34"/>
  <c r="BC6" i="34"/>
  <c r="BD3" i="34"/>
  <c r="BC8" i="34"/>
  <c r="AP59" i="37"/>
  <c r="AN60" i="37"/>
  <c r="K48" i="29"/>
  <c r="J49" i="29"/>
  <c r="V45" i="34" l="1"/>
  <c r="AQ29" i="37"/>
  <c r="AJ30" i="37"/>
  <c r="S33" i="37"/>
  <c r="Y43" i="34"/>
  <c r="X26" i="37"/>
  <c r="S41" i="34"/>
  <c r="C62" i="37"/>
  <c r="AU63" i="37"/>
  <c r="AF64" i="37"/>
  <c r="Y62" i="37"/>
  <c r="AA61" i="37"/>
  <c r="BC5" i="34"/>
  <c r="BD7" i="34"/>
  <c r="BD8" i="34"/>
  <c r="BD6" i="34"/>
  <c r="BE3" i="34"/>
  <c r="AN61" i="37"/>
  <c r="AP60" i="37"/>
  <c r="K49" i="29"/>
  <c r="J50" i="29"/>
  <c r="AI30" i="37" l="1"/>
  <c r="AR29" i="37"/>
  <c r="AB26" i="37"/>
  <c r="U27" i="37"/>
  <c r="S34" i="37"/>
  <c r="Z43" i="34"/>
  <c r="C63" i="37"/>
  <c r="AU64" i="37"/>
  <c r="AF65" i="37"/>
  <c r="Y63" i="37"/>
  <c r="AA62" i="37"/>
  <c r="BD5" i="34"/>
  <c r="BE6" i="34"/>
  <c r="BE8" i="34"/>
  <c r="BE7" i="34"/>
  <c r="BF3" i="34"/>
  <c r="AN62" i="37"/>
  <c r="AP61" i="37"/>
  <c r="K50" i="29"/>
  <c r="J51" i="29"/>
  <c r="AK30" i="37" l="1"/>
  <c r="AH30" i="37"/>
  <c r="W47" i="34" s="1"/>
  <c r="T27" i="37"/>
  <c r="V27" i="37" s="1"/>
  <c r="AC26" i="37"/>
  <c r="S35" i="37"/>
  <c r="AA43" i="34"/>
  <c r="C64" i="37"/>
  <c r="AU65" i="37"/>
  <c r="AF66" i="37"/>
  <c r="Y64" i="37"/>
  <c r="AA63" i="37"/>
  <c r="BE5" i="34"/>
  <c r="BF8" i="34"/>
  <c r="BF6" i="34"/>
  <c r="BF7" i="34"/>
  <c r="BG3" i="34"/>
  <c r="AP62" i="37"/>
  <c r="AN63" i="37"/>
  <c r="K51" i="29"/>
  <c r="J52" i="29"/>
  <c r="T42" i="34" l="1"/>
  <c r="T41" i="34" s="1"/>
  <c r="X27" i="37"/>
  <c r="W46" i="34"/>
  <c r="W45" i="34" s="1"/>
  <c r="AM30" i="37"/>
  <c r="AB43" i="34"/>
  <c r="S36" i="37"/>
  <c r="C65" i="37"/>
  <c r="AU66" i="37"/>
  <c r="AF67" i="37"/>
  <c r="BG6" i="34"/>
  <c r="Y65" i="37"/>
  <c r="AA64" i="37"/>
  <c r="BF5" i="34"/>
  <c r="BG7" i="34"/>
  <c r="BG8" i="34"/>
  <c r="BH3" i="34"/>
  <c r="AN64" i="37"/>
  <c r="AP63" i="37"/>
  <c r="K52" i="29"/>
  <c r="J53" i="29"/>
  <c r="U28" i="37" l="1"/>
  <c r="AB27" i="37"/>
  <c r="AQ30" i="37"/>
  <c r="AJ31" i="37"/>
  <c r="AC42" i="34"/>
  <c r="AC43" i="34"/>
  <c r="S37" i="37"/>
  <c r="C66" i="37"/>
  <c r="AU67" i="37"/>
  <c r="AF68" i="37"/>
  <c r="BH7" i="34"/>
  <c r="BH8" i="34"/>
  <c r="BH6" i="34"/>
  <c r="BI3" i="34"/>
  <c r="Y66" i="37"/>
  <c r="AA65" i="37"/>
  <c r="BG5" i="34"/>
  <c r="AN65" i="37"/>
  <c r="AP64" i="37"/>
  <c r="K53" i="29"/>
  <c r="J54" i="29"/>
  <c r="AC27" i="37" l="1"/>
  <c r="T28" i="37"/>
  <c r="V28" i="37" s="1"/>
  <c r="AI31" i="37"/>
  <c r="AR30" i="37"/>
  <c r="AD43" i="34"/>
  <c r="AD42" i="34"/>
  <c r="S38" i="37"/>
  <c r="C67" i="37"/>
  <c r="AU68" i="37"/>
  <c r="AF69" i="37"/>
  <c r="BH5" i="34"/>
  <c r="BI7" i="34"/>
  <c r="BJ3" i="34"/>
  <c r="BI8" i="34"/>
  <c r="BI6" i="34"/>
  <c r="Y67" i="37"/>
  <c r="AA66" i="37"/>
  <c r="AP65" i="37"/>
  <c r="AN66" i="37"/>
  <c r="K54" i="29"/>
  <c r="J55" i="29"/>
  <c r="AK31" i="37" l="1"/>
  <c r="AH31" i="37"/>
  <c r="X47" i="34" s="1"/>
  <c r="U42" i="34"/>
  <c r="U41" i="34" s="1"/>
  <c r="S39" i="37"/>
  <c r="AE43" i="34"/>
  <c r="AE42" i="34"/>
  <c r="X28" i="37"/>
  <c r="C68" i="37"/>
  <c r="AU69" i="37"/>
  <c r="AF70" i="37"/>
  <c r="BI5" i="34"/>
  <c r="BJ6" i="34"/>
  <c r="BJ7" i="34"/>
  <c r="BJ8" i="34"/>
  <c r="BK3" i="34"/>
  <c r="R2" i="39" s="1"/>
  <c r="Y68" i="37"/>
  <c r="AA67" i="37"/>
  <c r="AN67" i="37"/>
  <c r="AP66" i="37"/>
  <c r="K55" i="29"/>
  <c r="J56" i="29"/>
  <c r="X46" i="34" l="1"/>
  <c r="X45" i="34" s="1"/>
  <c r="AM31" i="37"/>
  <c r="AF42" i="34"/>
  <c r="AF43" i="34"/>
  <c r="S40" i="37"/>
  <c r="U29" i="37"/>
  <c r="AB28" i="37"/>
  <c r="C69" i="37"/>
  <c r="AU70" i="37"/>
  <c r="F61" i="36"/>
  <c r="F3" i="36"/>
  <c r="BJ5" i="34"/>
  <c r="F2" i="36"/>
  <c r="F28" i="36"/>
  <c r="F10" i="36"/>
  <c r="F48" i="36"/>
  <c r="F46" i="36"/>
  <c r="F25" i="36"/>
  <c r="F35" i="36"/>
  <c r="F4" i="36"/>
  <c r="I21" i="34" s="1"/>
  <c r="F21" i="36"/>
  <c r="F32" i="36"/>
  <c r="F29" i="36"/>
  <c r="F12" i="36"/>
  <c r="F36" i="36"/>
  <c r="F23" i="36"/>
  <c r="F11" i="36"/>
  <c r="F43" i="36"/>
  <c r="F27" i="36"/>
  <c r="F9" i="36"/>
  <c r="F42" i="36"/>
  <c r="F17" i="36"/>
  <c r="F47" i="36"/>
  <c r="F38" i="36"/>
  <c r="F49" i="36"/>
  <c r="F50" i="36"/>
  <c r="F20" i="36"/>
  <c r="F44" i="36"/>
  <c r="F31" i="36"/>
  <c r="F34" i="36"/>
  <c r="F51" i="36"/>
  <c r="F45" i="36"/>
  <c r="F41" i="36"/>
  <c r="F19" i="36"/>
  <c r="F7" i="36"/>
  <c r="H7" i="36" s="1"/>
  <c r="F13" i="36"/>
  <c r="F52" i="36"/>
  <c r="F14" i="36"/>
  <c r="F40" i="36"/>
  <c r="F33" i="36"/>
  <c r="F16" i="36"/>
  <c r="F30" i="36"/>
  <c r="F5" i="36"/>
  <c r="H5" i="36" s="1"/>
  <c r="F59" i="36"/>
  <c r="H59" i="36" s="1"/>
  <c r="F8" i="36"/>
  <c r="H8" i="36" s="1"/>
  <c r="F15" i="36"/>
  <c r="F55" i="36"/>
  <c r="F22" i="36"/>
  <c r="F56" i="36"/>
  <c r="F6" i="36"/>
  <c r="H6" i="36" s="1"/>
  <c r="F57" i="36"/>
  <c r="F24" i="36"/>
  <c r="F54" i="36"/>
  <c r="F60" i="36"/>
  <c r="H60" i="36" s="1"/>
  <c r="F18" i="36"/>
  <c r="F39" i="36"/>
  <c r="F26" i="36"/>
  <c r="F37" i="36"/>
  <c r="F53" i="36"/>
  <c r="F58" i="36"/>
  <c r="BK6" i="34"/>
  <c r="BK8" i="34"/>
  <c r="BK7" i="34"/>
  <c r="Y69" i="37"/>
  <c r="AA68" i="37"/>
  <c r="AP67" i="37"/>
  <c r="AN68" i="37"/>
  <c r="K56" i="29"/>
  <c r="J57" i="29"/>
  <c r="N21" i="39" l="1"/>
  <c r="N4" i="39"/>
  <c r="Q4" i="39"/>
  <c r="Q21" i="39"/>
  <c r="R4" i="39"/>
  <c r="R21" i="39"/>
  <c r="O4" i="39"/>
  <c r="O21" i="39"/>
  <c r="P21" i="39"/>
  <c r="P4" i="39"/>
  <c r="C70" i="37"/>
  <c r="Z50" i="34"/>
  <c r="P50" i="34"/>
  <c r="AS51" i="34"/>
  <c r="N51" i="34"/>
  <c r="T50" i="34"/>
  <c r="W50" i="34"/>
  <c r="Q50" i="34"/>
  <c r="AQ50" i="34"/>
  <c r="AJ50" i="34"/>
  <c r="AV50" i="34"/>
  <c r="BH51" i="34"/>
  <c r="U50" i="34"/>
  <c r="AH50" i="34"/>
  <c r="AE50" i="34"/>
  <c r="Y50" i="34"/>
  <c r="AL51" i="34"/>
  <c r="BK51" i="34"/>
  <c r="BF51" i="34"/>
  <c r="BD51" i="34"/>
  <c r="BB51" i="34"/>
  <c r="BE50" i="34"/>
  <c r="AA50" i="34"/>
  <c r="AM51" i="34"/>
  <c r="AT51" i="34"/>
  <c r="AK50" i="34"/>
  <c r="AK51" i="34"/>
  <c r="AX50" i="34"/>
  <c r="BG51" i="34"/>
  <c r="Z51" i="34"/>
  <c r="BB50" i="34"/>
  <c r="AN50" i="34"/>
  <c r="BI51" i="34"/>
  <c r="AV51" i="34"/>
  <c r="W51" i="34"/>
  <c r="AZ50" i="34"/>
  <c r="AC50" i="34"/>
  <c r="AC49" i="34" s="1"/>
  <c r="G50" i="34"/>
  <c r="G49" i="34" s="1"/>
  <c r="X51" i="34"/>
  <c r="BA50" i="34"/>
  <c r="BA49" i="34" s="1"/>
  <c r="AI50" i="34"/>
  <c r="AI49" i="34" s="1"/>
  <c r="V50" i="34"/>
  <c r="AP51" i="34"/>
  <c r="BE51" i="34"/>
  <c r="AY51" i="34"/>
  <c r="AR51" i="34"/>
  <c r="P51" i="34"/>
  <c r="Q51" i="34"/>
  <c r="R51" i="34"/>
  <c r="Y51" i="34"/>
  <c r="AA51" i="34"/>
  <c r="O51" i="34"/>
  <c r="AP50" i="34"/>
  <c r="AP49" i="34" s="1"/>
  <c r="AB50" i="34"/>
  <c r="AB49" i="34" s="1"/>
  <c r="AQ51" i="34"/>
  <c r="J51" i="34"/>
  <c r="AL50" i="34"/>
  <c r="T51" i="34"/>
  <c r="BA51" i="34"/>
  <c r="AF50" i="34"/>
  <c r="H50" i="34"/>
  <c r="H49" i="34" s="1"/>
  <c r="BI50" i="34"/>
  <c r="S50" i="34"/>
  <c r="AE51" i="34"/>
  <c r="BK50" i="34"/>
  <c r="AB51" i="34"/>
  <c r="AY50" i="34"/>
  <c r="AY49" i="34" s="1"/>
  <c r="R50" i="34"/>
  <c r="AW51" i="34"/>
  <c r="M51" i="34"/>
  <c r="AI51" i="34"/>
  <c r="BC50" i="34"/>
  <c r="AW50" i="34"/>
  <c r="AW49" i="34" s="1"/>
  <c r="X50" i="34"/>
  <c r="U51" i="34"/>
  <c r="AD50" i="34"/>
  <c r="L51" i="34"/>
  <c r="AM50" i="34"/>
  <c r="AX51" i="34"/>
  <c r="K51" i="34"/>
  <c r="AO51" i="34"/>
  <c r="I51" i="34"/>
  <c r="AD51" i="34"/>
  <c r="AF51" i="34"/>
  <c r="BC51" i="34"/>
  <c r="AR50" i="34"/>
  <c r="AR49" i="34" s="1"/>
  <c r="BD50" i="34"/>
  <c r="AG50" i="34"/>
  <c r="O50" i="34"/>
  <c r="O49" i="34" s="1"/>
  <c r="N50" i="34"/>
  <c r="M50" i="34"/>
  <c r="M49" i="34" s="1"/>
  <c r="AU51" i="34"/>
  <c r="AG51" i="34"/>
  <c r="AU50" i="34"/>
  <c r="AU49" i="34" s="1"/>
  <c r="AZ51" i="34"/>
  <c r="AT50" i="34"/>
  <c r="AH51" i="34"/>
  <c r="BH50" i="34"/>
  <c r="BG50" i="34"/>
  <c r="AC51" i="34"/>
  <c r="AJ51" i="34"/>
  <c r="V51" i="34"/>
  <c r="AN51" i="34"/>
  <c r="I50" i="34"/>
  <c r="I49" i="34" s="1"/>
  <c r="AO50" i="34"/>
  <c r="F50" i="34"/>
  <c r="F49" i="34" s="1"/>
  <c r="E50" i="34"/>
  <c r="E49" i="34" s="1"/>
  <c r="J50" i="34"/>
  <c r="J49" i="34" s="1"/>
  <c r="BF50" i="34"/>
  <c r="S51" i="34"/>
  <c r="L50" i="34"/>
  <c r="K50" i="34"/>
  <c r="K49" i="34" s="1"/>
  <c r="BJ50" i="34"/>
  <c r="AS50" i="34"/>
  <c r="BJ51" i="34"/>
  <c r="AJ32" i="37"/>
  <c r="AQ31" i="37"/>
  <c r="AG42" i="34"/>
  <c r="AG43" i="34"/>
  <c r="S41" i="37"/>
  <c r="T29" i="37"/>
  <c r="V29" i="37" s="1"/>
  <c r="AC28" i="37"/>
  <c r="H61" i="36"/>
  <c r="J61" i="36" s="1"/>
  <c r="J21" i="34"/>
  <c r="K21" i="34"/>
  <c r="L21" i="34"/>
  <c r="M21" i="34"/>
  <c r="H3" i="36"/>
  <c r="H21" i="34"/>
  <c r="H2" i="36"/>
  <c r="G21" i="34"/>
  <c r="H28" i="36"/>
  <c r="AG21" i="34"/>
  <c r="H10" i="36"/>
  <c r="O21" i="34"/>
  <c r="H48" i="36"/>
  <c r="BA21" i="34"/>
  <c r="H46" i="36"/>
  <c r="AY21" i="34"/>
  <c r="H25" i="36"/>
  <c r="AD21" i="34"/>
  <c r="H35" i="36"/>
  <c r="AN21" i="34"/>
  <c r="H21" i="36"/>
  <c r="Z21" i="34"/>
  <c r="H32" i="36"/>
  <c r="AK21" i="34"/>
  <c r="H29" i="36"/>
  <c r="AH21" i="34"/>
  <c r="H12" i="36"/>
  <c r="Q21" i="34"/>
  <c r="H36" i="36"/>
  <c r="AO21" i="34"/>
  <c r="H23" i="36"/>
  <c r="AB21" i="34"/>
  <c r="H11" i="36"/>
  <c r="P21" i="34"/>
  <c r="H43" i="36"/>
  <c r="AV21" i="34"/>
  <c r="H27" i="36"/>
  <c r="AF21" i="34"/>
  <c r="H9" i="36"/>
  <c r="N21" i="34"/>
  <c r="H42" i="36"/>
  <c r="AU21" i="34"/>
  <c r="H17" i="36"/>
  <c r="V21" i="34"/>
  <c r="H47" i="36"/>
  <c r="AZ21" i="34"/>
  <c r="H38" i="36"/>
  <c r="AQ21" i="34"/>
  <c r="H49" i="36"/>
  <c r="BB21" i="34"/>
  <c r="H50" i="36"/>
  <c r="BC21" i="34"/>
  <c r="H20" i="36"/>
  <c r="Y21" i="34"/>
  <c r="H44" i="36"/>
  <c r="AW21" i="34"/>
  <c r="H31" i="36"/>
  <c r="AJ21" i="34"/>
  <c r="H34" i="36"/>
  <c r="AM21" i="34"/>
  <c r="H51" i="36"/>
  <c r="BD21" i="34"/>
  <c r="H45" i="36"/>
  <c r="AX21" i="34"/>
  <c r="H41" i="36"/>
  <c r="AT21" i="34"/>
  <c r="H19" i="36"/>
  <c r="X21" i="34"/>
  <c r="H13" i="36"/>
  <c r="R21" i="34"/>
  <c r="H52" i="36"/>
  <c r="BE21" i="34"/>
  <c r="H14" i="36"/>
  <c r="S21" i="34"/>
  <c r="H40" i="36"/>
  <c r="AS21" i="34"/>
  <c r="H33" i="36"/>
  <c r="AL21" i="34"/>
  <c r="H16" i="36"/>
  <c r="U21" i="34"/>
  <c r="H30" i="36"/>
  <c r="AI21" i="34"/>
  <c r="H15" i="36"/>
  <c r="T21" i="34"/>
  <c r="H55" i="36"/>
  <c r="BH21" i="34"/>
  <c r="H22" i="36"/>
  <c r="AA21" i="34"/>
  <c r="H56" i="36"/>
  <c r="BI21" i="34"/>
  <c r="H57" i="36"/>
  <c r="BJ21" i="34"/>
  <c r="H24" i="36"/>
  <c r="AC21" i="34"/>
  <c r="H54" i="36"/>
  <c r="BG21" i="34"/>
  <c r="H18" i="36"/>
  <c r="W21" i="34"/>
  <c r="H39" i="36"/>
  <c r="AR21" i="34"/>
  <c r="H26" i="36"/>
  <c r="AE21" i="34"/>
  <c r="H37" i="36"/>
  <c r="AP21" i="34"/>
  <c r="H53" i="36"/>
  <c r="BF21" i="34"/>
  <c r="H58" i="36"/>
  <c r="BK21" i="34"/>
  <c r="H4" i="36"/>
  <c r="F20" i="34"/>
  <c r="BK5" i="34"/>
  <c r="J7" i="36"/>
  <c r="K7" i="36" s="1"/>
  <c r="G7" i="36"/>
  <c r="J5" i="36"/>
  <c r="K5" i="36" s="1"/>
  <c r="G5" i="36"/>
  <c r="J59" i="36"/>
  <c r="K59" i="36" s="1"/>
  <c r="G59" i="36"/>
  <c r="J8" i="36"/>
  <c r="K8" i="36" s="1"/>
  <c r="G8" i="36"/>
  <c r="J6" i="36"/>
  <c r="K6" i="36" s="1"/>
  <c r="G6" i="36"/>
  <c r="J60" i="36"/>
  <c r="K60" i="36" s="1"/>
  <c r="G60" i="36"/>
  <c r="Y70" i="37"/>
  <c r="AA70" i="37" s="1"/>
  <c r="AA69" i="37"/>
  <c r="AN69" i="37"/>
  <c r="AP68" i="37"/>
  <c r="K57" i="29"/>
  <c r="J58" i="29"/>
  <c r="T21" i="39" l="1"/>
  <c r="T4" i="39"/>
  <c r="BG49" i="34"/>
  <c r="AO49" i="34"/>
  <c r="BB49" i="34"/>
  <c r="BD49" i="34"/>
  <c r="BH49" i="34"/>
  <c r="BI49" i="34"/>
  <c r="S49" i="34"/>
  <c r="BK49" i="34"/>
  <c r="X49" i="34"/>
  <c r="AD49" i="34"/>
  <c r="AM49" i="34"/>
  <c r="BF49" i="34"/>
  <c r="AG49" i="34"/>
  <c r="N49" i="34"/>
  <c r="AS49" i="34"/>
  <c r="Z49" i="34"/>
  <c r="T49" i="34"/>
  <c r="AQ49" i="34"/>
  <c r="AV49" i="34"/>
  <c r="U49" i="34"/>
  <c r="BE49" i="34"/>
  <c r="AK49" i="34"/>
  <c r="AX49" i="34"/>
  <c r="AZ49" i="34"/>
  <c r="AL49" i="34"/>
  <c r="AF49" i="34"/>
  <c r="R49" i="34"/>
  <c r="BC49" i="34"/>
  <c r="AT49" i="34"/>
  <c r="L49" i="34"/>
  <c r="BJ49" i="34"/>
  <c r="P49" i="34"/>
  <c r="AJ49" i="34"/>
  <c r="Y49" i="34"/>
  <c r="AA49" i="34"/>
  <c r="V49" i="34"/>
  <c r="Q49" i="34"/>
  <c r="AE49" i="34"/>
  <c r="W49" i="34"/>
  <c r="AH49" i="34"/>
  <c r="AN49" i="34"/>
  <c r="V42" i="34"/>
  <c r="AI32" i="37"/>
  <c r="AR31" i="37"/>
  <c r="AH43" i="34"/>
  <c r="AH42" i="34"/>
  <c r="S42" i="37"/>
  <c r="G61" i="36"/>
  <c r="K61" i="36"/>
  <c r="G3" i="36"/>
  <c r="J3" i="36"/>
  <c r="K3" i="36" s="1"/>
  <c r="J28" i="36"/>
  <c r="K28" i="36" s="1"/>
  <c r="G28" i="36"/>
  <c r="J10" i="36"/>
  <c r="K10" i="36" s="1"/>
  <c r="G10" i="36"/>
  <c r="J48" i="36"/>
  <c r="K48" i="36" s="1"/>
  <c r="G48" i="36"/>
  <c r="J46" i="36"/>
  <c r="K46" i="36" s="1"/>
  <c r="G46" i="36"/>
  <c r="J40" i="36"/>
  <c r="K40" i="36" s="1"/>
  <c r="G40" i="36"/>
  <c r="J25" i="36"/>
  <c r="K25" i="36" s="1"/>
  <c r="G25" i="36"/>
  <c r="J35" i="36"/>
  <c r="K35" i="36" s="1"/>
  <c r="G35" i="36"/>
  <c r="J21" i="36"/>
  <c r="K21" i="36" s="1"/>
  <c r="G21" i="36"/>
  <c r="J32" i="36"/>
  <c r="K32" i="36" s="1"/>
  <c r="G32" i="36"/>
  <c r="J29" i="36"/>
  <c r="K29" i="36" s="1"/>
  <c r="G29" i="36"/>
  <c r="J12" i="36"/>
  <c r="K12" i="36" s="1"/>
  <c r="G12" i="36"/>
  <c r="J36" i="36"/>
  <c r="K36" i="36" s="1"/>
  <c r="G36" i="36"/>
  <c r="J23" i="36"/>
  <c r="K23" i="36" s="1"/>
  <c r="G23" i="36"/>
  <c r="J11" i="36"/>
  <c r="K11" i="36" s="1"/>
  <c r="G11" i="36"/>
  <c r="J43" i="36"/>
  <c r="K43" i="36" s="1"/>
  <c r="G43" i="36"/>
  <c r="J27" i="36"/>
  <c r="K27" i="36" s="1"/>
  <c r="G27" i="36"/>
  <c r="J9" i="36"/>
  <c r="K9" i="36" s="1"/>
  <c r="G9" i="36"/>
  <c r="J42" i="36"/>
  <c r="K42" i="36" s="1"/>
  <c r="G42" i="36"/>
  <c r="J17" i="36"/>
  <c r="K17" i="36" s="1"/>
  <c r="G17" i="36"/>
  <c r="J47" i="36"/>
  <c r="K47" i="36" s="1"/>
  <c r="G47" i="36"/>
  <c r="J38" i="36"/>
  <c r="K38" i="36" s="1"/>
  <c r="G38" i="36"/>
  <c r="J49" i="36"/>
  <c r="K49" i="36" s="1"/>
  <c r="G49" i="36"/>
  <c r="J50" i="36"/>
  <c r="K50" i="36" s="1"/>
  <c r="G50" i="36"/>
  <c r="J20" i="36"/>
  <c r="K20" i="36" s="1"/>
  <c r="G20" i="36"/>
  <c r="J44" i="36"/>
  <c r="K44" i="36" s="1"/>
  <c r="G44" i="36"/>
  <c r="J31" i="36"/>
  <c r="K31" i="36" s="1"/>
  <c r="G31" i="36"/>
  <c r="J34" i="36"/>
  <c r="K34" i="36" s="1"/>
  <c r="G34" i="36"/>
  <c r="J51" i="36"/>
  <c r="K51" i="36" s="1"/>
  <c r="G51" i="36"/>
  <c r="J45" i="36"/>
  <c r="K45" i="36" s="1"/>
  <c r="G45" i="36"/>
  <c r="J41" i="36"/>
  <c r="K41" i="36" s="1"/>
  <c r="G41" i="36"/>
  <c r="J19" i="36"/>
  <c r="K19" i="36" s="1"/>
  <c r="G19" i="36"/>
  <c r="J13" i="36"/>
  <c r="K13" i="36" s="1"/>
  <c r="G13" i="36"/>
  <c r="J52" i="36"/>
  <c r="K52" i="36" s="1"/>
  <c r="G52" i="36"/>
  <c r="J14" i="36"/>
  <c r="K14" i="36" s="1"/>
  <c r="G14" i="36"/>
  <c r="J33" i="36"/>
  <c r="K33" i="36" s="1"/>
  <c r="G33" i="36"/>
  <c r="J16" i="36"/>
  <c r="K16" i="36" s="1"/>
  <c r="G16" i="36"/>
  <c r="J30" i="36"/>
  <c r="K30" i="36" s="1"/>
  <c r="G30" i="36"/>
  <c r="J15" i="36"/>
  <c r="K15" i="36" s="1"/>
  <c r="G15" i="36"/>
  <c r="J55" i="36"/>
  <c r="K55" i="36" s="1"/>
  <c r="G55" i="36"/>
  <c r="J22" i="36"/>
  <c r="K22" i="36" s="1"/>
  <c r="G22" i="36"/>
  <c r="J56" i="36"/>
  <c r="K56" i="36" s="1"/>
  <c r="G56" i="36"/>
  <c r="J57" i="36"/>
  <c r="K57" i="36" s="1"/>
  <c r="G57" i="36"/>
  <c r="J24" i="36"/>
  <c r="K24" i="36" s="1"/>
  <c r="G24" i="36"/>
  <c r="J54" i="36"/>
  <c r="K54" i="36" s="1"/>
  <c r="G54" i="36"/>
  <c r="J18" i="36"/>
  <c r="K18" i="36" s="1"/>
  <c r="G18" i="36"/>
  <c r="J39" i="36"/>
  <c r="K39" i="36" s="1"/>
  <c r="G39" i="36"/>
  <c r="J26" i="36"/>
  <c r="K26" i="36" s="1"/>
  <c r="G26" i="36"/>
  <c r="J37" i="36"/>
  <c r="K37" i="36" s="1"/>
  <c r="G37" i="36"/>
  <c r="J53" i="36"/>
  <c r="K53" i="36" s="1"/>
  <c r="G53" i="36"/>
  <c r="J58" i="36"/>
  <c r="K58" i="36" s="1"/>
  <c r="G58" i="36"/>
  <c r="J4" i="36"/>
  <c r="K4" i="36" s="1"/>
  <c r="G4" i="36"/>
  <c r="AP69" i="37"/>
  <c r="AN70" i="37"/>
  <c r="K58" i="29"/>
  <c r="J59" i="29"/>
  <c r="AK32" i="37" l="1"/>
  <c r="AH32" i="37"/>
  <c r="Y47" i="34" s="1"/>
  <c r="Q5" i="39"/>
  <c r="Q22" i="39"/>
  <c r="Q23" i="39" s="1"/>
  <c r="R22" i="39"/>
  <c r="R23" i="39" s="1"/>
  <c r="R5" i="39"/>
  <c r="O5" i="39"/>
  <c r="O22" i="39"/>
  <c r="O23" i="39" s="1"/>
  <c r="P5" i="39"/>
  <c r="P22" i="39"/>
  <c r="P23" i="39" s="1"/>
  <c r="AI42" i="34"/>
  <c r="AI43" i="34"/>
  <c r="S43" i="37"/>
  <c r="V41" i="34"/>
  <c r="X29" i="37"/>
  <c r="AP70" i="37"/>
  <c r="K59" i="29"/>
  <c r="J60" i="29"/>
  <c r="Y46" i="34" l="1"/>
  <c r="Y45" i="34" s="1"/>
  <c r="AM32" i="37"/>
  <c r="AJ42" i="34"/>
  <c r="AJ43" i="34"/>
  <c r="S44" i="37"/>
  <c r="U30" i="37"/>
  <c r="AB29" i="37"/>
  <c r="K60" i="29"/>
  <c r="J61" i="29"/>
  <c r="AJ33" i="37" l="1"/>
  <c r="AQ32" i="37"/>
  <c r="AK42" i="34"/>
  <c r="AK43" i="34"/>
  <c r="S45" i="37"/>
  <c r="T30" i="37"/>
  <c r="V30" i="37" s="1"/>
  <c r="AC29" i="37"/>
  <c r="K61" i="29"/>
  <c r="J62" i="29"/>
  <c r="K62" i="29" s="1"/>
  <c r="W42" i="34" l="1"/>
  <c r="AR32" i="37"/>
  <c r="AI33" i="37"/>
  <c r="AL43" i="34"/>
  <c r="AL42" i="34"/>
  <c r="S46" i="37"/>
  <c r="K2" i="29"/>
  <c r="AK33" i="37" l="1"/>
  <c r="AH33" i="37"/>
  <c r="Z47" i="34" s="1"/>
  <c r="AM42" i="34"/>
  <c r="AM43" i="34"/>
  <c r="S47" i="37"/>
  <c r="W41" i="34"/>
  <c r="X30" i="37"/>
  <c r="Z46" i="34" l="1"/>
  <c r="Z45" i="34" s="1"/>
  <c r="AM33" i="37"/>
  <c r="AN42" i="34"/>
  <c r="S48" i="37"/>
  <c r="AN43" i="34"/>
  <c r="AB30" i="37"/>
  <c r="U31" i="37"/>
  <c r="AJ34" i="37" l="1"/>
  <c r="AQ33" i="37"/>
  <c r="AO43" i="34"/>
  <c r="S49" i="37"/>
  <c r="AO42" i="34"/>
  <c r="AC30" i="37"/>
  <c r="T31" i="37"/>
  <c r="V31" i="37" s="1"/>
  <c r="X42" i="34" l="1"/>
  <c r="X41" i="34" s="1"/>
  <c r="AR33" i="37"/>
  <c r="AI34" i="37"/>
  <c r="AP43" i="34"/>
  <c r="AP42" i="34"/>
  <c r="S50" i="37"/>
  <c r="X31" i="37"/>
  <c r="AK34" i="37" l="1"/>
  <c r="AH34" i="37"/>
  <c r="AA47" i="34" s="1"/>
  <c r="AQ42" i="34"/>
  <c r="S51" i="37"/>
  <c r="AQ43" i="34"/>
  <c r="AB31" i="37"/>
  <c r="U32" i="37"/>
  <c r="AA46" i="34" l="1"/>
  <c r="AM34" i="37"/>
  <c r="S52" i="37"/>
  <c r="AR43" i="34"/>
  <c r="AR42" i="34"/>
  <c r="T32" i="37"/>
  <c r="V32" i="37" s="1"/>
  <c r="AC31" i="37"/>
  <c r="E14" i="39" l="1"/>
  <c r="E31" i="39"/>
  <c r="AA45" i="34"/>
  <c r="Y42" i="34"/>
  <c r="AJ35" i="37"/>
  <c r="AQ34" i="37"/>
  <c r="S53" i="37"/>
  <c r="AS43" i="34"/>
  <c r="AS42" i="34"/>
  <c r="AR34" i="37" l="1"/>
  <c r="AI35" i="37"/>
  <c r="AT43" i="34"/>
  <c r="S54" i="37"/>
  <c r="AT42" i="34"/>
  <c r="Y41" i="34"/>
  <c r="X32" i="37"/>
  <c r="AK35" i="37" l="1"/>
  <c r="AH35" i="37"/>
  <c r="AB47" i="34" s="1"/>
  <c r="AM35" i="37"/>
  <c r="AB46" i="34"/>
  <c r="S55" i="37"/>
  <c r="AU42" i="34"/>
  <c r="AU43" i="34"/>
  <c r="AB32" i="37"/>
  <c r="U33" i="37"/>
  <c r="AB45" i="34" l="1"/>
  <c r="AQ35" i="37"/>
  <c r="AJ36" i="37"/>
  <c r="S56" i="37"/>
  <c r="AV43" i="34"/>
  <c r="AV42" i="34"/>
  <c r="T33" i="37"/>
  <c r="V33" i="37" s="1"/>
  <c r="AC32" i="37"/>
  <c r="Z42" i="34" l="1"/>
  <c r="AR35" i="37"/>
  <c r="AI36" i="37"/>
  <c r="AW42" i="34"/>
  <c r="AW43" i="34"/>
  <c r="S57" i="37"/>
  <c r="AK36" i="37" l="1"/>
  <c r="AH36" i="37"/>
  <c r="AC47" i="34" s="1"/>
  <c r="AC46" i="34"/>
  <c r="AM36" i="37"/>
  <c r="AX43" i="34"/>
  <c r="AX42" i="34"/>
  <c r="S58" i="37"/>
  <c r="Z41" i="34"/>
  <c r="X33" i="37"/>
  <c r="AC45" i="34" l="1"/>
  <c r="AJ37" i="37"/>
  <c r="AQ36" i="37"/>
  <c r="S59" i="37"/>
  <c r="AY42" i="34"/>
  <c r="AY43" i="34"/>
  <c r="U34" i="37"/>
  <c r="AB33" i="37"/>
  <c r="G30" i="39" l="1"/>
  <c r="G13" i="39"/>
  <c r="AI37" i="37"/>
  <c r="AR36" i="37"/>
  <c r="S60" i="37"/>
  <c r="AZ42" i="34"/>
  <c r="AZ43" i="34"/>
  <c r="T34" i="37"/>
  <c r="AC33" i="37"/>
  <c r="AK37" i="37" l="1"/>
  <c r="AH37" i="37"/>
  <c r="AD47" i="34" s="1"/>
  <c r="AD46" i="34"/>
  <c r="AM37" i="37"/>
  <c r="V34" i="37"/>
  <c r="BA43" i="34"/>
  <c r="BA42" i="34"/>
  <c r="S61" i="37"/>
  <c r="AD45" i="34" l="1"/>
  <c r="AA42" i="34"/>
  <c r="E13" i="39" s="1"/>
  <c r="AQ37" i="37"/>
  <c r="AJ38" i="37"/>
  <c r="S62" i="37"/>
  <c r="BB43" i="34"/>
  <c r="BB42" i="34"/>
  <c r="X34" i="37"/>
  <c r="E30" i="39" l="1"/>
  <c r="AI38" i="37"/>
  <c r="AR37" i="37"/>
  <c r="AA41" i="34"/>
  <c r="S63" i="37"/>
  <c r="BC43" i="34"/>
  <c r="BC42" i="34"/>
  <c r="U35" i="37"/>
  <c r="AB34" i="37"/>
  <c r="AK38" i="37" l="1"/>
  <c r="AH38" i="37"/>
  <c r="AE47" i="34" s="1"/>
  <c r="AE46" i="34"/>
  <c r="AM38" i="37"/>
  <c r="S64" i="37"/>
  <c r="BD43" i="34"/>
  <c r="BD42" i="34"/>
  <c r="AC34" i="37"/>
  <c r="T35" i="37"/>
  <c r="V35" i="37" s="1"/>
  <c r="AB42" i="34" l="1"/>
  <c r="AQ38" i="37"/>
  <c r="AJ39" i="37"/>
  <c r="AE45" i="34"/>
  <c r="BE43" i="34"/>
  <c r="S65" i="37"/>
  <c r="BE42" i="34"/>
  <c r="F30" i="39" l="1"/>
  <c r="F13" i="39"/>
  <c r="AI39" i="37"/>
  <c r="AR38" i="37"/>
  <c r="S66" i="37"/>
  <c r="BF42" i="34"/>
  <c r="BF43" i="34"/>
  <c r="AB41" i="34"/>
  <c r="X35" i="37"/>
  <c r="AK39" i="37" l="1"/>
  <c r="AH39" i="37"/>
  <c r="AF47" i="34" s="1"/>
  <c r="AF46" i="34"/>
  <c r="AM39" i="37"/>
  <c r="BG43" i="34"/>
  <c r="BG42" i="34"/>
  <c r="S67" i="37"/>
  <c r="U36" i="37"/>
  <c r="AB35" i="37"/>
  <c r="E57" i="34"/>
  <c r="E69" i="34" l="1"/>
  <c r="F44" i="39"/>
  <c r="AF45" i="34"/>
  <c r="AJ40" i="37"/>
  <c r="AQ39" i="37"/>
  <c r="S68" i="37"/>
  <c r="BH43" i="34"/>
  <c r="BH42" i="34"/>
  <c r="T36" i="37"/>
  <c r="V36" i="37" s="1"/>
  <c r="AC35" i="37"/>
  <c r="AI40" i="37" l="1"/>
  <c r="AR39" i="37"/>
  <c r="BI42" i="34"/>
  <c r="BI43" i="34"/>
  <c r="S69" i="37"/>
  <c r="AC41" i="34"/>
  <c r="X36" i="37"/>
  <c r="AK40" i="37" l="1"/>
  <c r="AH40" i="37"/>
  <c r="AG47" i="34" s="1"/>
  <c r="AG46" i="34"/>
  <c r="AM40" i="37"/>
  <c r="S70" i="37"/>
  <c r="BJ42" i="34"/>
  <c r="BJ43" i="34"/>
  <c r="U37" i="37"/>
  <c r="AB36" i="37"/>
  <c r="AG45" i="34" l="1"/>
  <c r="AQ40" i="37"/>
  <c r="AJ41" i="37"/>
  <c r="BK43" i="34"/>
  <c r="BK42" i="34"/>
  <c r="AC36" i="37"/>
  <c r="T37" i="37"/>
  <c r="V37" i="37" s="1"/>
  <c r="H30" i="39" l="1"/>
  <c r="J30" i="39" s="1"/>
  <c r="H13" i="39"/>
  <c r="J13" i="39" s="1"/>
  <c r="AR40" i="37"/>
  <c r="AI41" i="37"/>
  <c r="AD41" i="34"/>
  <c r="X37" i="37"/>
  <c r="AK41" i="37" l="1"/>
  <c r="AH41" i="37"/>
  <c r="AH47" i="34" s="1"/>
  <c r="AM41" i="37"/>
  <c r="AH46" i="34"/>
  <c r="AB37" i="37"/>
  <c r="U38" i="37"/>
  <c r="AH45" i="34" l="1"/>
  <c r="AJ42" i="37"/>
  <c r="AQ41" i="37"/>
  <c r="T38" i="37"/>
  <c r="V38" i="37" s="1"/>
  <c r="AC37" i="37"/>
  <c r="AR41" i="37" l="1"/>
  <c r="AI42" i="37"/>
  <c r="AE41" i="34"/>
  <c r="X38" i="37"/>
  <c r="AK42" i="37" l="1"/>
  <c r="AH42" i="37"/>
  <c r="AI47" i="34" s="1"/>
  <c r="AB38" i="37"/>
  <c r="U39" i="37"/>
  <c r="AI46" i="34" l="1"/>
  <c r="AI45" i="34" s="1"/>
  <c r="AM42" i="37"/>
  <c r="AC38" i="37"/>
  <c r="T39" i="37"/>
  <c r="V39" i="37" s="1"/>
  <c r="AJ43" i="37" l="1"/>
  <c r="AQ42" i="37"/>
  <c r="AF41" i="34"/>
  <c r="X39" i="37"/>
  <c r="AR42" i="37" l="1"/>
  <c r="AI43" i="37"/>
  <c r="AB39" i="37"/>
  <c r="U40" i="37"/>
  <c r="AK43" i="37" l="1"/>
  <c r="AH43" i="37"/>
  <c r="AJ47" i="34" s="1"/>
  <c r="T40" i="37"/>
  <c r="V40" i="37" s="1"/>
  <c r="AC39" i="37"/>
  <c r="AJ46" i="34" l="1"/>
  <c r="AJ45" i="34" s="1"/>
  <c r="AM43" i="37"/>
  <c r="AJ44" i="37" l="1"/>
  <c r="AQ43" i="37"/>
  <c r="AG41" i="34"/>
  <c r="X40" i="37"/>
  <c r="AI44" i="37" l="1"/>
  <c r="AR43" i="37"/>
  <c r="U41" i="37"/>
  <c r="AB40" i="37"/>
  <c r="AK44" i="37" l="1"/>
  <c r="AH44" i="37"/>
  <c r="AK47" i="34" s="1"/>
  <c r="T41" i="37"/>
  <c r="V41" i="37" s="1"/>
  <c r="AC40" i="37"/>
  <c r="AK46" i="34" l="1"/>
  <c r="AK45" i="34" s="1"/>
  <c r="AM44" i="37"/>
  <c r="AH41" i="34"/>
  <c r="X41" i="37"/>
  <c r="AQ44" i="37" l="1"/>
  <c r="AJ45" i="37"/>
  <c r="U42" i="37"/>
  <c r="AB41" i="37"/>
  <c r="AR44" i="37" l="1"/>
  <c r="AI45" i="37"/>
  <c r="AC41" i="37"/>
  <c r="T42" i="37"/>
  <c r="V42" i="37" s="1"/>
  <c r="AK45" i="37" l="1"/>
  <c r="AH45" i="37"/>
  <c r="AM45" i="37"/>
  <c r="AI41" i="34"/>
  <c r="X42" i="37"/>
  <c r="AL47" i="34" l="1"/>
  <c r="AL46" i="34"/>
  <c r="AL45" i="34" s="1"/>
  <c r="AJ46" i="37"/>
  <c r="AQ45" i="37"/>
  <c r="U43" i="37"/>
  <c r="AB42" i="37"/>
  <c r="AI46" i="37" l="1"/>
  <c r="AR45" i="37"/>
  <c r="AC42" i="37"/>
  <c r="T43" i="37"/>
  <c r="V43" i="37" s="1"/>
  <c r="AK46" i="37" l="1"/>
  <c r="AH46" i="37"/>
  <c r="AM47" i="34" s="1"/>
  <c r="AM46" i="34"/>
  <c r="AM46" i="37"/>
  <c r="AJ41" i="34"/>
  <c r="X43" i="37"/>
  <c r="F31" i="39" l="1"/>
  <c r="F14" i="39"/>
  <c r="AM45" i="34"/>
  <c r="AJ47" i="37"/>
  <c r="AQ46" i="37"/>
  <c r="AB43" i="37"/>
  <c r="U44" i="37"/>
  <c r="AR46" i="37" l="1"/>
  <c r="AI47" i="37"/>
  <c r="AC43" i="37"/>
  <c r="T44" i="37"/>
  <c r="V44" i="37" s="1"/>
  <c r="AK47" i="37" l="1"/>
  <c r="AH47" i="37"/>
  <c r="AM47" i="37"/>
  <c r="AN46" i="34" l="1"/>
  <c r="AN47" i="34"/>
  <c r="AQ47" i="37"/>
  <c r="AJ48" i="37"/>
  <c r="AK41" i="34"/>
  <c r="X44" i="37"/>
  <c r="AN45" i="34" l="1"/>
  <c r="AR47" i="37"/>
  <c r="AI48" i="37"/>
  <c r="AB44" i="37"/>
  <c r="U45" i="37"/>
  <c r="AK48" i="37" l="1"/>
  <c r="AM48" i="37" s="1"/>
  <c r="AH48" i="37"/>
  <c r="AQ48" i="37"/>
  <c r="AJ49" i="37"/>
  <c r="AI49" i="37"/>
  <c r="T45" i="37"/>
  <c r="V45" i="37" s="1"/>
  <c r="AC44" i="37"/>
  <c r="AR48" i="37" l="1"/>
  <c r="AO46" i="34"/>
  <c r="AO47" i="34"/>
  <c r="AK49" i="37"/>
  <c r="AH49" i="37"/>
  <c r="AM49" i="37"/>
  <c r="AO45" i="34" l="1"/>
  <c r="AP46" i="34"/>
  <c r="AP47" i="34"/>
  <c r="AJ50" i="37"/>
  <c r="AQ49" i="37"/>
  <c r="AL41" i="34"/>
  <c r="X45" i="37"/>
  <c r="AP45" i="34" l="1"/>
  <c r="AI50" i="37"/>
  <c r="AR49" i="37"/>
  <c r="AB45" i="37"/>
  <c r="U46" i="37"/>
  <c r="AK50" i="37" l="1"/>
  <c r="AM50" i="37" s="1"/>
  <c r="AH50" i="37"/>
  <c r="AJ51" i="37"/>
  <c r="AQ50" i="37"/>
  <c r="AI51" i="37"/>
  <c r="T46" i="37"/>
  <c r="V46" i="37" s="1"/>
  <c r="AC45" i="37"/>
  <c r="AR50" i="37" l="1"/>
  <c r="AQ46" i="34"/>
  <c r="AQ47" i="34"/>
  <c r="AK51" i="37"/>
  <c r="AM51" i="37" s="1"/>
  <c r="AH51" i="37"/>
  <c r="AJ52" i="37"/>
  <c r="AQ51" i="37"/>
  <c r="AQ45" i="34" l="1"/>
  <c r="AR46" i="34"/>
  <c r="AR47" i="34"/>
  <c r="AR51" i="37"/>
  <c r="AI52" i="37"/>
  <c r="AM41" i="34"/>
  <c r="X46" i="37"/>
  <c r="AR45" i="34" l="1"/>
  <c r="AK52" i="37"/>
  <c r="AM52" i="37" s="1"/>
  <c r="AH52" i="37"/>
  <c r="AJ53" i="37"/>
  <c r="AQ52" i="37"/>
  <c r="U47" i="37"/>
  <c r="AB46" i="37"/>
  <c r="AS46" i="34" l="1"/>
  <c r="AS47" i="34"/>
  <c r="AR52" i="37"/>
  <c r="AI53" i="37"/>
  <c r="T47" i="37"/>
  <c r="V47" i="37" s="1"/>
  <c r="AC46" i="37"/>
  <c r="AS45" i="34" l="1"/>
  <c r="AK53" i="37"/>
  <c r="AM53" i="37" s="1"/>
  <c r="AH53" i="37"/>
  <c r="AQ53" i="37"/>
  <c r="AJ54" i="37"/>
  <c r="AT46" i="34" l="1"/>
  <c r="AT47" i="34"/>
  <c r="AI54" i="37"/>
  <c r="AR53" i="37"/>
  <c r="AN41" i="34"/>
  <c r="X47" i="37"/>
  <c r="AT45" i="34" l="1"/>
  <c r="AK54" i="37"/>
  <c r="AM54" i="37" s="1"/>
  <c r="AH54" i="37"/>
  <c r="AJ55" i="37"/>
  <c r="AQ54" i="37"/>
  <c r="AB47" i="37"/>
  <c r="U48" i="37"/>
  <c r="AU46" i="34" l="1"/>
  <c r="AU47" i="34"/>
  <c r="AR54" i="37"/>
  <c r="AI55" i="37"/>
  <c r="T48" i="37"/>
  <c r="V48" i="37" s="1"/>
  <c r="AC47" i="37"/>
  <c r="AU45" i="34" l="1"/>
  <c r="AK55" i="37"/>
  <c r="AM55" i="37" s="1"/>
  <c r="AH55" i="37"/>
  <c r="AQ55" i="37"/>
  <c r="AJ56" i="37"/>
  <c r="AV46" i="34" l="1"/>
  <c r="AV47" i="34"/>
  <c r="AI56" i="37"/>
  <c r="AR55" i="37"/>
  <c r="AO41" i="34"/>
  <c r="X48" i="37"/>
  <c r="AV45" i="34" l="1"/>
  <c r="AK56" i="37"/>
  <c r="AM56" i="37" s="1"/>
  <c r="AH56" i="37"/>
  <c r="AQ56" i="37"/>
  <c r="AJ57" i="37"/>
  <c r="U49" i="37"/>
  <c r="AB48" i="37"/>
  <c r="AW46" i="34" l="1"/>
  <c r="AW47" i="34"/>
  <c r="AI57" i="37"/>
  <c r="AR56" i="37"/>
  <c r="AC48" i="37"/>
  <c r="T49" i="37"/>
  <c r="V49" i="37" s="1"/>
  <c r="AW45" i="34" l="1"/>
  <c r="AK57" i="37"/>
  <c r="AM57" i="37" s="1"/>
  <c r="AH57" i="37"/>
  <c r="AJ58" i="37"/>
  <c r="AQ57" i="37"/>
  <c r="AX47" i="34" l="1"/>
  <c r="AX46" i="34"/>
  <c r="AR57" i="37"/>
  <c r="AI58" i="37"/>
  <c r="AP41" i="34"/>
  <c r="X49" i="37"/>
  <c r="AX45" i="34" l="1"/>
  <c r="AK58" i="37"/>
  <c r="AM58" i="37" s="1"/>
  <c r="AH58" i="37"/>
  <c r="AJ59" i="37"/>
  <c r="AQ58" i="37"/>
  <c r="U50" i="37"/>
  <c r="AB49" i="37"/>
  <c r="AY47" i="34" l="1"/>
  <c r="AY46" i="34"/>
  <c r="AI59" i="37"/>
  <c r="AR58" i="37"/>
  <c r="T50" i="37"/>
  <c r="V50" i="37" s="1"/>
  <c r="AC49" i="37"/>
  <c r="G14" i="39" l="1"/>
  <c r="G31" i="39"/>
  <c r="AY45" i="34"/>
  <c r="AK59" i="37"/>
  <c r="AH59" i="37"/>
  <c r="AM59" i="37"/>
  <c r="AZ47" i="34" l="1"/>
  <c r="AZ46" i="34"/>
  <c r="AQ59" i="37"/>
  <c r="AJ60" i="37"/>
  <c r="AQ41" i="34"/>
  <c r="X50" i="37"/>
  <c r="AZ45" i="34" l="1"/>
  <c r="AI60" i="37"/>
  <c r="AR59" i="37"/>
  <c r="U51" i="37"/>
  <c r="AB50" i="37"/>
  <c r="AH60" i="37" l="1"/>
  <c r="AK60" i="37"/>
  <c r="AM60" i="37" s="1"/>
  <c r="AC50" i="37"/>
  <c r="T51" i="37"/>
  <c r="V51" i="37" s="1"/>
  <c r="H57" i="34"/>
  <c r="BA46" i="34" l="1"/>
  <c r="BA47" i="34"/>
  <c r="AQ60" i="37"/>
  <c r="AJ61" i="37"/>
  <c r="H69" i="34"/>
  <c r="F47" i="39"/>
  <c r="K57" i="34"/>
  <c r="BA45" i="34" l="1"/>
  <c r="AI61" i="37"/>
  <c r="AR60" i="37"/>
  <c r="K69" i="34"/>
  <c r="F50" i="39"/>
  <c r="AR41" i="34"/>
  <c r="X51" i="37"/>
  <c r="N57" i="34"/>
  <c r="AH61" i="37" l="1"/>
  <c r="AK61" i="37"/>
  <c r="AM61" i="37" s="1"/>
  <c r="N69" i="34"/>
  <c r="F53" i="39"/>
  <c r="AB51" i="37"/>
  <c r="U52" i="37"/>
  <c r="P57" i="34"/>
  <c r="BB47" i="34" l="1"/>
  <c r="BB46" i="34"/>
  <c r="AJ62" i="37"/>
  <c r="AQ61" i="37"/>
  <c r="P69" i="34"/>
  <c r="F55" i="39"/>
  <c r="AC51" i="37"/>
  <c r="T52" i="37"/>
  <c r="V52" i="37" s="1"/>
  <c r="Q57" i="34"/>
  <c r="BB45" i="34" l="1"/>
  <c r="AI62" i="37"/>
  <c r="AR61" i="37"/>
  <c r="Q69" i="34"/>
  <c r="F56" i="39"/>
  <c r="S57" i="34"/>
  <c r="AH62" i="37" l="1"/>
  <c r="AK62" i="37"/>
  <c r="AM62" i="37" s="1"/>
  <c r="S69" i="34"/>
  <c r="F58" i="39"/>
  <c r="AS41" i="34"/>
  <c r="X52" i="37"/>
  <c r="BC47" i="34" l="1"/>
  <c r="BC46" i="34"/>
  <c r="AJ63" i="37"/>
  <c r="AQ62" i="37"/>
  <c r="U53" i="37"/>
  <c r="AB52" i="37"/>
  <c r="T57" i="34"/>
  <c r="BC45" i="34" l="1"/>
  <c r="AR62" i="37"/>
  <c r="AI63" i="37"/>
  <c r="T69" i="34"/>
  <c r="F59" i="39"/>
  <c r="T53" i="37"/>
  <c r="V53" i="37" s="1"/>
  <c r="AC52" i="37"/>
  <c r="F57" i="34"/>
  <c r="O57" i="34"/>
  <c r="E58" i="34"/>
  <c r="D58" i="34"/>
  <c r="F58" i="34"/>
  <c r="J58" i="34"/>
  <c r="I58" i="34"/>
  <c r="H58" i="34"/>
  <c r="G58" i="34"/>
  <c r="L58" i="34"/>
  <c r="M58" i="34"/>
  <c r="K58" i="34"/>
  <c r="N58" i="34"/>
  <c r="O58" i="34"/>
  <c r="P58" i="34"/>
  <c r="Q58" i="34"/>
  <c r="R58" i="34"/>
  <c r="S58" i="34"/>
  <c r="T58" i="34"/>
  <c r="U58" i="34"/>
  <c r="V58" i="34"/>
  <c r="G57" i="34"/>
  <c r="J57" i="34"/>
  <c r="D57" i="34"/>
  <c r="I57" i="34"/>
  <c r="L57" i="34"/>
  <c r="M57" i="34"/>
  <c r="R57" i="34"/>
  <c r="U57" i="34"/>
  <c r="AH63" i="37" l="1"/>
  <c r="AK63" i="37"/>
  <c r="AM63" i="37" s="1"/>
  <c r="F69" i="34"/>
  <c r="F45" i="39"/>
  <c r="O69" i="34"/>
  <c r="F54" i="39"/>
  <c r="E70" i="34"/>
  <c r="G44" i="39"/>
  <c r="D70" i="34"/>
  <c r="G43" i="39"/>
  <c r="F70" i="34"/>
  <c r="G45" i="39"/>
  <c r="J70" i="34"/>
  <c r="G49" i="39"/>
  <c r="I70" i="34"/>
  <c r="G48" i="39"/>
  <c r="H70" i="34"/>
  <c r="G47" i="39"/>
  <c r="G70" i="34"/>
  <c r="G46" i="39"/>
  <c r="L70" i="34"/>
  <c r="G51" i="39"/>
  <c r="M70" i="34"/>
  <c r="G52" i="39"/>
  <c r="K70" i="34"/>
  <c r="G50" i="39"/>
  <c r="N70" i="34"/>
  <c r="G53" i="39"/>
  <c r="O70" i="34"/>
  <c r="G54" i="39"/>
  <c r="P70" i="34"/>
  <c r="G55" i="39"/>
  <c r="Q70" i="34"/>
  <c r="G56" i="39"/>
  <c r="R70" i="34"/>
  <c r="G57" i="39"/>
  <c r="S70" i="34"/>
  <c r="G58" i="39"/>
  <c r="T70" i="34"/>
  <c r="G59" i="39"/>
  <c r="U70" i="34"/>
  <c r="G60" i="39"/>
  <c r="V70" i="34"/>
  <c r="G61" i="39"/>
  <c r="G69" i="34"/>
  <c r="F46" i="39"/>
  <c r="J69" i="34"/>
  <c r="F49" i="39"/>
  <c r="D69" i="34"/>
  <c r="F43" i="39"/>
  <c r="I69" i="34"/>
  <c r="F48" i="39"/>
  <c r="L69" i="34"/>
  <c r="F51" i="39"/>
  <c r="M69" i="34"/>
  <c r="F52" i="39"/>
  <c r="R69" i="34"/>
  <c r="F57" i="39"/>
  <c r="U69" i="34"/>
  <c r="F60" i="39"/>
  <c r="V57" i="34"/>
  <c r="BD47" i="34" l="1"/>
  <c r="BD46" i="34"/>
  <c r="AJ64" i="37"/>
  <c r="AQ63" i="37"/>
  <c r="V69" i="34"/>
  <c r="F61" i="39"/>
  <c r="AT41" i="34"/>
  <c r="X53" i="37"/>
  <c r="W58" i="34"/>
  <c r="AI64" i="37" l="1"/>
  <c r="AR63" i="37"/>
  <c r="BD45" i="34"/>
  <c r="W70" i="34"/>
  <c r="G62" i="39"/>
  <c r="U54" i="37"/>
  <c r="AB53" i="37"/>
  <c r="W57" i="34"/>
  <c r="AH64" i="37" l="1"/>
  <c r="AK64" i="37"/>
  <c r="AM64" i="37" s="1"/>
  <c r="W69" i="34"/>
  <c r="F62" i="39"/>
  <c r="T54" i="37"/>
  <c r="V54" i="37" s="1"/>
  <c r="AC53" i="37"/>
  <c r="X58" i="34"/>
  <c r="BE46" i="34" l="1"/>
  <c r="BE45" i="34" s="1"/>
  <c r="BE47" i="34"/>
  <c r="AJ65" i="37"/>
  <c r="AQ64" i="37"/>
  <c r="X70" i="34"/>
  <c r="G63" i="39"/>
  <c r="X57" i="34"/>
  <c r="AR64" i="37" l="1"/>
  <c r="AI65" i="37"/>
  <c r="X69" i="34"/>
  <c r="F63" i="39"/>
  <c r="AU41" i="34"/>
  <c r="X54" i="37"/>
  <c r="Y58" i="34"/>
  <c r="AH65" i="37" l="1"/>
  <c r="AK65" i="37"/>
  <c r="AM65" i="37" s="1"/>
  <c r="Y70" i="34"/>
  <c r="G64" i="39"/>
  <c r="AB54" i="37"/>
  <c r="U55" i="37"/>
  <c r="Y57" i="34"/>
  <c r="BF46" i="34" l="1"/>
  <c r="BF47" i="34"/>
  <c r="AQ65" i="37"/>
  <c r="AJ66" i="37"/>
  <c r="Y69" i="34"/>
  <c r="F64" i="39"/>
  <c r="AC54" i="37"/>
  <c r="T55" i="37"/>
  <c r="V55" i="37" s="1"/>
  <c r="Z58" i="34"/>
  <c r="AI66" i="37" l="1"/>
  <c r="AR65" i="37"/>
  <c r="BF45" i="34"/>
  <c r="Z70" i="34"/>
  <c r="G65" i="39"/>
  <c r="AV41" i="34"/>
  <c r="X55" i="37"/>
  <c r="Z57" i="34"/>
  <c r="AH66" i="37" l="1"/>
  <c r="AK66" i="37"/>
  <c r="AM66" i="37" s="1"/>
  <c r="Z69" i="34"/>
  <c r="F65" i="39"/>
  <c r="AB55" i="37"/>
  <c r="U56" i="37"/>
  <c r="AA58" i="34"/>
  <c r="BG47" i="34" l="1"/>
  <c r="BG46" i="34"/>
  <c r="AQ66" i="37"/>
  <c r="AJ67" i="37"/>
  <c r="AA70" i="34"/>
  <c r="G66" i="39"/>
  <c r="P14" i="39"/>
  <c r="P31" i="39"/>
  <c r="Q31" i="39"/>
  <c r="Q14" i="39"/>
  <c r="T56" i="37"/>
  <c r="V56" i="37" s="1"/>
  <c r="AC55" i="37"/>
  <c r="AA57" i="34"/>
  <c r="BG45" i="34" l="1"/>
  <c r="AR66" i="37"/>
  <c r="AI67" i="37"/>
  <c r="AA69" i="34"/>
  <c r="F66" i="39"/>
  <c r="AB58" i="34"/>
  <c r="AH67" i="37" l="1"/>
  <c r="AK67" i="37"/>
  <c r="AB70" i="34"/>
  <c r="G67" i="39"/>
  <c r="AW41" i="34"/>
  <c r="X56" i="37"/>
  <c r="AB57" i="34"/>
  <c r="BH47" i="34" l="1"/>
  <c r="BH46" i="34"/>
  <c r="AM67" i="37"/>
  <c r="AB69" i="34"/>
  <c r="F67" i="39"/>
  <c r="U57" i="37"/>
  <c r="AB56" i="37"/>
  <c r="AC58" i="34"/>
  <c r="AQ67" i="37" l="1"/>
  <c r="AJ68" i="37"/>
  <c r="BH45" i="34"/>
  <c r="AC70" i="34"/>
  <c r="G68" i="39"/>
  <c r="T57" i="37"/>
  <c r="V57" i="37" s="1"/>
  <c r="AC56" i="37"/>
  <c r="AC57" i="34"/>
  <c r="AR67" i="37" l="1"/>
  <c r="AI68" i="37"/>
  <c r="AC69" i="34"/>
  <c r="F68" i="39"/>
  <c r="AD58" i="34"/>
  <c r="AH68" i="37" l="1"/>
  <c r="AK68" i="37"/>
  <c r="AD70" i="34"/>
  <c r="G69" i="39"/>
  <c r="AX41" i="34"/>
  <c r="X57" i="37"/>
  <c r="AD57" i="34"/>
  <c r="BI46" i="34" l="1"/>
  <c r="BI45" i="34" s="1"/>
  <c r="BI47" i="34"/>
  <c r="AM68" i="37"/>
  <c r="AD69" i="34"/>
  <c r="F69" i="39"/>
  <c r="AB57" i="37"/>
  <c r="U58" i="37"/>
  <c r="AE58" i="34"/>
  <c r="AQ68" i="37" l="1"/>
  <c r="AJ69" i="37"/>
  <c r="AE70" i="34"/>
  <c r="G70" i="39"/>
  <c r="T58" i="37"/>
  <c r="V58" i="37" s="1"/>
  <c r="AC57" i="37"/>
  <c r="AE57" i="34"/>
  <c r="AR68" i="37" l="1"/>
  <c r="AI69" i="37"/>
  <c r="AE69" i="34"/>
  <c r="F70" i="39"/>
  <c r="AF58" i="34"/>
  <c r="AH69" i="37" l="1"/>
  <c r="AK69" i="37"/>
  <c r="AF70" i="34"/>
  <c r="G71" i="39"/>
  <c r="AY41" i="34"/>
  <c r="X58" i="37"/>
  <c r="BJ46" i="34" l="1"/>
  <c r="BJ47" i="34"/>
  <c r="AM69" i="37"/>
  <c r="AB58" i="37"/>
  <c r="U59" i="37"/>
  <c r="AJ70" i="37" l="1"/>
  <c r="AQ69" i="37"/>
  <c r="BJ45" i="34"/>
  <c r="AC58" i="37"/>
  <c r="T59" i="37"/>
  <c r="V59" i="37" s="1"/>
  <c r="AF57" i="34"/>
  <c r="AI70" i="37" l="1"/>
  <c r="AR69" i="37"/>
  <c r="AF69" i="34"/>
  <c r="F71" i="39"/>
  <c r="AZ41" i="34"/>
  <c r="X59" i="37"/>
  <c r="AG58" i="34"/>
  <c r="AH70" i="37" l="1"/>
  <c r="AK70" i="37"/>
  <c r="AG70" i="34"/>
  <c r="G72" i="39"/>
  <c r="U60" i="37"/>
  <c r="AB59" i="37"/>
  <c r="AG57" i="34"/>
  <c r="BK47" i="34" l="1"/>
  <c r="BK46" i="34"/>
  <c r="AM70" i="37"/>
  <c r="AQ70" i="37" s="1"/>
  <c r="AR70" i="37" s="1"/>
  <c r="R31" i="39"/>
  <c r="R14" i="39"/>
  <c r="O14" i="39"/>
  <c r="O31" i="39"/>
  <c r="N14" i="39"/>
  <c r="N31" i="39"/>
  <c r="AG69" i="34"/>
  <c r="F72" i="39"/>
  <c r="AC59" i="37"/>
  <c r="T60" i="37"/>
  <c r="V60" i="37" s="1"/>
  <c r="AH58" i="34"/>
  <c r="T14" i="39" l="1"/>
  <c r="T31" i="39"/>
  <c r="H14" i="39"/>
  <c r="J14" i="39" s="1"/>
  <c r="H31" i="39"/>
  <c r="J31" i="39" s="1"/>
  <c r="BK45" i="34"/>
  <c r="AH70" i="34"/>
  <c r="G73" i="39"/>
  <c r="AH57" i="34"/>
  <c r="AH69" i="34" l="1"/>
  <c r="F73" i="39"/>
  <c r="BA41" i="34"/>
  <c r="X60" i="37"/>
  <c r="AI58" i="34"/>
  <c r="AI70" i="34" l="1"/>
  <c r="G74" i="39"/>
  <c r="U61" i="37"/>
  <c r="AB60" i="37"/>
  <c r="AI57" i="34"/>
  <c r="AI69" i="34" l="1"/>
  <c r="F74" i="39"/>
  <c r="T61" i="37"/>
  <c r="V61" i="37" s="1"/>
  <c r="AC60" i="37"/>
  <c r="AJ58" i="34"/>
  <c r="AJ70" i="34" l="1"/>
  <c r="G75" i="39"/>
  <c r="BB41" i="34"/>
  <c r="X61" i="37"/>
  <c r="AJ57" i="34"/>
  <c r="AJ69" i="34" l="1"/>
  <c r="F75" i="39"/>
  <c r="AB61" i="37"/>
  <c r="U62" i="37"/>
  <c r="AK58" i="34"/>
  <c r="AK70" i="34" l="1"/>
  <c r="G76" i="39"/>
  <c r="AC61" i="37"/>
  <c r="T62" i="37"/>
  <c r="V62" i="37" s="1"/>
  <c r="AK57" i="34"/>
  <c r="AK69" i="34" l="1"/>
  <c r="F76" i="39"/>
  <c r="AL58" i="34"/>
  <c r="AL70" i="34" l="1"/>
  <c r="G77" i="39"/>
  <c r="BC41" i="34"/>
  <c r="X62" i="37"/>
  <c r="AL57" i="34"/>
  <c r="AL69" i="34" l="1"/>
  <c r="F77" i="39"/>
  <c r="AB62" i="37"/>
  <c r="U63" i="37"/>
  <c r="AM58" i="34"/>
  <c r="AM70" i="34" l="1"/>
  <c r="G78" i="39"/>
  <c r="AC62" i="37"/>
  <c r="T63" i="37"/>
  <c r="V63" i="37" s="1"/>
  <c r="AM57" i="34"/>
  <c r="AM69" i="34" l="1"/>
  <c r="F78" i="39"/>
  <c r="AN58" i="34"/>
  <c r="AN70" i="34" l="1"/>
  <c r="G79" i="39"/>
  <c r="BD41" i="34"/>
  <c r="X63" i="37"/>
  <c r="AN57" i="34"/>
  <c r="AN69" i="34" l="1"/>
  <c r="F79" i="39"/>
  <c r="AB63" i="37"/>
  <c r="U64" i="37"/>
  <c r="AO58" i="34"/>
  <c r="AO70" i="34" l="1"/>
  <c r="G80" i="39"/>
  <c r="T64" i="37"/>
  <c r="V64" i="37" s="1"/>
  <c r="AC63" i="37"/>
  <c r="AO57" i="34"/>
  <c r="AO69" i="34" l="1"/>
  <c r="F80" i="39"/>
  <c r="AP58" i="34"/>
  <c r="AP70" i="34" l="1"/>
  <c r="G81" i="39"/>
  <c r="BE41" i="34"/>
  <c r="X64" i="37"/>
  <c r="AP57" i="34"/>
  <c r="AP69" i="34" l="1"/>
  <c r="F81" i="39"/>
  <c r="U65" i="37"/>
  <c r="AB64" i="37"/>
  <c r="AQ58" i="34"/>
  <c r="AQ70" i="34" l="1"/>
  <c r="G82" i="39"/>
  <c r="AC64" i="37"/>
  <c r="T65" i="37"/>
  <c r="V65" i="37" s="1"/>
  <c r="AQ57" i="34"/>
  <c r="AQ69" i="34" l="1"/>
  <c r="F82" i="39"/>
  <c r="AR58" i="34"/>
  <c r="AR70" i="34" l="1"/>
  <c r="G83" i="39"/>
  <c r="BF41" i="34"/>
  <c r="X65" i="37"/>
  <c r="U66" i="37" l="1"/>
  <c r="AB65" i="37"/>
  <c r="AC65" i="37" l="1"/>
  <c r="T66" i="37"/>
  <c r="V66" i="37" s="1"/>
  <c r="AR57" i="34"/>
  <c r="AR69" i="34" l="1"/>
  <c r="F83" i="39"/>
  <c r="AS58" i="34"/>
  <c r="AS70" i="34" l="1"/>
  <c r="G84" i="39"/>
  <c r="BG41" i="34"/>
  <c r="X66" i="37"/>
  <c r="AS57" i="34"/>
  <c r="AS69" i="34" l="1"/>
  <c r="F84" i="39"/>
  <c r="U67" i="37"/>
  <c r="AB66" i="37"/>
  <c r="AT58" i="34"/>
  <c r="AT70" i="34" l="1"/>
  <c r="G85" i="39"/>
  <c r="AC66" i="37"/>
  <c r="T67" i="37"/>
  <c r="V67" i="37" s="1"/>
  <c r="AT57" i="34"/>
  <c r="AT69" i="34" l="1"/>
  <c r="F85" i="39"/>
  <c r="BH41" i="34"/>
  <c r="X67" i="37"/>
  <c r="AU58" i="34"/>
  <c r="AU70" i="34" l="1"/>
  <c r="G86" i="39"/>
  <c r="AB67" i="37"/>
  <c r="U68" i="37"/>
  <c r="AU57" i="34"/>
  <c r="AU69" i="34" l="1"/>
  <c r="F86" i="39"/>
  <c r="AC67" i="37"/>
  <c r="T68" i="37"/>
  <c r="V68" i="37" s="1"/>
  <c r="AV58" i="34"/>
  <c r="AV70" i="34" l="1"/>
  <c r="G87" i="39"/>
  <c r="BI41" i="34"/>
  <c r="X68" i="37"/>
  <c r="AV57" i="34"/>
  <c r="AV69" i="34" l="1"/>
  <c r="F87" i="39"/>
  <c r="AB68" i="37"/>
  <c r="U69" i="37"/>
  <c r="AW58" i="34"/>
  <c r="AW70" i="34" l="1"/>
  <c r="G88" i="39"/>
  <c r="AC68" i="37"/>
  <c r="T69" i="37"/>
  <c r="V69" i="37" s="1"/>
  <c r="AW57" i="34"/>
  <c r="AW69" i="34" l="1"/>
  <c r="F88" i="39"/>
  <c r="BJ41" i="34"/>
  <c r="X69" i="37"/>
  <c r="AX58" i="34"/>
  <c r="AX70" i="34" l="1"/>
  <c r="G89" i="39"/>
  <c r="U70" i="37"/>
  <c r="AB69" i="37"/>
  <c r="AX57" i="34"/>
  <c r="AX69" i="34" l="1"/>
  <c r="F89" i="39"/>
  <c r="AC69" i="37"/>
  <c r="T70" i="37"/>
  <c r="V70" i="37" s="1"/>
  <c r="AY58" i="34"/>
  <c r="AY70" i="34" l="1"/>
  <c r="G90" i="39"/>
  <c r="O30" i="39"/>
  <c r="O13" i="39"/>
  <c r="P30" i="39"/>
  <c r="P13" i="39"/>
  <c r="Q30" i="39"/>
  <c r="Q13" i="39"/>
  <c r="R13" i="39"/>
  <c r="R30" i="39"/>
  <c r="AY57" i="34"/>
  <c r="T30" i="39" l="1"/>
  <c r="T13" i="39"/>
  <c r="AY69" i="34"/>
  <c r="F90" i="39"/>
  <c r="BK41" i="34"/>
  <c r="X70" i="37"/>
  <c r="AB70" i="37" s="1"/>
  <c r="AC70" i="37" s="1"/>
  <c r="AZ58" i="34"/>
  <c r="AZ70" i="34" l="1"/>
  <c r="G91" i="39"/>
  <c r="AZ57" i="34"/>
  <c r="AZ69" i="34" l="1"/>
  <c r="F91" i="39"/>
  <c r="BA58" i="34"/>
  <c r="BA70" i="34" l="1"/>
  <c r="G92" i="39"/>
  <c r="BA57" i="34"/>
  <c r="BA69" i="34" l="1"/>
  <c r="F92" i="39"/>
  <c r="BB58" i="34"/>
  <c r="BB70" i="34" l="1"/>
  <c r="G93" i="39"/>
  <c r="BB57" i="34"/>
  <c r="BB69" i="34" l="1"/>
  <c r="F93" i="39"/>
  <c r="BC58" i="34"/>
  <c r="BC70" i="34" l="1"/>
  <c r="G94" i="39"/>
  <c r="BF58" i="34"/>
  <c r="BK58" i="34"/>
  <c r="BD58" i="34"/>
  <c r="BG58" i="34"/>
  <c r="BI58" i="34"/>
  <c r="BH58" i="34"/>
  <c r="BE58" i="34"/>
  <c r="BJ58" i="34"/>
  <c r="BF70" i="34" l="1"/>
  <c r="G97" i="39"/>
  <c r="BK70" i="34"/>
  <c r="G102" i="39"/>
  <c r="BD70" i="34"/>
  <c r="G95" i="39"/>
  <c r="BG70" i="34"/>
  <c r="G98" i="39"/>
  <c r="BI70" i="34"/>
  <c r="G100" i="39"/>
  <c r="BH70" i="34"/>
  <c r="G99" i="39"/>
  <c r="BE70" i="34"/>
  <c r="G96" i="39"/>
  <c r="BJ70" i="34"/>
  <c r="G101" i="39"/>
  <c r="BC57" i="34"/>
  <c r="BC69" i="34" l="1"/>
  <c r="F94" i="39"/>
  <c r="BF57" i="34"/>
  <c r="BK57" i="34"/>
  <c r="BI57" i="34"/>
  <c r="BE57" i="34"/>
  <c r="BG57" i="34"/>
  <c r="BH57" i="34"/>
  <c r="BD57" i="34"/>
  <c r="BJ57" i="34"/>
  <c r="BF69" i="34" l="1"/>
  <c r="F97" i="39"/>
  <c r="BK69" i="34"/>
  <c r="F102" i="39"/>
  <c r="BI69" i="34"/>
  <c r="F100" i="39"/>
  <c r="BE69" i="34"/>
  <c r="F96" i="39"/>
  <c r="BG69" i="34"/>
  <c r="F98" i="39"/>
  <c r="BH69" i="34"/>
  <c r="F99" i="39"/>
  <c r="BD69" i="34"/>
  <c r="F95" i="39"/>
  <c r="BJ69" i="34"/>
  <c r="F101" i="39"/>
  <c r="I20" i="34"/>
  <c r="X20" i="34"/>
  <c r="O20" i="34"/>
  <c r="AM20" i="34"/>
  <c r="AS20" i="34"/>
  <c r="BC20" i="34"/>
  <c r="BB20" i="34"/>
  <c r="AC20" i="34"/>
  <c r="AX20" i="34"/>
  <c r="AG20" i="34"/>
  <c r="AD20" i="34"/>
  <c r="AU20" i="34"/>
  <c r="BJ20" i="34"/>
  <c r="K20" i="34"/>
  <c r="AO20" i="34"/>
  <c r="R20" i="34"/>
  <c r="U20" i="34"/>
  <c r="AI20" i="34"/>
  <c r="AV20" i="34"/>
  <c r="AA20" i="34"/>
  <c r="Z20" i="34"/>
  <c r="AP20" i="34"/>
  <c r="H20" i="34"/>
  <c r="AL20" i="34"/>
  <c r="BE20" i="34"/>
  <c r="W20" i="34"/>
  <c r="BH20" i="34"/>
  <c r="BG20" i="34"/>
  <c r="AJ20" i="34"/>
  <c r="T20" i="34"/>
  <c r="BF20" i="34"/>
  <c r="BA20" i="34"/>
  <c r="BK20" i="34"/>
  <c r="E20" i="34"/>
  <c r="N20" i="34"/>
  <c r="Q20" i="34"/>
  <c r="AR20" i="34"/>
  <c r="L20" i="34"/>
  <c r="BD20" i="34"/>
  <c r="AF20" i="34"/>
  <c r="BI20" i="34"/>
  <c r="AZ20" i="34"/>
  <c r="AY20" i="34"/>
  <c r="AL24" i="34" l="1"/>
  <c r="BA24" i="34"/>
  <c r="W24" i="34"/>
  <c r="X24" i="34"/>
  <c r="AV24" i="34"/>
  <c r="AX24" i="34"/>
  <c r="L24" i="34"/>
  <c r="AR24" i="34"/>
  <c r="H24" i="34"/>
  <c r="Q24" i="34"/>
  <c r="AC24" i="34"/>
  <c r="AO24" i="34"/>
  <c r="I24" i="34"/>
  <c r="AG24" i="34"/>
  <c r="AS24" i="34"/>
  <c r="K24" i="34"/>
  <c r="AJ24" i="34"/>
  <c r="R24" i="34"/>
  <c r="BB24" i="34"/>
  <c r="AP24" i="34"/>
  <c r="AM24" i="34"/>
  <c r="AI24" i="34"/>
  <c r="O24" i="34"/>
  <c r="BC24" i="34"/>
  <c r="BD24" i="34"/>
  <c r="BF24" i="34"/>
  <c r="BG24" i="34"/>
  <c r="BE24" i="34"/>
  <c r="BH24" i="34"/>
  <c r="AA24" i="34"/>
  <c r="U24" i="34"/>
  <c r="BJ24" i="34"/>
  <c r="AU24" i="34"/>
  <c r="AD24" i="34"/>
  <c r="T24" i="34"/>
  <c r="Z24" i="34"/>
  <c r="N24" i="34"/>
  <c r="BI24" i="34"/>
  <c r="AF24" i="34"/>
  <c r="AY24" i="34"/>
  <c r="BK24" i="34"/>
  <c r="G20" i="34" l="1"/>
  <c r="J20" i="34" l="1"/>
  <c r="M24" i="34" l="1"/>
  <c r="M20" i="34" l="1"/>
  <c r="P24" i="34" l="1"/>
  <c r="P20" i="34" l="1"/>
  <c r="S24" i="34" l="1"/>
  <c r="S20" i="34" l="1"/>
  <c r="V24" i="34" l="1"/>
  <c r="V20" i="34" l="1"/>
  <c r="Y24" i="34" l="1"/>
  <c r="E5" i="39" l="1"/>
  <c r="E22" i="39"/>
  <c r="E23" i="39" s="1"/>
  <c r="Y20" i="34"/>
  <c r="AB24" i="34" l="1"/>
  <c r="AB20" i="34" l="1"/>
  <c r="AE24" i="34" l="1"/>
  <c r="AE20" i="34" l="1"/>
  <c r="AH24" i="34" l="1"/>
  <c r="AH20" i="34" l="1"/>
  <c r="AK24" i="34" l="1"/>
  <c r="F5" i="39" l="1"/>
  <c r="F22" i="39"/>
  <c r="F23" i="39" s="1"/>
  <c r="AK20" i="34"/>
  <c r="AN24" i="34" l="1"/>
  <c r="AN20" i="34" l="1"/>
  <c r="AQ24" i="34" l="1"/>
  <c r="AQ20" i="34" l="1"/>
  <c r="AT24" i="34" l="1"/>
  <c r="AT20" i="34" l="1"/>
  <c r="AW20" i="34"/>
  <c r="AZ24" i="34" l="1"/>
  <c r="AW24" i="34"/>
  <c r="H5" i="39" l="1"/>
  <c r="H22" i="39"/>
  <c r="H23" i="39" s="1"/>
  <c r="G5" i="39"/>
  <c r="G22" i="39"/>
  <c r="G23" i="39" s="1"/>
  <c r="J2" i="36"/>
  <c r="K2" i="36" s="1"/>
  <c r="D20" i="34"/>
  <c r="D14" i="34" s="1"/>
  <c r="G2" i="36" l="1"/>
  <c r="D25" i="34"/>
  <c r="D13" i="34" s="1"/>
  <c r="D19" i="34"/>
  <c r="E19" i="34" s="1"/>
  <c r="F19" i="34" s="1"/>
  <c r="G19" i="34" s="1"/>
  <c r="H19" i="34" s="1"/>
  <c r="I19" i="34" s="1"/>
  <c r="J19" i="34" s="1"/>
  <c r="K19" i="34" s="1"/>
  <c r="L19" i="34" s="1"/>
  <c r="M19" i="34" s="1"/>
  <c r="N19" i="34" s="1"/>
  <c r="O19" i="34" s="1"/>
  <c r="P19" i="34" s="1"/>
  <c r="Q19" i="34" s="1"/>
  <c r="R19" i="34" s="1"/>
  <c r="S19" i="34" s="1"/>
  <c r="T19" i="34" s="1"/>
  <c r="U19" i="34" s="1"/>
  <c r="V19" i="34" s="1"/>
  <c r="W19" i="34" s="1"/>
  <c r="X19" i="34" s="1"/>
  <c r="Y19" i="34" s="1"/>
  <c r="Z19" i="34" s="1"/>
  <c r="AA19" i="34" s="1"/>
  <c r="AB19" i="34" s="1"/>
  <c r="AC19" i="34" s="1"/>
  <c r="AD19" i="34" s="1"/>
  <c r="AE19" i="34" s="1"/>
  <c r="AF19" i="34" s="1"/>
  <c r="AG19" i="34" s="1"/>
  <c r="AH19" i="34" s="1"/>
  <c r="AI19" i="34" s="1"/>
  <c r="AJ19" i="34" s="1"/>
  <c r="AK19" i="34" s="1"/>
  <c r="AL19" i="34" s="1"/>
  <c r="AM19" i="34" s="1"/>
  <c r="AN19" i="34" s="1"/>
  <c r="AO19" i="34" s="1"/>
  <c r="AP19" i="34" s="1"/>
  <c r="AQ19" i="34" s="1"/>
  <c r="AR19" i="34" s="1"/>
  <c r="AS19" i="34" s="1"/>
  <c r="AT19" i="34" s="1"/>
  <c r="AU19" i="34" s="1"/>
  <c r="AV19" i="34" s="1"/>
  <c r="AW19" i="34" s="1"/>
  <c r="AX19" i="34" s="1"/>
  <c r="AY19" i="34" s="1"/>
  <c r="AZ19" i="34" s="1"/>
  <c r="BA19" i="34" s="1"/>
  <c r="BB19" i="34" s="1"/>
  <c r="BC19" i="34" s="1"/>
  <c r="BD19" i="34" s="1"/>
  <c r="BE19" i="34" s="1"/>
  <c r="BF19" i="34" s="1"/>
  <c r="BG19" i="34" s="1"/>
  <c r="BH19" i="34" s="1"/>
  <c r="BI19" i="34" s="1"/>
  <c r="BJ19" i="34" s="1"/>
  <c r="BK19" i="34" s="1"/>
  <c r="G24" i="34" l="1"/>
  <c r="N5" i="39"/>
  <c r="N22" i="39"/>
  <c r="N23" i="39" s="1"/>
  <c r="J24" i="34"/>
  <c r="D22" i="39" l="1"/>
  <c r="D5" i="39"/>
  <c r="J5" i="39" s="1"/>
  <c r="D23" i="39" l="1"/>
  <c r="J22" i="39"/>
  <c r="D12" i="34"/>
  <c r="D17" i="34" s="1"/>
  <c r="D61" i="34" l="1"/>
  <c r="D56" i="34"/>
  <c r="E43" i="39" s="1"/>
  <c r="D72" i="34" l="1"/>
  <c r="J43" i="39"/>
  <c r="E32" i="34"/>
  <c r="D59" i="34"/>
  <c r="H43" i="39" s="1"/>
  <c r="D54" i="34"/>
  <c r="E30" i="34"/>
  <c r="E29" i="34"/>
  <c r="E31" i="34"/>
  <c r="D68" i="34"/>
  <c r="G11" i="37" l="1"/>
  <c r="I11" i="37" s="1"/>
  <c r="C43" i="39"/>
  <c r="D55" i="34"/>
  <c r="D71" i="34"/>
  <c r="E28" i="34"/>
  <c r="F12" i="37" l="1"/>
  <c r="M11" i="37"/>
  <c r="AZ11" i="37"/>
  <c r="BB11" i="37" s="1"/>
  <c r="D43" i="39"/>
  <c r="E14" i="34"/>
  <c r="E25" i="34"/>
  <c r="E13" i="34" s="1"/>
  <c r="BF11" i="37" l="1"/>
  <c r="AY12" i="37"/>
  <c r="E12" i="37"/>
  <c r="N11" i="37"/>
  <c r="E12" i="34"/>
  <c r="E17" i="34" s="1"/>
  <c r="AX12" i="37" l="1"/>
  <c r="AW12" i="37" s="1"/>
  <c r="D12" i="37" s="1"/>
  <c r="BG11" i="37"/>
  <c r="E56" i="34"/>
  <c r="E61" i="34"/>
  <c r="E54" i="34" l="1"/>
  <c r="E44" i="39"/>
  <c r="E72" i="34"/>
  <c r="J44" i="39"/>
  <c r="F32" i="34"/>
  <c r="F31" i="34"/>
  <c r="E59" i="34"/>
  <c r="H44" i="39" s="1"/>
  <c r="F30" i="34"/>
  <c r="F29" i="34"/>
  <c r="E68" i="34"/>
  <c r="C44" i="39" l="1"/>
  <c r="G12" i="37"/>
  <c r="I12" i="37" s="1"/>
  <c r="E71" i="34"/>
  <c r="E55" i="34"/>
  <c r="F28" i="34"/>
  <c r="M12" i="37" l="1"/>
  <c r="F13" i="37"/>
  <c r="AZ12" i="37"/>
  <c r="BB12" i="37" s="1"/>
  <c r="D44" i="39"/>
  <c r="F14" i="34"/>
  <c r="F25" i="34"/>
  <c r="F13" i="34" s="1"/>
  <c r="E13" i="37" l="1"/>
  <c r="N12" i="37"/>
  <c r="BF12" i="37"/>
  <c r="AY13" i="37"/>
  <c r="F12" i="34"/>
  <c r="F17" i="34" s="1"/>
  <c r="AX13" i="37" l="1"/>
  <c r="AW13" i="37" s="1"/>
  <c r="D13" i="37" s="1"/>
  <c r="BG12" i="37"/>
  <c r="F56" i="34"/>
  <c r="F61" i="34"/>
  <c r="F54" i="34" l="1"/>
  <c r="E45" i="39"/>
  <c r="F72" i="34"/>
  <c r="J45" i="39"/>
  <c r="G32" i="34"/>
  <c r="G31" i="34"/>
  <c r="F59" i="34"/>
  <c r="H45" i="39" s="1"/>
  <c r="G30" i="34"/>
  <c r="G29" i="34"/>
  <c r="F68" i="34"/>
  <c r="C45" i="39" l="1"/>
  <c r="G13" i="37"/>
  <c r="I13" i="37" s="1"/>
  <c r="F71" i="34"/>
  <c r="F55" i="34"/>
  <c r="G28" i="34"/>
  <c r="F14" i="37" l="1"/>
  <c r="M13" i="37"/>
  <c r="AZ13" i="37"/>
  <c r="BB13" i="37" s="1"/>
  <c r="D45" i="39"/>
  <c r="G14" i="34"/>
  <c r="G25" i="34"/>
  <c r="G13" i="34" s="1"/>
  <c r="N13" i="37" l="1"/>
  <c r="E14" i="37"/>
  <c r="BF13" i="37"/>
  <c r="AY14" i="37"/>
  <c r="G12" i="34"/>
  <c r="G17" i="34" s="1"/>
  <c r="BG13" i="37" l="1"/>
  <c r="AX14" i="37"/>
  <c r="AW14" i="37" s="1"/>
  <c r="D14" i="37" s="1"/>
  <c r="G61" i="34"/>
  <c r="G56" i="34"/>
  <c r="G72" i="34" l="1"/>
  <c r="J46" i="39"/>
  <c r="G54" i="34"/>
  <c r="E46" i="39"/>
  <c r="G68" i="34"/>
  <c r="H31" i="34"/>
  <c r="H29" i="34"/>
  <c r="H32" i="34"/>
  <c r="H30" i="34"/>
  <c r="G59" i="34"/>
  <c r="H46" i="39" s="1"/>
  <c r="C46" i="39" l="1"/>
  <c r="G14" i="37"/>
  <c r="I14" i="37" s="1"/>
  <c r="G55" i="34"/>
  <c r="G71" i="34"/>
  <c r="H28" i="34"/>
  <c r="F15" i="37" l="1"/>
  <c r="M14" i="37"/>
  <c r="AZ14" i="37"/>
  <c r="BB14" i="37" s="1"/>
  <c r="D46" i="39"/>
  <c r="H14" i="34"/>
  <c r="H25" i="34"/>
  <c r="H13" i="34" s="1"/>
  <c r="E15" i="37" l="1"/>
  <c r="N14" i="37"/>
  <c r="AY15" i="37"/>
  <c r="BF14" i="37"/>
  <c r="H12" i="34"/>
  <c r="H17" i="34" s="1"/>
  <c r="AX15" i="37" l="1"/>
  <c r="BG14" i="37"/>
  <c r="H56" i="34"/>
  <c r="H61" i="34"/>
  <c r="AW15" i="37" l="1"/>
  <c r="D15" i="37" s="1"/>
  <c r="M21" i="32"/>
  <c r="H54" i="34"/>
  <c r="E47" i="39"/>
  <c r="H72" i="34"/>
  <c r="J47" i="39"/>
  <c r="I31" i="34"/>
  <c r="I30" i="34"/>
  <c r="I29" i="34"/>
  <c r="I32" i="34"/>
  <c r="H59" i="34"/>
  <c r="H47" i="39" s="1"/>
  <c r="H68" i="34"/>
  <c r="C47" i="39" l="1"/>
  <c r="G15" i="37"/>
  <c r="I15" i="37" s="1"/>
  <c r="H71" i="34"/>
  <c r="H55" i="34"/>
  <c r="I28" i="34"/>
  <c r="F16" i="37" l="1"/>
  <c r="M15" i="37"/>
  <c r="AZ15" i="37"/>
  <c r="BB15" i="37" s="1"/>
  <c r="D47" i="39"/>
  <c r="I14" i="34"/>
  <c r="I25" i="34"/>
  <c r="I13" i="34" s="1"/>
  <c r="I12" i="34" s="1"/>
  <c r="I17" i="34" s="1"/>
  <c r="E16" i="37" l="1"/>
  <c r="N15" i="37"/>
  <c r="AY16" i="37"/>
  <c r="BF15" i="37"/>
  <c r="I61" i="34"/>
  <c r="I56" i="34"/>
  <c r="AX16" i="37" l="1"/>
  <c r="AW16" i="37" s="1"/>
  <c r="D16" i="37" s="1"/>
  <c r="BG15" i="37"/>
  <c r="I72" i="34"/>
  <c r="J48" i="39"/>
  <c r="I54" i="34"/>
  <c r="E48" i="39"/>
  <c r="J31" i="34"/>
  <c r="J30" i="34"/>
  <c r="J29" i="34"/>
  <c r="J32" i="34"/>
  <c r="I59" i="34"/>
  <c r="H48" i="39" s="1"/>
  <c r="I68" i="34"/>
  <c r="C48" i="39" l="1"/>
  <c r="G16" i="37"/>
  <c r="I16" i="37" s="1"/>
  <c r="J28" i="34"/>
  <c r="I71" i="34"/>
  <c r="I55" i="34"/>
  <c r="F17" i="37" l="1"/>
  <c r="M16" i="37"/>
  <c r="AZ16" i="37"/>
  <c r="BB16" i="37" s="1"/>
  <c r="D48" i="39"/>
  <c r="J25" i="34"/>
  <c r="J13" i="34" s="1"/>
  <c r="J14" i="34"/>
  <c r="J12" i="34" l="1"/>
  <c r="J17" i="34" s="1"/>
  <c r="N16" i="37"/>
  <c r="E17" i="37"/>
  <c r="BF16" i="37"/>
  <c r="AY17" i="37"/>
  <c r="J56" i="34" l="1"/>
  <c r="E49" i="39" s="1"/>
  <c r="J61" i="34"/>
  <c r="AX17" i="37"/>
  <c r="AW17" i="37" s="1"/>
  <c r="D17" i="37" s="1"/>
  <c r="BG16" i="37"/>
  <c r="J72" i="34" l="1"/>
  <c r="J49" i="39"/>
  <c r="K29" i="34"/>
  <c r="K30" i="34"/>
  <c r="K32" i="34"/>
  <c r="K31" i="34"/>
  <c r="J54" i="34"/>
  <c r="J59" i="34"/>
  <c r="J68" i="34"/>
  <c r="K28" i="34" l="1"/>
  <c r="C49" i="39"/>
  <c r="G17" i="37"/>
  <c r="I17" i="37" s="1"/>
  <c r="H49" i="39"/>
  <c r="J71" i="34"/>
  <c r="J55" i="34"/>
  <c r="K14" i="34" l="1"/>
  <c r="K25" i="34"/>
  <c r="K13" i="34" s="1"/>
  <c r="K12" i="34" s="1"/>
  <c r="K17" i="34" s="1"/>
  <c r="AZ17" i="37"/>
  <c r="BB17" i="37" s="1"/>
  <c r="D49" i="39"/>
  <c r="M17" i="37"/>
  <c r="F18" i="37"/>
  <c r="K56" i="34" l="1"/>
  <c r="K68" i="34" s="1"/>
  <c r="K61" i="34"/>
  <c r="E18" i="37"/>
  <c r="N17" i="37"/>
  <c r="BF17" i="37"/>
  <c r="AY18" i="37"/>
  <c r="K72" i="34" l="1"/>
  <c r="J50" i="39"/>
  <c r="L31" i="34"/>
  <c r="L29" i="34"/>
  <c r="K54" i="34"/>
  <c r="E50" i="39"/>
  <c r="L32" i="34"/>
  <c r="L30" i="34"/>
  <c r="K59" i="34"/>
  <c r="BG17" i="37"/>
  <c r="AX18" i="37"/>
  <c r="AW18" i="37" s="1"/>
  <c r="D18" i="37" s="1"/>
  <c r="L28" i="34" l="1"/>
  <c r="C50" i="39"/>
  <c r="G18" i="37"/>
  <c r="I18" i="37" s="1"/>
  <c r="H50" i="39"/>
  <c r="K55" i="34"/>
  <c r="K71" i="34"/>
  <c r="L14" i="34" l="1"/>
  <c r="L25" i="34"/>
  <c r="L13" i="34" s="1"/>
  <c r="L12" i="34" s="1"/>
  <c r="L17" i="34" s="1"/>
  <c r="M18" i="37"/>
  <c r="F19" i="37"/>
  <c r="AZ18" i="37"/>
  <c r="BB18" i="37" s="1"/>
  <c r="D50" i="39"/>
  <c r="N18" i="37" l="1"/>
  <c r="E19" i="37"/>
  <c r="L61" i="34"/>
  <c r="L56" i="34"/>
  <c r="E51" i="39" s="1"/>
  <c r="BF18" i="37"/>
  <c r="AY19" i="37"/>
  <c r="L72" i="34" l="1"/>
  <c r="J51" i="39"/>
  <c r="L59" i="34"/>
  <c r="L68" i="34"/>
  <c r="M32" i="34"/>
  <c r="M29" i="34"/>
  <c r="M30" i="34"/>
  <c r="M31" i="34"/>
  <c r="L54" i="34"/>
  <c r="AX19" i="37"/>
  <c r="AW19" i="37" s="1"/>
  <c r="D19" i="37" s="1"/>
  <c r="BG18" i="37"/>
  <c r="C51" i="39" l="1"/>
  <c r="G19" i="37"/>
  <c r="I19" i="37" s="1"/>
  <c r="M28" i="34"/>
  <c r="H51" i="39"/>
  <c r="L55" i="34"/>
  <c r="L71" i="34"/>
  <c r="F20" i="37" l="1"/>
  <c r="M19" i="37"/>
  <c r="D51" i="39"/>
  <c r="AZ19" i="37"/>
  <c r="BB19" i="37" s="1"/>
  <c r="M14" i="34"/>
  <c r="M25" i="34"/>
  <c r="M13" i="34" s="1"/>
  <c r="M12" i="34" s="1"/>
  <c r="M17" i="34" s="1"/>
  <c r="E20" i="37" l="1"/>
  <c r="N19" i="37"/>
  <c r="AY20" i="37"/>
  <c r="BF19" i="37"/>
  <c r="M61" i="34"/>
  <c r="M56" i="34"/>
  <c r="BG19" i="37" l="1"/>
  <c r="AX20" i="37"/>
  <c r="AW20" i="37" s="1"/>
  <c r="D20" i="37" s="1"/>
  <c r="M72" i="34"/>
  <c r="J52" i="39"/>
  <c r="M54" i="34"/>
  <c r="M59" i="34"/>
  <c r="E52" i="39"/>
  <c r="M68" i="34"/>
  <c r="N31" i="34"/>
  <c r="N29" i="34"/>
  <c r="N32" i="34"/>
  <c r="N30" i="34"/>
  <c r="H52" i="39" l="1"/>
  <c r="M55" i="34"/>
  <c r="M71" i="34"/>
  <c r="C52" i="39"/>
  <c r="G20" i="37"/>
  <c r="I20" i="37" s="1"/>
  <c r="N28" i="34"/>
  <c r="D52" i="39" l="1"/>
  <c r="AZ20" i="37"/>
  <c r="BB20" i="37" s="1"/>
  <c r="F21" i="37"/>
  <c r="M20" i="37"/>
  <c r="N14" i="34"/>
  <c r="N25" i="34"/>
  <c r="N13" i="34" s="1"/>
  <c r="N12" i="34" s="1"/>
  <c r="N17" i="34" s="1"/>
  <c r="BF20" i="37" l="1"/>
  <c r="AY21" i="37"/>
  <c r="N20" i="37"/>
  <c r="E21" i="37"/>
  <c r="N56" i="34"/>
  <c r="E53" i="39" s="1"/>
  <c r="N61" i="34"/>
  <c r="BG20" i="37" l="1"/>
  <c r="AX21" i="37"/>
  <c r="AW21" i="37" s="1"/>
  <c r="D21" i="37" s="1"/>
  <c r="J53" i="39"/>
  <c r="N72" i="34"/>
  <c r="N54" i="34"/>
  <c r="O32" i="34"/>
  <c r="O30" i="34"/>
  <c r="O29" i="34"/>
  <c r="O31" i="34"/>
  <c r="N59" i="34"/>
  <c r="N68" i="34"/>
  <c r="G21" i="37" l="1"/>
  <c r="I21" i="37" s="1"/>
  <c r="C53" i="39"/>
  <c r="O28" i="34"/>
  <c r="H53" i="39"/>
  <c r="N55" i="34"/>
  <c r="N71" i="34"/>
  <c r="M21" i="37" l="1"/>
  <c r="F22" i="37"/>
  <c r="D8" i="39"/>
  <c r="D26" i="39"/>
  <c r="N26" i="39"/>
  <c r="N8" i="39"/>
  <c r="O25" i="34"/>
  <c r="O14" i="34"/>
  <c r="D53" i="39"/>
  <c r="AZ21" i="37"/>
  <c r="BB21" i="37" s="1"/>
  <c r="E22" i="37" l="1"/>
  <c r="N21" i="37"/>
  <c r="O13" i="34"/>
  <c r="O12" i="34" s="1"/>
  <c r="O17" i="34" s="1"/>
  <c r="N24" i="39"/>
  <c r="N25" i="39" s="1"/>
  <c r="N33" i="39" s="1"/>
  <c r="D6" i="39"/>
  <c r="D7" i="39" s="1"/>
  <c r="D10" i="39" s="1"/>
  <c r="D15" i="39" s="1"/>
  <c r="N6" i="39"/>
  <c r="N7" i="39" s="1"/>
  <c r="N10" i="39" s="1"/>
  <c r="N15" i="39" s="1"/>
  <c r="N16" i="39" s="1"/>
  <c r="N17" i="39" s="1"/>
  <c r="D24" i="39"/>
  <c r="D25" i="39" s="1"/>
  <c r="D33" i="39" s="1"/>
  <c r="D34" i="39" s="1"/>
  <c r="D35" i="39" s="1"/>
  <c r="BF21" i="37"/>
  <c r="AY22" i="37"/>
  <c r="BG21" i="37" l="1"/>
  <c r="AX22" i="37"/>
  <c r="AW22" i="37" s="1"/>
  <c r="D22" i="37" s="1"/>
  <c r="O61" i="34"/>
  <c r="O56" i="34"/>
  <c r="D16" i="39"/>
  <c r="D17" i="39" s="1"/>
  <c r="N34" i="39"/>
  <c r="N35" i="39" s="1"/>
  <c r="O72" i="34" l="1"/>
  <c r="J54" i="39"/>
  <c r="E54" i="39"/>
  <c r="O59" i="34"/>
  <c r="O54" i="34"/>
  <c r="P32" i="34"/>
  <c r="P31" i="34"/>
  <c r="P30" i="34"/>
  <c r="P29" i="34"/>
  <c r="O68" i="34"/>
  <c r="G22" i="37" l="1"/>
  <c r="I22" i="37" s="1"/>
  <c r="C54" i="39"/>
  <c r="P28" i="34"/>
  <c r="O71" i="34"/>
  <c r="O55" i="34"/>
  <c r="H54" i="39"/>
  <c r="M22" i="37" l="1"/>
  <c r="F23" i="37"/>
  <c r="P25" i="34"/>
  <c r="P13" i="34" s="1"/>
  <c r="P12" i="34" s="1"/>
  <c r="P17" i="34" s="1"/>
  <c r="P14" i="34"/>
  <c r="D54" i="39"/>
  <c r="AZ22" i="37"/>
  <c r="BB22" i="37" s="1"/>
  <c r="N22" i="37" l="1"/>
  <c r="E23" i="37"/>
  <c r="P56" i="34"/>
  <c r="P61" i="34"/>
  <c r="BF22" i="37"/>
  <c r="AY23" i="37"/>
  <c r="AX23" i="37" l="1"/>
  <c r="AW23" i="37" s="1"/>
  <c r="D23" i="37" s="1"/>
  <c r="BG22" i="37"/>
  <c r="P54" i="34"/>
  <c r="E55" i="39"/>
  <c r="Q29" i="34"/>
  <c r="P68" i="34"/>
  <c r="Q31" i="34"/>
  <c r="P59" i="34"/>
  <c r="Q30" i="34"/>
  <c r="Q32" i="34"/>
  <c r="P72" i="34"/>
  <c r="J55" i="39"/>
  <c r="Q28" i="34" l="1"/>
  <c r="H55" i="39"/>
  <c r="P71" i="34"/>
  <c r="P55" i="34"/>
  <c r="C55" i="39"/>
  <c r="G23" i="37"/>
  <c r="I23" i="37" s="1"/>
  <c r="D55" i="39" l="1"/>
  <c r="AZ23" i="37"/>
  <c r="BB23" i="37" s="1"/>
  <c r="Q25" i="34"/>
  <c r="Q13" i="34" s="1"/>
  <c r="Q12" i="34" s="1"/>
  <c r="Q17" i="34" s="1"/>
  <c r="Q14" i="34"/>
  <c r="F24" i="37"/>
  <c r="M23" i="37"/>
  <c r="AY24" i="37" l="1"/>
  <c r="BF23" i="37"/>
  <c r="N23" i="37"/>
  <c r="E24" i="37"/>
  <c r="Q56" i="34"/>
  <c r="Q61" i="34"/>
  <c r="AX24" i="37" l="1"/>
  <c r="AW24" i="37" s="1"/>
  <c r="D24" i="37" s="1"/>
  <c r="BG23" i="37"/>
  <c r="E56" i="39"/>
  <c r="Q54" i="34"/>
  <c r="R29" i="34"/>
  <c r="Q72" i="34"/>
  <c r="J56" i="39"/>
  <c r="R31" i="34"/>
  <c r="Q59" i="34"/>
  <c r="R32" i="34"/>
  <c r="R30" i="34"/>
  <c r="Q68" i="34"/>
  <c r="C56" i="39" l="1"/>
  <c r="G24" i="37"/>
  <c r="I24" i="37" s="1"/>
  <c r="R28" i="34"/>
  <c r="H56" i="39"/>
  <c r="Q71" i="34"/>
  <c r="Q55" i="34"/>
  <c r="M24" i="37" l="1"/>
  <c r="F25" i="37"/>
  <c r="D56" i="39"/>
  <c r="AZ24" i="37"/>
  <c r="BB24" i="37" s="1"/>
  <c r="R14" i="34"/>
  <c r="R25" i="34"/>
  <c r="R13" i="34" s="1"/>
  <c r="R12" i="34" s="1"/>
  <c r="R17" i="34" s="1"/>
  <c r="AY25" i="37" l="1"/>
  <c r="BF24" i="37"/>
  <c r="N24" i="37"/>
  <c r="E25" i="37"/>
  <c r="R56" i="34"/>
  <c r="R61" i="34"/>
  <c r="BG24" i="37" l="1"/>
  <c r="AX25" i="37"/>
  <c r="AW25" i="37" s="1"/>
  <c r="D25" i="37" s="1"/>
  <c r="R54" i="34"/>
  <c r="E57" i="39"/>
  <c r="R72" i="34"/>
  <c r="J57" i="39"/>
  <c r="S30" i="34"/>
  <c r="S32" i="34"/>
  <c r="R59" i="34"/>
  <c r="H57" i="39" s="1"/>
  <c r="S31" i="34"/>
  <c r="S29" i="34"/>
  <c r="R68" i="34"/>
  <c r="C57" i="39" l="1"/>
  <c r="G25" i="37"/>
  <c r="I25" i="37" s="1"/>
  <c r="R71" i="34"/>
  <c r="R55" i="34"/>
  <c r="S28" i="34"/>
  <c r="M25" i="37" l="1"/>
  <c r="F26" i="37"/>
  <c r="AZ25" i="37"/>
  <c r="BB25" i="37" s="1"/>
  <c r="D57" i="39"/>
  <c r="S14" i="34"/>
  <c r="S25" i="34"/>
  <c r="S13" i="34" s="1"/>
  <c r="E26" i="37" l="1"/>
  <c r="N25" i="37"/>
  <c r="BF25" i="37"/>
  <c r="AY26" i="37"/>
  <c r="S12" i="34"/>
  <c r="S17" i="34" s="1"/>
  <c r="BG25" i="37" l="1"/>
  <c r="AX26" i="37"/>
  <c r="AW26" i="37" s="1"/>
  <c r="D26" i="37" s="1"/>
  <c r="S61" i="34"/>
  <c r="S56" i="34"/>
  <c r="S72" i="34" l="1"/>
  <c r="J58" i="39"/>
  <c r="S54" i="34"/>
  <c r="E58" i="39"/>
  <c r="T31" i="34"/>
  <c r="T32" i="34"/>
  <c r="S68" i="34"/>
  <c r="S59" i="34"/>
  <c r="H58" i="39" s="1"/>
  <c r="T30" i="34"/>
  <c r="T29" i="34"/>
  <c r="C58" i="39" l="1"/>
  <c r="G26" i="37"/>
  <c r="I26" i="37" s="1"/>
  <c r="T28" i="34"/>
  <c r="S55" i="34"/>
  <c r="S71" i="34"/>
  <c r="M26" i="37" l="1"/>
  <c r="F27" i="37"/>
  <c r="AZ26" i="37"/>
  <c r="BB26" i="37" s="1"/>
  <c r="D58" i="39"/>
  <c r="T25" i="34"/>
  <c r="T13" i="34" s="1"/>
  <c r="T14" i="34"/>
  <c r="T12" i="34" l="1"/>
  <c r="T17" i="34" s="1"/>
  <c r="E27" i="37"/>
  <c r="N26" i="37"/>
  <c r="AY27" i="37"/>
  <c r="BF26" i="37"/>
  <c r="T56" i="34" l="1"/>
  <c r="E59" i="39" s="1"/>
  <c r="T61" i="34"/>
  <c r="AX27" i="37"/>
  <c r="AW27" i="37" s="1"/>
  <c r="D27" i="37" s="1"/>
  <c r="BG26" i="37"/>
  <c r="T72" i="34" l="1"/>
  <c r="J59" i="39"/>
  <c r="T54" i="34"/>
  <c r="T68" i="34"/>
  <c r="U31" i="34"/>
  <c r="T59" i="34"/>
  <c r="U30" i="34"/>
  <c r="U29" i="34"/>
  <c r="U32" i="34"/>
  <c r="G27" i="37" l="1"/>
  <c r="I27" i="37" s="1"/>
  <c r="C59" i="39"/>
  <c r="U28" i="34"/>
  <c r="H59" i="39"/>
  <c r="T55" i="34"/>
  <c r="T71" i="34"/>
  <c r="F28" i="37" l="1"/>
  <c r="M27" i="37"/>
  <c r="D59" i="39"/>
  <c r="AZ27" i="37"/>
  <c r="BB27" i="37" s="1"/>
  <c r="U25" i="34"/>
  <c r="U13" i="34" s="1"/>
  <c r="U12" i="34" s="1"/>
  <c r="U17" i="34" s="1"/>
  <c r="U14" i="34"/>
  <c r="N27" i="37" l="1"/>
  <c r="E28" i="37"/>
  <c r="BF27" i="37"/>
  <c r="AY28" i="37"/>
  <c r="U61" i="34"/>
  <c r="U56" i="34"/>
  <c r="BG27" i="37" l="1"/>
  <c r="AX28" i="37"/>
  <c r="AW28" i="37" s="1"/>
  <c r="D28" i="37" s="1"/>
  <c r="J60" i="39"/>
  <c r="U72" i="34"/>
  <c r="U54" i="34"/>
  <c r="E60" i="39"/>
  <c r="V31" i="34"/>
  <c r="V32" i="34"/>
  <c r="U68" i="34"/>
  <c r="V29" i="34"/>
  <c r="V30" i="34"/>
  <c r="U59" i="34"/>
  <c r="C60" i="39" l="1"/>
  <c r="G28" i="37"/>
  <c r="I28" i="37" s="1"/>
  <c r="V28" i="34"/>
  <c r="H60" i="39"/>
  <c r="U71" i="34"/>
  <c r="U55" i="34"/>
  <c r="M28" i="37" l="1"/>
  <c r="F29" i="37"/>
  <c r="AZ28" i="37"/>
  <c r="BB28" i="37" s="1"/>
  <c r="D60" i="39"/>
  <c r="V14" i="34"/>
  <c r="V25" i="34"/>
  <c r="V13" i="34" s="1"/>
  <c r="V12" i="34" s="1"/>
  <c r="V17" i="34" s="1"/>
  <c r="E29" i="37" l="1"/>
  <c r="N28" i="37"/>
  <c r="BF28" i="37"/>
  <c r="AY29" i="37"/>
  <c r="V56" i="34"/>
  <c r="V61" i="34"/>
  <c r="BG28" i="37" l="1"/>
  <c r="AX29" i="37"/>
  <c r="AW29" i="37" s="1"/>
  <c r="D29" i="37" s="1"/>
  <c r="E61" i="39"/>
  <c r="W31" i="34"/>
  <c r="W30" i="34"/>
  <c r="V72" i="34"/>
  <c r="J61" i="39"/>
  <c r="V54" i="34"/>
  <c r="W29" i="34"/>
  <c r="W32" i="34"/>
  <c r="V59" i="34"/>
  <c r="V68" i="34"/>
  <c r="C61" i="39" l="1"/>
  <c r="G29" i="37"/>
  <c r="I29" i="37" s="1"/>
  <c r="W28" i="34"/>
  <c r="H61" i="39"/>
  <c r="V71" i="34"/>
  <c r="V55" i="34"/>
  <c r="AZ29" i="37" l="1"/>
  <c r="BB29" i="37" s="1"/>
  <c r="D61" i="39"/>
  <c r="M29" i="37"/>
  <c r="F30" i="37"/>
  <c r="W25" i="34"/>
  <c r="W13" i="34" s="1"/>
  <c r="W12" i="34" s="1"/>
  <c r="W17" i="34" s="1"/>
  <c r="W14" i="34"/>
  <c r="BF29" i="37" l="1"/>
  <c r="AY30" i="37"/>
  <c r="E30" i="37"/>
  <c r="N29" i="37"/>
  <c r="W56" i="34"/>
  <c r="E62" i="39" s="1"/>
  <c r="W61" i="34"/>
  <c r="BG29" i="37" l="1"/>
  <c r="AX30" i="37"/>
  <c r="AW30" i="37" s="1"/>
  <c r="D30" i="37" s="1"/>
  <c r="W72" i="34"/>
  <c r="J62" i="39"/>
  <c r="W59" i="34"/>
  <c r="W55" i="34" s="1"/>
  <c r="W54" i="34"/>
  <c r="X31" i="34"/>
  <c r="X30" i="34"/>
  <c r="X32" i="34"/>
  <c r="X29" i="34"/>
  <c r="W68" i="34"/>
  <c r="C62" i="39" l="1"/>
  <c r="G30" i="37"/>
  <c r="I30" i="37" s="1"/>
  <c r="H62" i="39"/>
  <c r="W71" i="34"/>
  <c r="AZ30" i="37"/>
  <c r="BB30" i="37" s="1"/>
  <c r="D62" i="39"/>
  <c r="X28" i="34"/>
  <c r="M30" i="37" l="1"/>
  <c r="F31" i="37"/>
  <c r="AY31" i="37"/>
  <c r="BF30" i="37"/>
  <c r="X14" i="34"/>
  <c r="X25" i="34"/>
  <c r="X13" i="34" s="1"/>
  <c r="X12" i="34" s="1"/>
  <c r="X17" i="34" s="1"/>
  <c r="E31" i="37" l="1"/>
  <c r="N30" i="37"/>
  <c r="BG30" i="37"/>
  <c r="AX31" i="37"/>
  <c r="AW31" i="37" s="1"/>
  <c r="D31" i="37" s="1"/>
  <c r="X56" i="34"/>
  <c r="X61" i="34"/>
  <c r="X54" i="34" l="1"/>
  <c r="E63" i="39"/>
  <c r="X72" i="34"/>
  <c r="J63" i="39"/>
  <c r="Y29" i="34"/>
  <c r="Y30" i="34"/>
  <c r="Y31" i="34"/>
  <c r="Y32" i="34"/>
  <c r="X59" i="34"/>
  <c r="H63" i="39" s="1"/>
  <c r="X68" i="34"/>
  <c r="C63" i="39" l="1"/>
  <c r="G31" i="37"/>
  <c r="I31" i="37" s="1"/>
  <c r="X55" i="34"/>
  <c r="X71" i="34"/>
  <c r="Y28" i="34"/>
  <c r="M31" i="37" l="1"/>
  <c r="F32" i="37"/>
  <c r="AZ31" i="37"/>
  <c r="BB31" i="37" s="1"/>
  <c r="D63" i="39"/>
  <c r="Y14" i="34"/>
  <c r="Y25" i="34"/>
  <c r="Y13" i="34" s="1"/>
  <c r="Y12" i="34" s="1"/>
  <c r="Y17" i="34" s="1"/>
  <c r="E32" i="37" l="1"/>
  <c r="N31" i="37"/>
  <c r="AY32" i="37"/>
  <c r="BF31" i="37"/>
  <c r="Y61" i="34"/>
  <c r="Y56" i="34"/>
  <c r="E64" i="39" s="1"/>
  <c r="AX32" i="37" l="1"/>
  <c r="AW32" i="37" s="1"/>
  <c r="D32" i="37" s="1"/>
  <c r="BG31" i="37"/>
  <c r="Y72" i="34"/>
  <c r="J64" i="39"/>
  <c r="Z31" i="34"/>
  <c r="Y54" i="34"/>
  <c r="Z32" i="34"/>
  <c r="Y68" i="34"/>
  <c r="Z29" i="34"/>
  <c r="Y59" i="34"/>
  <c r="H64" i="39" s="1"/>
  <c r="Z30" i="34"/>
  <c r="G32" i="37" l="1"/>
  <c r="I32" i="37" s="1"/>
  <c r="C64" i="39"/>
  <c r="Z28" i="34"/>
  <c r="Y71" i="34"/>
  <c r="Y55" i="34"/>
  <c r="M32" i="37" l="1"/>
  <c r="F33" i="37"/>
  <c r="AZ32" i="37"/>
  <c r="BB32" i="37" s="1"/>
  <c r="D64" i="39"/>
  <c r="Z25" i="34"/>
  <c r="Z13" i="34" s="1"/>
  <c r="Z14" i="34"/>
  <c r="Z12" i="34" l="1"/>
  <c r="Z17" i="34" s="1"/>
  <c r="N32" i="37"/>
  <c r="E33" i="37"/>
  <c r="BF32" i="37"/>
  <c r="AY33" i="37"/>
  <c r="Z56" i="34" l="1"/>
  <c r="Z61" i="34"/>
  <c r="AX33" i="37"/>
  <c r="AW33" i="37" s="1"/>
  <c r="D33" i="37" s="1"/>
  <c r="BG32" i="37"/>
  <c r="Z72" i="34" l="1"/>
  <c r="J65" i="39"/>
  <c r="AA29" i="34"/>
  <c r="AA32" i="34"/>
  <c r="E65" i="39"/>
  <c r="Z68" i="34"/>
  <c r="Z59" i="34"/>
  <c r="Z54" i="34"/>
  <c r="AA30" i="34"/>
  <c r="AA31" i="34"/>
  <c r="C65" i="39" l="1"/>
  <c r="G33" i="37"/>
  <c r="I33" i="37" s="1"/>
  <c r="H65" i="39"/>
  <c r="Z55" i="34"/>
  <c r="Z71" i="34"/>
  <c r="AA28" i="34"/>
  <c r="M33" i="37" l="1"/>
  <c r="F34" i="37"/>
  <c r="D65" i="39"/>
  <c r="AZ33" i="37"/>
  <c r="BB33" i="37" s="1"/>
  <c r="O8" i="39"/>
  <c r="E26" i="39"/>
  <c r="E8" i="39"/>
  <c r="O26" i="39"/>
  <c r="AA14" i="34"/>
  <c r="AA25" i="34"/>
  <c r="E34" i="37" l="1"/>
  <c r="N33" i="37"/>
  <c r="BF33" i="37"/>
  <c r="AY34" i="37"/>
  <c r="AA13" i="34"/>
  <c r="AA12" i="34" s="1"/>
  <c r="AA17" i="34" s="1"/>
  <c r="E24" i="39"/>
  <c r="E25" i="39" s="1"/>
  <c r="E33" i="39" s="1"/>
  <c r="E6" i="39"/>
  <c r="E7" i="39" s="1"/>
  <c r="E10" i="39" s="1"/>
  <c r="E15" i="39" s="1"/>
  <c r="O6" i="39"/>
  <c r="O7" i="39" s="1"/>
  <c r="O10" i="39" s="1"/>
  <c r="O15" i="39" s="1"/>
  <c r="O16" i="39" s="1"/>
  <c r="O17" i="39" s="1"/>
  <c r="O24" i="39"/>
  <c r="O25" i="39" s="1"/>
  <c r="O33" i="39" s="1"/>
  <c r="BG33" i="37" l="1"/>
  <c r="AX34" i="37"/>
  <c r="AW34" i="37" s="1"/>
  <c r="D34" i="37" s="1"/>
  <c r="AA56" i="34"/>
  <c r="AA61" i="34"/>
  <c r="E16" i="39"/>
  <c r="E17" i="39" s="1"/>
  <c r="O34" i="39"/>
  <c r="O35" i="39" s="1"/>
  <c r="E34" i="39"/>
  <c r="E35" i="39" s="1"/>
  <c r="AA54" i="34" l="1"/>
  <c r="E66" i="39"/>
  <c r="AA72" i="34"/>
  <c r="J66" i="39"/>
  <c r="AA59" i="34"/>
  <c r="AB32" i="34"/>
  <c r="AB31" i="34"/>
  <c r="AB30" i="34"/>
  <c r="AA68" i="34"/>
  <c r="AB29" i="34"/>
  <c r="C66" i="39" l="1"/>
  <c r="G34" i="37"/>
  <c r="I34" i="37" s="1"/>
  <c r="AB28" i="34"/>
  <c r="H66" i="39"/>
  <c r="AA55" i="34"/>
  <c r="AA71" i="34"/>
  <c r="M34" i="37" l="1"/>
  <c r="F35" i="37"/>
  <c r="AB14" i="34"/>
  <c r="AB25" i="34"/>
  <c r="AB13" i="34" s="1"/>
  <c r="AB12" i="34" s="1"/>
  <c r="AB17" i="34" s="1"/>
  <c r="AZ34" i="37"/>
  <c r="BB34" i="37" s="1"/>
  <c r="D66" i="39"/>
  <c r="N34" i="37" l="1"/>
  <c r="E35" i="37"/>
  <c r="AB61" i="34"/>
  <c r="AB56" i="34"/>
  <c r="BF34" i="37"/>
  <c r="AY35" i="37"/>
  <c r="AX35" i="37" l="1"/>
  <c r="AW35" i="37" s="1"/>
  <c r="D35" i="37" s="1"/>
  <c r="BG34" i="37"/>
  <c r="AB72" i="34"/>
  <c r="J67" i="39"/>
  <c r="AB54" i="34"/>
  <c r="AC31" i="34"/>
  <c r="E67" i="39"/>
  <c r="AC32" i="34"/>
  <c r="AC30" i="34"/>
  <c r="AB68" i="34"/>
  <c r="AB59" i="34"/>
  <c r="AB71" i="34" s="1"/>
  <c r="AC29" i="34"/>
  <c r="C67" i="39" l="1"/>
  <c r="G35" i="37"/>
  <c r="I35" i="37" s="1"/>
  <c r="AC28" i="34"/>
  <c r="H67" i="39"/>
  <c r="AB55" i="34"/>
  <c r="M35" i="37" l="1"/>
  <c r="F36" i="37"/>
  <c r="AC25" i="34"/>
  <c r="AC13" i="34" s="1"/>
  <c r="AC12" i="34" s="1"/>
  <c r="AC17" i="34" s="1"/>
  <c r="AC14" i="34"/>
  <c r="AZ35" i="37"/>
  <c r="BB35" i="37" s="1"/>
  <c r="D67" i="39"/>
  <c r="N35" i="37" l="1"/>
  <c r="E36" i="37"/>
  <c r="BF35" i="37"/>
  <c r="AY36" i="37"/>
  <c r="AC61" i="34"/>
  <c r="AC56" i="34"/>
  <c r="BG35" i="37" l="1"/>
  <c r="AX36" i="37"/>
  <c r="AW36" i="37" s="1"/>
  <c r="D36" i="37" s="1"/>
  <c r="AC72" i="34"/>
  <c r="J68" i="39"/>
  <c r="AC54" i="34"/>
  <c r="E68" i="39"/>
  <c r="AC59" i="34"/>
  <c r="H68" i="39" s="1"/>
  <c r="AD32" i="34"/>
  <c r="AD29" i="34"/>
  <c r="AD30" i="34"/>
  <c r="AC68" i="34"/>
  <c r="AD31" i="34"/>
  <c r="C68" i="39" l="1"/>
  <c r="G36" i="37"/>
  <c r="I36" i="37" s="1"/>
  <c r="AC55" i="34"/>
  <c r="AC71" i="34"/>
  <c r="AD28" i="34"/>
  <c r="M36" i="37" l="1"/>
  <c r="F37" i="37"/>
  <c r="AZ36" i="37"/>
  <c r="BB36" i="37" s="1"/>
  <c r="D68" i="39"/>
  <c r="AD25" i="34"/>
  <c r="AD13" i="34" s="1"/>
  <c r="AD12" i="34" s="1"/>
  <c r="AD17" i="34" s="1"/>
  <c r="AD14" i="34"/>
  <c r="E37" i="37" l="1"/>
  <c r="N36" i="37"/>
  <c r="BF36" i="37"/>
  <c r="AY37" i="37"/>
  <c r="AD56" i="34"/>
  <c r="AD61" i="34"/>
  <c r="BG36" i="37" l="1"/>
  <c r="AX37" i="37"/>
  <c r="AW37" i="37" s="1"/>
  <c r="D37" i="37" s="1"/>
  <c r="AD54" i="34"/>
  <c r="E69" i="39"/>
  <c r="AD72" i="34"/>
  <c r="J69" i="39"/>
  <c r="AE31" i="34"/>
  <c r="AE32" i="34"/>
  <c r="AE30" i="34"/>
  <c r="AD68" i="34"/>
  <c r="AD59" i="34"/>
  <c r="H69" i="39" s="1"/>
  <c r="AE29" i="34"/>
  <c r="C69" i="39" l="1"/>
  <c r="G37" i="37"/>
  <c r="I37" i="37" s="1"/>
  <c r="AE28" i="34"/>
  <c r="AD71" i="34"/>
  <c r="AD55" i="34"/>
  <c r="M37" i="37" l="1"/>
  <c r="F38" i="37"/>
  <c r="AZ37" i="37"/>
  <c r="BB37" i="37" s="1"/>
  <c r="D69" i="39"/>
  <c r="AE25" i="34"/>
  <c r="AE13" i="34" s="1"/>
  <c r="AE12" i="34" s="1"/>
  <c r="AE17" i="34" s="1"/>
  <c r="AE14" i="34"/>
  <c r="N37" i="37" l="1"/>
  <c r="E38" i="37"/>
  <c r="BF37" i="37"/>
  <c r="AY38" i="37"/>
  <c r="AE61" i="34"/>
  <c r="AE56" i="34"/>
  <c r="AX38" i="37" l="1"/>
  <c r="AW38" i="37" s="1"/>
  <c r="D38" i="37" s="1"/>
  <c r="BG37" i="37"/>
  <c r="AE72" i="34"/>
  <c r="J70" i="39"/>
  <c r="AE54" i="34"/>
  <c r="E70" i="39"/>
  <c r="AF30" i="34"/>
  <c r="AF32" i="34"/>
  <c r="AE59" i="34"/>
  <c r="H70" i="39" s="1"/>
  <c r="AF31" i="34"/>
  <c r="AE68" i="34"/>
  <c r="AF29" i="34"/>
  <c r="C70" i="39" l="1"/>
  <c r="G38" i="37"/>
  <c r="I38" i="37" s="1"/>
  <c r="AE71" i="34"/>
  <c r="AE55" i="34"/>
  <c r="AF28" i="34"/>
  <c r="F39" i="37" l="1"/>
  <c r="M38" i="37"/>
  <c r="AZ38" i="37"/>
  <c r="BB38" i="37" s="1"/>
  <c r="D70" i="39"/>
  <c r="AF25" i="34"/>
  <c r="AF13" i="34" s="1"/>
  <c r="AF14" i="34"/>
  <c r="AF12" i="34" l="1"/>
  <c r="AF17" i="34" s="1"/>
  <c r="E39" i="37"/>
  <c r="N38" i="37"/>
  <c r="AY39" i="37"/>
  <c r="BF38" i="37"/>
  <c r="AF56" i="34" l="1"/>
  <c r="AF61" i="34"/>
  <c r="BG38" i="37"/>
  <c r="AX39" i="37"/>
  <c r="AW39" i="37" s="1"/>
  <c r="D39" i="37" s="1"/>
  <c r="AF59" i="34" l="1"/>
  <c r="AF54" i="34"/>
  <c r="AG31" i="34"/>
  <c r="AG30" i="34"/>
  <c r="AG32" i="34"/>
  <c r="J71" i="39"/>
  <c r="AF72" i="34"/>
  <c r="E71" i="39"/>
  <c r="AG29" i="34"/>
  <c r="AF68" i="34"/>
  <c r="AG28" i="34" l="1"/>
  <c r="H71" i="39"/>
  <c r="AF71" i="34"/>
  <c r="AF55" i="34"/>
  <c r="C71" i="39"/>
  <c r="G39" i="37"/>
  <c r="I39" i="37" s="1"/>
  <c r="AZ39" i="37" l="1"/>
  <c r="BB39" i="37" s="1"/>
  <c r="D71" i="39"/>
  <c r="AG14" i="34"/>
  <c r="AG25" i="34"/>
  <c r="AG13" i="34" s="1"/>
  <c r="AG12" i="34" s="1"/>
  <c r="AG17" i="34" s="1"/>
  <c r="F40" i="37"/>
  <c r="M39" i="37"/>
  <c r="BF39" i="37" l="1"/>
  <c r="AY40" i="37"/>
  <c r="AG61" i="34"/>
  <c r="AG56" i="34"/>
  <c r="E40" i="37"/>
  <c r="N39" i="37"/>
  <c r="AX40" i="37" l="1"/>
  <c r="AW40" i="37" s="1"/>
  <c r="D40" i="37" s="1"/>
  <c r="BG39" i="37"/>
  <c r="AG72" i="34"/>
  <c r="J72" i="39"/>
  <c r="AH32" i="34"/>
  <c r="AH30" i="34"/>
  <c r="AH31" i="34"/>
  <c r="AH29" i="34"/>
  <c r="AG68" i="34"/>
  <c r="AG59" i="34"/>
  <c r="AG54" i="34"/>
  <c r="E72" i="39"/>
  <c r="C72" i="39" l="1"/>
  <c r="G40" i="37"/>
  <c r="I40" i="37" s="1"/>
  <c r="AH28" i="34"/>
  <c r="H72" i="39"/>
  <c r="AG71" i="34"/>
  <c r="AG55" i="34"/>
  <c r="M40" i="37" l="1"/>
  <c r="F41" i="37"/>
  <c r="D72" i="39"/>
  <c r="AZ40" i="37"/>
  <c r="BB40" i="37" s="1"/>
  <c r="AH14" i="34"/>
  <c r="AH25" i="34"/>
  <c r="AH13" i="34" s="1"/>
  <c r="AH12" i="34" s="1"/>
  <c r="AH17" i="34" s="1"/>
  <c r="N40" i="37" l="1"/>
  <c r="E41" i="37"/>
  <c r="AY41" i="37"/>
  <c r="BF40" i="37"/>
  <c r="AH61" i="34"/>
  <c r="AH56" i="34"/>
  <c r="BG40" i="37" l="1"/>
  <c r="AX41" i="37"/>
  <c r="AW41" i="37" s="1"/>
  <c r="D41" i="37" s="1"/>
  <c r="AH72" i="34"/>
  <c r="J73" i="39"/>
  <c r="AH54" i="34"/>
  <c r="E73" i="39"/>
  <c r="AI32" i="34"/>
  <c r="AH59" i="34"/>
  <c r="H73" i="39" s="1"/>
  <c r="AI30" i="34"/>
  <c r="AI31" i="34"/>
  <c r="AI29" i="34"/>
  <c r="AH68" i="34"/>
  <c r="C73" i="39" l="1"/>
  <c r="G41" i="37"/>
  <c r="I41" i="37" s="1"/>
  <c r="AI28" i="34"/>
  <c r="AH71" i="34"/>
  <c r="AH55" i="34"/>
  <c r="F42" i="37" l="1"/>
  <c r="M41" i="37"/>
  <c r="AZ41" i="37"/>
  <c r="BB41" i="37" s="1"/>
  <c r="D73" i="39"/>
  <c r="AI14" i="34"/>
  <c r="AI25" i="34"/>
  <c r="AI13" i="34" s="1"/>
  <c r="AI12" i="34" l="1"/>
  <c r="AI17" i="34" s="1"/>
  <c r="E42" i="37"/>
  <c r="N41" i="37"/>
  <c r="BF41" i="37"/>
  <c r="AY42" i="37"/>
  <c r="AI56" i="34" l="1"/>
  <c r="AJ31" i="34" s="1"/>
  <c r="AI61" i="34"/>
  <c r="AX42" i="37"/>
  <c r="AW42" i="37" s="1"/>
  <c r="D42" i="37" s="1"/>
  <c r="BG41" i="37"/>
  <c r="AI72" i="34" l="1"/>
  <c r="J74" i="39"/>
  <c r="AI54" i="34"/>
  <c r="E74" i="39"/>
  <c r="AJ29" i="34"/>
  <c r="AJ32" i="34"/>
  <c r="AI68" i="34"/>
  <c r="AJ30" i="34"/>
  <c r="AI59" i="34"/>
  <c r="AI71" i="34" s="1"/>
  <c r="G42" i="37" l="1"/>
  <c r="I42" i="37" s="1"/>
  <c r="C74" i="39"/>
  <c r="H74" i="39"/>
  <c r="AI55" i="34"/>
  <c r="AJ28" i="34"/>
  <c r="M42" i="37" l="1"/>
  <c r="F43" i="37"/>
  <c r="AZ42" i="37"/>
  <c r="BB42" i="37" s="1"/>
  <c r="D74" i="39"/>
  <c r="AJ14" i="34"/>
  <c r="AJ25" i="34"/>
  <c r="AJ13" i="34" s="1"/>
  <c r="AJ12" i="34" l="1"/>
  <c r="AJ17" i="34" s="1"/>
  <c r="E43" i="37"/>
  <c r="N42" i="37"/>
  <c r="BF42" i="37"/>
  <c r="AY43" i="37"/>
  <c r="AJ61" i="34" l="1"/>
  <c r="AJ56" i="34"/>
  <c r="BG42" i="37"/>
  <c r="AX43" i="37"/>
  <c r="AW43" i="37" s="1"/>
  <c r="D43" i="37" s="1"/>
  <c r="J75" i="39" l="1"/>
  <c r="AJ72" i="34"/>
  <c r="AK30" i="34"/>
  <c r="AJ54" i="34"/>
  <c r="AK29" i="34"/>
  <c r="AJ68" i="34"/>
  <c r="E75" i="39"/>
  <c r="AK31" i="34"/>
  <c r="AK32" i="34"/>
  <c r="AJ59" i="34"/>
  <c r="H75" i="39" s="1"/>
  <c r="C75" i="39" l="1"/>
  <c r="G43" i="37"/>
  <c r="I43" i="37" s="1"/>
  <c r="AK28" i="34"/>
  <c r="AJ55" i="34"/>
  <c r="AJ71" i="34"/>
  <c r="F44" i="37" l="1"/>
  <c r="M43" i="37"/>
  <c r="AK14" i="34"/>
  <c r="AK25" i="34"/>
  <c r="AK13" i="34" s="1"/>
  <c r="AK12" i="34" s="1"/>
  <c r="AK17" i="34" s="1"/>
  <c r="D75" i="39"/>
  <c r="AZ43" i="37"/>
  <c r="BB43" i="37" s="1"/>
  <c r="N43" i="37" l="1"/>
  <c r="E44" i="37"/>
  <c r="AK61" i="34"/>
  <c r="AK56" i="34"/>
  <c r="BF43" i="37"/>
  <c r="AY44" i="37"/>
  <c r="AK72" i="34" l="1"/>
  <c r="J76" i="39"/>
  <c r="E76" i="39"/>
  <c r="AK59" i="34"/>
  <c r="AK68" i="34"/>
  <c r="AL29" i="34"/>
  <c r="AL31" i="34"/>
  <c r="AK54" i="34"/>
  <c r="AL30" i="34"/>
  <c r="AL32" i="34"/>
  <c r="AX44" i="37"/>
  <c r="AW44" i="37" s="1"/>
  <c r="D44" i="37" s="1"/>
  <c r="BG43" i="37"/>
  <c r="AL28" i="34" l="1"/>
  <c r="H76" i="39"/>
  <c r="AK55" i="34"/>
  <c r="AK71" i="34"/>
  <c r="C76" i="39"/>
  <c r="G44" i="37"/>
  <c r="I44" i="37" s="1"/>
  <c r="AZ44" i="37" l="1"/>
  <c r="BB44" i="37" s="1"/>
  <c r="D76" i="39"/>
  <c r="AL14" i="34"/>
  <c r="AL25" i="34"/>
  <c r="AL13" i="34" s="1"/>
  <c r="AL12" i="34" s="1"/>
  <c r="AL17" i="34" s="1"/>
  <c r="F45" i="37"/>
  <c r="M44" i="37"/>
  <c r="BF44" i="37" l="1"/>
  <c r="AY45" i="37"/>
  <c r="E45" i="37"/>
  <c r="N44" i="37"/>
  <c r="AL56" i="34"/>
  <c r="AL61" i="34"/>
  <c r="BG44" i="37" l="1"/>
  <c r="AX45" i="37"/>
  <c r="AW45" i="37" s="1"/>
  <c r="D45" i="37" s="1"/>
  <c r="E77" i="39"/>
  <c r="AM30" i="34"/>
  <c r="AL68" i="34"/>
  <c r="AM29" i="34"/>
  <c r="AL59" i="34"/>
  <c r="H77" i="39" s="1"/>
  <c r="AL54" i="34"/>
  <c r="AM31" i="34"/>
  <c r="AM32" i="34"/>
  <c r="AL72" i="34"/>
  <c r="J77" i="39"/>
  <c r="G45" i="37" l="1"/>
  <c r="I45" i="37" s="1"/>
  <c r="C77" i="39"/>
  <c r="AL71" i="34"/>
  <c r="AL55" i="34"/>
  <c r="AM28" i="34"/>
  <c r="M45" i="37" l="1"/>
  <c r="F46" i="37"/>
  <c r="D77" i="39"/>
  <c r="AZ45" i="37"/>
  <c r="BB45" i="37" s="1"/>
  <c r="F8" i="39"/>
  <c r="P8" i="39"/>
  <c r="F26" i="39"/>
  <c r="P26" i="39"/>
  <c r="AM25" i="34"/>
  <c r="AM14" i="34"/>
  <c r="E46" i="37" l="1"/>
  <c r="N45" i="37"/>
  <c r="AY46" i="37"/>
  <c r="BF45" i="37"/>
  <c r="F6" i="39"/>
  <c r="F7" i="39" s="1"/>
  <c r="F10" i="39" s="1"/>
  <c r="F15" i="39" s="1"/>
  <c r="F16" i="39" s="1"/>
  <c r="F17" i="39" s="1"/>
  <c r="F24" i="39"/>
  <c r="F25" i="39" s="1"/>
  <c r="F33" i="39" s="1"/>
  <c r="F34" i="39" s="1"/>
  <c r="F35" i="39" s="1"/>
  <c r="P24" i="39"/>
  <c r="P25" i="39" s="1"/>
  <c r="P33" i="39" s="1"/>
  <c r="P34" i="39" s="1"/>
  <c r="P35" i="39" s="1"/>
  <c r="P6" i="39"/>
  <c r="P7" i="39" s="1"/>
  <c r="P10" i="39" s="1"/>
  <c r="P15" i="39" s="1"/>
  <c r="P16" i="39" s="1"/>
  <c r="P17" i="39" s="1"/>
  <c r="AM13" i="34"/>
  <c r="AM12" i="34" s="1"/>
  <c r="AM17" i="34" s="1"/>
  <c r="AX46" i="37" l="1"/>
  <c r="AW46" i="37" s="1"/>
  <c r="D46" i="37" s="1"/>
  <c r="BG45" i="37"/>
  <c r="AM56" i="34"/>
  <c r="E78" i="39" s="1"/>
  <c r="AM61" i="34"/>
  <c r="AM72" i="34" l="1"/>
  <c r="J78" i="39"/>
  <c r="AM68" i="34"/>
  <c r="AM54" i="34"/>
  <c r="AN31" i="34"/>
  <c r="AN30" i="34"/>
  <c r="AM59" i="34"/>
  <c r="H78" i="39" s="1"/>
  <c r="AN29" i="34"/>
  <c r="AN32" i="34"/>
  <c r="AM55" i="34" l="1"/>
  <c r="AZ46" i="37" s="1"/>
  <c r="BB46" i="37" s="1"/>
  <c r="AM71" i="34"/>
  <c r="AN28" i="34"/>
  <c r="C78" i="39"/>
  <c r="G46" i="37"/>
  <c r="I46" i="37" s="1"/>
  <c r="D78" i="39"/>
  <c r="AN25" i="34" l="1"/>
  <c r="AN13" i="34" s="1"/>
  <c r="AN12" i="34" s="1"/>
  <c r="AN17" i="34" s="1"/>
  <c r="AN14" i="34"/>
  <c r="F47" i="37"/>
  <c r="M46" i="37"/>
  <c r="BF46" i="37"/>
  <c r="AY47" i="37"/>
  <c r="N46" i="37" l="1"/>
  <c r="E47" i="37"/>
  <c r="AN56" i="34"/>
  <c r="AN61" i="34"/>
  <c r="BG46" i="37"/>
  <c r="AX47" i="37"/>
  <c r="AW47" i="37" s="1"/>
  <c r="D47" i="37" s="1"/>
  <c r="AO29" i="34" l="1"/>
  <c r="AN68" i="34"/>
  <c r="J79" i="39"/>
  <c r="AN72" i="34"/>
  <c r="AO31" i="34"/>
  <c r="AN54" i="34"/>
  <c r="AO30" i="34"/>
  <c r="E79" i="39"/>
  <c r="AO32" i="34"/>
  <c r="AN59" i="34"/>
  <c r="H79" i="39" s="1"/>
  <c r="AO28" i="34" l="1"/>
  <c r="AN71" i="34"/>
  <c r="AN55" i="34"/>
  <c r="C79" i="39"/>
  <c r="G47" i="37"/>
  <c r="I47" i="37" s="1"/>
  <c r="AO25" i="34" l="1"/>
  <c r="AO13" i="34" s="1"/>
  <c r="AO12" i="34" s="1"/>
  <c r="AO17" i="34" s="1"/>
  <c r="AO14" i="34"/>
  <c r="D79" i="39"/>
  <c r="AZ47" i="37"/>
  <c r="BB47" i="37" s="1"/>
  <c r="F48" i="37"/>
  <c r="M47" i="37"/>
  <c r="AO56" i="34" l="1"/>
  <c r="AO59" i="34" s="1"/>
  <c r="H80" i="39" s="1"/>
  <c r="AO61" i="34"/>
  <c r="N47" i="37"/>
  <c r="E48" i="37"/>
  <c r="AY48" i="37"/>
  <c r="BF47" i="37"/>
  <c r="AO72" i="34" l="1"/>
  <c r="J80" i="39"/>
  <c r="AO54" i="34"/>
  <c r="E80" i="39"/>
  <c r="AP31" i="34"/>
  <c r="AP32" i="34"/>
  <c r="AP29" i="34"/>
  <c r="AO68" i="34"/>
  <c r="AP30" i="34"/>
  <c r="BG47" i="37"/>
  <c r="AX48" i="37"/>
  <c r="AW48" i="37" s="1"/>
  <c r="D48" i="37" s="1"/>
  <c r="AO55" i="34"/>
  <c r="AO71" i="34"/>
  <c r="C80" i="39" l="1"/>
  <c r="G48" i="37"/>
  <c r="I48" i="37" s="1"/>
  <c r="AP28" i="34"/>
  <c r="AZ48" i="37"/>
  <c r="BB48" i="37" s="1"/>
  <c r="D80" i="39"/>
  <c r="F49" i="37" l="1"/>
  <c r="M48" i="37"/>
  <c r="AP25" i="34"/>
  <c r="AP13" i="34" s="1"/>
  <c r="AP12" i="34" s="1"/>
  <c r="AP17" i="34" s="1"/>
  <c r="AP14" i="34"/>
  <c r="AY49" i="37"/>
  <c r="BF48" i="37"/>
  <c r="N48" i="37" l="1"/>
  <c r="E49" i="37"/>
  <c r="AP56" i="34"/>
  <c r="E81" i="39" s="1"/>
  <c r="AP61" i="34"/>
  <c r="AX49" i="37"/>
  <c r="AW49" i="37" s="1"/>
  <c r="D49" i="37" s="1"/>
  <c r="BG48" i="37"/>
  <c r="AQ31" i="34" l="1"/>
  <c r="AP54" i="34"/>
  <c r="AP72" i="34"/>
  <c r="J81" i="39"/>
  <c r="AP59" i="34"/>
  <c r="AQ32" i="34"/>
  <c r="AQ29" i="34"/>
  <c r="AQ30" i="34"/>
  <c r="AP68" i="34"/>
  <c r="AQ28" i="34" l="1"/>
  <c r="C81" i="39"/>
  <c r="G49" i="37"/>
  <c r="I49" i="37" s="1"/>
  <c r="H81" i="39"/>
  <c r="AP71" i="34"/>
  <c r="AP55" i="34"/>
  <c r="AQ14" i="34" l="1"/>
  <c r="AQ25" i="34"/>
  <c r="AQ13" i="34" s="1"/>
  <c r="AQ12" i="34" s="1"/>
  <c r="AQ17" i="34" s="1"/>
  <c r="AZ49" i="37"/>
  <c r="BB49" i="37" s="1"/>
  <c r="D81" i="39"/>
  <c r="F50" i="37"/>
  <c r="M49" i="37"/>
  <c r="N49" i="37" l="1"/>
  <c r="E50" i="37"/>
  <c r="AQ56" i="34"/>
  <c r="AQ61" i="34"/>
  <c r="BF49" i="37"/>
  <c r="AY50" i="37"/>
  <c r="AQ72" i="34" l="1"/>
  <c r="J82" i="39"/>
  <c r="AQ54" i="34"/>
  <c r="E82" i="39"/>
  <c r="BG49" i="37"/>
  <c r="AX50" i="37"/>
  <c r="AW50" i="37" s="1"/>
  <c r="D50" i="37" s="1"/>
  <c r="AR29" i="34"/>
  <c r="AR32" i="34"/>
  <c r="AR31" i="34"/>
  <c r="AR30" i="34"/>
  <c r="AQ59" i="34"/>
  <c r="AQ68" i="34"/>
  <c r="C82" i="39" l="1"/>
  <c r="G50" i="37"/>
  <c r="I50" i="37" s="1"/>
  <c r="AR28" i="34"/>
  <c r="H82" i="39"/>
  <c r="AQ71" i="34"/>
  <c r="AQ55" i="34"/>
  <c r="D82" i="39" l="1"/>
  <c r="AZ50" i="37"/>
  <c r="BB50" i="37" s="1"/>
  <c r="F51" i="37"/>
  <c r="M50" i="37"/>
  <c r="AR25" i="34"/>
  <c r="AR13" i="34" s="1"/>
  <c r="AR12" i="34" s="1"/>
  <c r="AR17" i="34" s="1"/>
  <c r="AR14" i="34"/>
  <c r="AY51" i="37" l="1"/>
  <c r="BF50" i="37"/>
  <c r="E51" i="37"/>
  <c r="N50" i="37"/>
  <c r="AR61" i="34"/>
  <c r="AR56" i="34"/>
  <c r="E83" i="39" s="1"/>
  <c r="BG50" i="37" l="1"/>
  <c r="AX51" i="37"/>
  <c r="AW51" i="37" s="1"/>
  <c r="D51" i="37" s="1"/>
  <c r="AR72" i="34"/>
  <c r="J83" i="39"/>
  <c r="AS31" i="34"/>
  <c r="AR54" i="34"/>
  <c r="AS32" i="34"/>
  <c r="AS29" i="34"/>
  <c r="AS30" i="34"/>
  <c r="AR68" i="34"/>
  <c r="AR59" i="34"/>
  <c r="C83" i="39" l="1"/>
  <c r="G51" i="37"/>
  <c r="I51" i="37" s="1"/>
  <c r="AS28" i="34"/>
  <c r="H83" i="39"/>
  <c r="AR71" i="34"/>
  <c r="AR55" i="34"/>
  <c r="F52" i="37" l="1"/>
  <c r="M51" i="37"/>
  <c r="D83" i="39"/>
  <c r="AZ51" i="37"/>
  <c r="BB51" i="37" s="1"/>
  <c r="AS25" i="34"/>
  <c r="AS13" i="34" s="1"/>
  <c r="AS12" i="34" s="1"/>
  <c r="AS17" i="34" s="1"/>
  <c r="AS14" i="34"/>
  <c r="E52" i="37" l="1"/>
  <c r="N51" i="37"/>
  <c r="BF51" i="37"/>
  <c r="AY52" i="37"/>
  <c r="AS56" i="34"/>
  <c r="AS61" i="34"/>
  <c r="BG51" i="37" l="1"/>
  <c r="AX52" i="37"/>
  <c r="AW52" i="37" s="1"/>
  <c r="D52" i="37" s="1"/>
  <c r="AT29" i="34"/>
  <c r="AS54" i="34"/>
  <c r="E84" i="39"/>
  <c r="AS59" i="34"/>
  <c r="AT32" i="34"/>
  <c r="AT31" i="34"/>
  <c r="AS68" i="34"/>
  <c r="AT30" i="34"/>
  <c r="AS72" i="34"/>
  <c r="J84" i="39"/>
  <c r="AT28" i="34" l="1"/>
  <c r="G52" i="37"/>
  <c r="I52" i="37" s="1"/>
  <c r="C84" i="39"/>
  <c r="H84" i="39"/>
  <c r="AS71" i="34"/>
  <c r="AS55" i="34"/>
  <c r="D84" i="39" l="1"/>
  <c r="AZ52" i="37"/>
  <c r="BB52" i="37" s="1"/>
  <c r="AT25" i="34"/>
  <c r="AT13" i="34" s="1"/>
  <c r="AT12" i="34" s="1"/>
  <c r="AT17" i="34" s="1"/>
  <c r="AT14" i="34"/>
  <c r="M52" i="37"/>
  <c r="F53" i="37"/>
  <c r="BF52" i="37" l="1"/>
  <c r="AY53" i="37"/>
  <c r="E53" i="37"/>
  <c r="N52" i="37"/>
  <c r="AT61" i="34"/>
  <c r="AT56" i="34"/>
  <c r="E85" i="39" s="1"/>
  <c r="BG52" i="37" l="1"/>
  <c r="AX53" i="37"/>
  <c r="AW53" i="37" s="1"/>
  <c r="D53" i="37" s="1"/>
  <c r="AT72" i="34"/>
  <c r="J85" i="39"/>
  <c r="AT54" i="34"/>
  <c r="AU29" i="34"/>
  <c r="AU30" i="34"/>
  <c r="AU32" i="34"/>
  <c r="AT59" i="34"/>
  <c r="AU31" i="34"/>
  <c r="AT68" i="34"/>
  <c r="G53" i="37" l="1"/>
  <c r="I53" i="37" s="1"/>
  <c r="C85" i="39"/>
  <c r="AU28" i="34"/>
  <c r="H85" i="39"/>
  <c r="AT71" i="34"/>
  <c r="AT55" i="34"/>
  <c r="F54" i="37" l="1"/>
  <c r="M53" i="37"/>
  <c r="AU14" i="34"/>
  <c r="AU25" i="34"/>
  <c r="AU13" i="34" s="1"/>
  <c r="AU12" i="34" s="1"/>
  <c r="AU17" i="34" s="1"/>
  <c r="AZ53" i="37"/>
  <c r="BB53" i="37" s="1"/>
  <c r="D85" i="39"/>
  <c r="E54" i="37" l="1"/>
  <c r="N53" i="37"/>
  <c r="AU61" i="34"/>
  <c r="AU56" i="34"/>
  <c r="AY54" i="37"/>
  <c r="BF53" i="37"/>
  <c r="AX54" i="37" l="1"/>
  <c r="AW54" i="37" s="1"/>
  <c r="D54" i="37" s="1"/>
  <c r="BG53" i="37"/>
  <c r="AU72" i="34"/>
  <c r="J86" i="39"/>
  <c r="E86" i="39"/>
  <c r="AU54" i="34"/>
  <c r="AU68" i="34"/>
  <c r="AV32" i="34"/>
  <c r="AV31" i="34"/>
  <c r="AU59" i="34"/>
  <c r="AV29" i="34"/>
  <c r="AV30" i="34"/>
  <c r="H86" i="39" l="1"/>
  <c r="AU55" i="34"/>
  <c r="AU71" i="34"/>
  <c r="AV28" i="34"/>
  <c r="G54" i="37"/>
  <c r="I54" i="37" s="1"/>
  <c r="C86" i="39"/>
  <c r="D86" i="39" l="1"/>
  <c r="AZ54" i="37"/>
  <c r="BB54" i="37" s="1"/>
  <c r="AV14" i="34"/>
  <c r="AV25" i="34"/>
  <c r="AV13" i="34" s="1"/>
  <c r="AV12" i="34" s="1"/>
  <c r="AV17" i="34" s="1"/>
  <c r="M54" i="37"/>
  <c r="F55" i="37"/>
  <c r="BF54" i="37" l="1"/>
  <c r="AY55" i="37"/>
  <c r="AV56" i="34"/>
  <c r="AV61" i="34"/>
  <c r="E55" i="37"/>
  <c r="N54" i="37"/>
  <c r="BG54" i="37" l="1"/>
  <c r="AX55" i="37"/>
  <c r="AW55" i="37" s="1"/>
  <c r="D55" i="37" s="1"/>
  <c r="AV54" i="34"/>
  <c r="E87" i="39"/>
  <c r="AW31" i="34"/>
  <c r="AV68" i="34"/>
  <c r="AV59" i="34"/>
  <c r="AV71" i="34" s="1"/>
  <c r="AW32" i="34"/>
  <c r="AW29" i="34"/>
  <c r="AW30" i="34"/>
  <c r="AV72" i="34"/>
  <c r="J87" i="39"/>
  <c r="AW28" i="34" l="1"/>
  <c r="H87" i="39"/>
  <c r="AV55" i="34"/>
  <c r="C87" i="39"/>
  <c r="G55" i="37"/>
  <c r="I55" i="37" s="1"/>
  <c r="AW14" i="34" l="1"/>
  <c r="AW25" i="34"/>
  <c r="AW13" i="34" s="1"/>
  <c r="AW12" i="34" s="1"/>
  <c r="AW17" i="34" s="1"/>
  <c r="AZ55" i="37"/>
  <c r="BB55" i="37" s="1"/>
  <c r="D87" i="39"/>
  <c r="M55" i="37"/>
  <c r="F56" i="37"/>
  <c r="AY56" i="37" l="1"/>
  <c r="BF55" i="37"/>
  <c r="N55" i="37"/>
  <c r="E56" i="37"/>
  <c r="AW61" i="34"/>
  <c r="AW56" i="34"/>
  <c r="E88" i="39" s="1"/>
  <c r="AX56" i="37" l="1"/>
  <c r="AW56" i="37" s="1"/>
  <c r="D56" i="37" s="1"/>
  <c r="BG55" i="37"/>
  <c r="AW72" i="34"/>
  <c r="J88" i="39"/>
  <c r="AW54" i="34"/>
  <c r="AW59" i="34"/>
  <c r="AX29" i="34"/>
  <c r="AX31" i="34"/>
  <c r="AW68" i="34"/>
  <c r="AX32" i="34"/>
  <c r="AX30" i="34"/>
  <c r="C88" i="39" l="1"/>
  <c r="G56" i="37"/>
  <c r="I56" i="37" s="1"/>
  <c r="H88" i="39"/>
  <c r="AW55" i="34"/>
  <c r="AW71" i="34"/>
  <c r="AX28" i="34"/>
  <c r="F57" i="37" l="1"/>
  <c r="M56" i="37"/>
  <c r="AZ56" i="37"/>
  <c r="BB56" i="37" s="1"/>
  <c r="D88" i="39"/>
  <c r="AX25" i="34"/>
  <c r="AX13" i="34" s="1"/>
  <c r="AX12" i="34" s="1"/>
  <c r="AX17" i="34" s="1"/>
  <c r="AX14" i="34"/>
  <c r="BF56" i="37" l="1"/>
  <c r="AY57" i="37"/>
  <c r="N56" i="37"/>
  <c r="E57" i="37"/>
  <c r="AX61" i="34"/>
  <c r="AX56" i="34"/>
  <c r="BG56" i="37" l="1"/>
  <c r="AX57" i="37"/>
  <c r="AW57" i="37" s="1"/>
  <c r="D57" i="37" s="1"/>
  <c r="AX72" i="34"/>
  <c r="J89" i="39"/>
  <c r="E89" i="39"/>
  <c r="AY29" i="34"/>
  <c r="AX59" i="34"/>
  <c r="AX54" i="34"/>
  <c r="AY31" i="34"/>
  <c r="AX68" i="34"/>
  <c r="AY30" i="34"/>
  <c r="AY32" i="34"/>
  <c r="G57" i="37" l="1"/>
  <c r="I57" i="37" s="1"/>
  <c r="C89" i="39"/>
  <c r="AX71" i="34"/>
  <c r="AX55" i="34"/>
  <c r="H89" i="39"/>
  <c r="AY28" i="34"/>
  <c r="M57" i="37" l="1"/>
  <c r="F58" i="37"/>
  <c r="D89" i="39"/>
  <c r="AZ57" i="37"/>
  <c r="BB57" i="37" s="1"/>
  <c r="Q8" i="39"/>
  <c r="AY14" i="34"/>
  <c r="AY25" i="34"/>
  <c r="G8" i="39"/>
  <c r="Q26" i="39"/>
  <c r="G26" i="39"/>
  <c r="N57" i="37" l="1"/>
  <c r="E58" i="37"/>
  <c r="BF57" i="37"/>
  <c r="AY58" i="37"/>
  <c r="Q24" i="39"/>
  <c r="Q25" i="39" s="1"/>
  <c r="Q33" i="39" s="1"/>
  <c r="Q6" i="39"/>
  <c r="Q7" i="39" s="1"/>
  <c r="Q10" i="39" s="1"/>
  <c r="Q15" i="39" s="1"/>
  <c r="Q16" i="39" s="1"/>
  <c r="Q17" i="39" s="1"/>
  <c r="G6" i="39"/>
  <c r="G7" i="39" s="1"/>
  <c r="G10" i="39" s="1"/>
  <c r="G15" i="39" s="1"/>
  <c r="AY13" i="34"/>
  <c r="AY12" i="34" s="1"/>
  <c r="AY17" i="34" s="1"/>
  <c r="G24" i="39"/>
  <c r="G25" i="39" s="1"/>
  <c r="G33" i="39" s="1"/>
  <c r="BG57" i="37" l="1"/>
  <c r="AX58" i="37"/>
  <c r="AW58" i="37" s="1"/>
  <c r="D58" i="37" s="1"/>
  <c r="AY61" i="34"/>
  <c r="AY56" i="34"/>
  <c r="E90" i="39" s="1"/>
  <c r="G16" i="39"/>
  <c r="G17" i="39" s="1"/>
  <c r="G34" i="39"/>
  <c r="G35" i="39" s="1"/>
  <c r="Q34" i="39"/>
  <c r="Q35" i="39" s="1"/>
  <c r="AY72" i="34" l="1"/>
  <c r="J90" i="39"/>
  <c r="AZ31" i="34"/>
  <c r="AY59" i="34"/>
  <c r="H90" i="39" s="1"/>
  <c r="AY68" i="34"/>
  <c r="AZ30" i="34"/>
  <c r="AZ32" i="34"/>
  <c r="AZ29" i="34"/>
  <c r="AY54" i="34"/>
  <c r="AY55" i="34" l="1"/>
  <c r="AY71" i="34"/>
  <c r="C90" i="39"/>
  <c r="G58" i="37"/>
  <c r="I58" i="37" s="1"/>
  <c r="AZ28" i="34"/>
  <c r="AZ58" i="37" l="1"/>
  <c r="BB58" i="37" s="1"/>
  <c r="D90" i="39"/>
  <c r="F59" i="37"/>
  <c r="M58" i="37"/>
  <c r="AZ14" i="34"/>
  <c r="AZ25" i="34"/>
  <c r="AZ13" i="34" s="1"/>
  <c r="AZ12" i="34" l="1"/>
  <c r="AZ17" i="34" s="1"/>
  <c r="AY59" i="37"/>
  <c r="BF58" i="37"/>
  <c r="E59" i="37"/>
  <c r="N58" i="37"/>
  <c r="AZ56" i="34" l="1"/>
  <c r="AZ61" i="34"/>
  <c r="AX59" i="37"/>
  <c r="AW59" i="37" s="1"/>
  <c r="D59" i="37" s="1"/>
  <c r="BG58" i="37"/>
  <c r="AZ54" i="34" l="1"/>
  <c r="E91" i="39"/>
  <c r="BA32" i="34"/>
  <c r="AZ68" i="34"/>
  <c r="BA31" i="34"/>
  <c r="AZ72" i="34"/>
  <c r="J91" i="39"/>
  <c r="BA29" i="34"/>
  <c r="AZ59" i="34"/>
  <c r="BA30" i="34"/>
  <c r="BA28" i="34" l="1"/>
  <c r="G59" i="37"/>
  <c r="I59" i="37" s="1"/>
  <c r="C91" i="39"/>
  <c r="H91" i="39"/>
  <c r="AZ55" i="34"/>
  <c r="AZ71" i="34"/>
  <c r="AZ59" i="37" l="1"/>
  <c r="BB59" i="37" s="1"/>
  <c r="D91" i="39"/>
  <c r="BA14" i="34"/>
  <c r="BA25" i="34"/>
  <c r="BA13" i="34" s="1"/>
  <c r="BA12" i="34" s="1"/>
  <c r="BA17" i="34" s="1"/>
  <c r="F60" i="37"/>
  <c r="M59" i="37"/>
  <c r="AY60" i="37" l="1"/>
  <c r="BF59" i="37"/>
  <c r="BA61" i="34"/>
  <c r="BA56" i="34"/>
  <c r="E60" i="37"/>
  <c r="N59" i="37"/>
  <c r="BG59" i="37" l="1"/>
  <c r="AX60" i="37"/>
  <c r="AW60" i="37" s="1"/>
  <c r="D60" i="37" s="1"/>
  <c r="BA72" i="34"/>
  <c r="J92" i="39"/>
  <c r="BB29" i="34"/>
  <c r="BB30" i="34"/>
  <c r="BA68" i="34"/>
  <c r="BA59" i="34"/>
  <c r="H92" i="39" s="1"/>
  <c r="BB31" i="34"/>
  <c r="BB32" i="34"/>
  <c r="BA54" i="34"/>
  <c r="E92" i="39"/>
  <c r="C92" i="39" l="1"/>
  <c r="G60" i="37"/>
  <c r="I60" i="37" s="1"/>
  <c r="BB28" i="34"/>
  <c r="BA55" i="34"/>
  <c r="BA71" i="34"/>
  <c r="F61" i="37" l="1"/>
  <c r="M60" i="37"/>
  <c r="D92" i="39"/>
  <c r="AZ60" i="37"/>
  <c r="BB60" i="37" s="1"/>
  <c r="BB14" i="34"/>
  <c r="BB25" i="34"/>
  <c r="BB13" i="34" s="1"/>
  <c r="BB12" i="34" s="1"/>
  <c r="BB17" i="34" s="1"/>
  <c r="E61" i="37" l="1"/>
  <c r="N60" i="37"/>
  <c r="BF60" i="37"/>
  <c r="AY61" i="37"/>
  <c r="BB61" i="34"/>
  <c r="BB56" i="34"/>
  <c r="BB72" i="34" l="1"/>
  <c r="J93" i="39"/>
  <c r="BG60" i="37"/>
  <c r="AX61" i="37"/>
  <c r="AW61" i="37" s="1"/>
  <c r="D61" i="37" s="1"/>
  <c r="BB54" i="34"/>
  <c r="BB59" i="34"/>
  <c r="BB68" i="34"/>
  <c r="BC29" i="34"/>
  <c r="E93" i="39"/>
  <c r="BC30" i="34"/>
  <c r="BC32" i="34"/>
  <c r="BC31" i="34"/>
  <c r="C93" i="39" l="1"/>
  <c r="G61" i="37"/>
  <c r="I61" i="37" s="1"/>
  <c r="BC28" i="34"/>
  <c r="H93" i="39"/>
  <c r="BB71" i="34"/>
  <c r="BB55" i="34"/>
  <c r="M61" i="37" l="1"/>
  <c r="F62" i="37"/>
  <c r="BC14" i="34"/>
  <c r="BC25" i="34"/>
  <c r="BC13" i="34" s="1"/>
  <c r="BC12" i="34" s="1"/>
  <c r="BC17" i="34" s="1"/>
  <c r="D93" i="39"/>
  <c r="AZ61" i="37"/>
  <c r="BB61" i="37" s="1"/>
  <c r="N61" i="37" l="1"/>
  <c r="E62" i="37"/>
  <c r="BC61" i="34"/>
  <c r="BC56" i="34"/>
  <c r="AY62" i="37"/>
  <c r="BF61" i="37"/>
  <c r="BG61" i="37" l="1"/>
  <c r="AX62" i="37"/>
  <c r="AW62" i="37" s="1"/>
  <c r="D62" i="37" s="1"/>
  <c r="BC72" i="34"/>
  <c r="J94" i="39"/>
  <c r="BC54" i="34"/>
  <c r="E94" i="39"/>
  <c r="BD29" i="34"/>
  <c r="BC59" i="34"/>
  <c r="BD31" i="34"/>
  <c r="BD32" i="34"/>
  <c r="BC68" i="34"/>
  <c r="BD30" i="34"/>
  <c r="C94" i="39" l="1"/>
  <c r="G62" i="37"/>
  <c r="I62" i="37" s="1"/>
  <c r="BD28" i="34"/>
  <c r="BC71" i="34"/>
  <c r="BC55" i="34"/>
  <c r="H94" i="39"/>
  <c r="M62" i="37" l="1"/>
  <c r="F63" i="37"/>
  <c r="AZ62" i="37"/>
  <c r="BB62" i="37" s="1"/>
  <c r="D94" i="39"/>
  <c r="BD25" i="34"/>
  <c r="BD13" i="34" s="1"/>
  <c r="BD12" i="34" s="1"/>
  <c r="BD17" i="34" s="1"/>
  <c r="BD14" i="34"/>
  <c r="E63" i="37" l="1"/>
  <c r="N62" i="37"/>
  <c r="BF62" i="37"/>
  <c r="AY63" i="37"/>
  <c r="BD56" i="34"/>
  <c r="E95" i="39" s="1"/>
  <c r="BD61" i="34"/>
  <c r="BD72" i="34" l="1"/>
  <c r="J95" i="39"/>
  <c r="BG62" i="37"/>
  <c r="AX63" i="37"/>
  <c r="AW63" i="37" s="1"/>
  <c r="D63" i="37" s="1"/>
  <c r="BD54" i="34"/>
  <c r="BD59" i="34"/>
  <c r="BD68" i="34"/>
  <c r="BE32" i="34"/>
  <c r="BE29" i="34"/>
  <c r="BE30" i="34"/>
  <c r="BE31" i="34"/>
  <c r="C95" i="39" l="1"/>
  <c r="G63" i="37"/>
  <c r="I63" i="37" s="1"/>
  <c r="BE28" i="34"/>
  <c r="BD55" i="34"/>
  <c r="H95" i="39"/>
  <c r="BD71" i="34"/>
  <c r="M63" i="37" l="1"/>
  <c r="F64" i="37"/>
  <c r="BE25" i="34"/>
  <c r="BE13" i="34" s="1"/>
  <c r="BE12" i="34" s="1"/>
  <c r="BE17" i="34" s="1"/>
  <c r="BE14" i="34"/>
  <c r="D95" i="39"/>
  <c r="AZ63" i="37"/>
  <c r="BB63" i="37" s="1"/>
  <c r="E64" i="37" l="1"/>
  <c r="N63" i="37"/>
  <c r="BE61" i="34"/>
  <c r="BE56" i="34"/>
  <c r="BF63" i="37"/>
  <c r="AY64" i="37"/>
  <c r="BE72" i="34" l="1"/>
  <c r="J96" i="39"/>
  <c r="BF30" i="34"/>
  <c r="BF32" i="34"/>
  <c r="E96" i="39"/>
  <c r="BE59" i="34"/>
  <c r="BE54" i="34"/>
  <c r="BF29" i="34"/>
  <c r="BF31" i="34"/>
  <c r="BE68" i="34"/>
  <c r="AX64" i="37"/>
  <c r="AW64" i="37" s="1"/>
  <c r="D64" i="37" s="1"/>
  <c r="BG63" i="37"/>
  <c r="BF28" i="34" l="1"/>
  <c r="BE55" i="34"/>
  <c r="BE71" i="34"/>
  <c r="H96" i="39"/>
  <c r="C96" i="39"/>
  <c r="G64" i="37"/>
  <c r="I64" i="37" s="1"/>
  <c r="D96" i="39" l="1"/>
  <c r="AZ64" i="37"/>
  <c r="BB64" i="37" s="1"/>
  <c r="BF14" i="34"/>
  <c r="BF25" i="34"/>
  <c r="BF13" i="34" s="1"/>
  <c r="BF12" i="34" s="1"/>
  <c r="BF17" i="34" s="1"/>
  <c r="M64" i="37"/>
  <c r="F65" i="37"/>
  <c r="AY65" i="37" l="1"/>
  <c r="BF64" i="37"/>
  <c r="BF61" i="34"/>
  <c r="BF56" i="34"/>
  <c r="E97" i="39" s="1"/>
  <c r="E65" i="37"/>
  <c r="N64" i="37"/>
  <c r="BG64" i="37" l="1"/>
  <c r="AX65" i="37"/>
  <c r="AW65" i="37" s="1"/>
  <c r="D65" i="37" s="1"/>
  <c r="BG32" i="34"/>
  <c r="BF59" i="34"/>
  <c r="BG31" i="34"/>
  <c r="J97" i="39"/>
  <c r="BF72" i="34"/>
  <c r="BG29" i="34"/>
  <c r="BG30" i="34"/>
  <c r="BF54" i="34"/>
  <c r="BF68" i="34"/>
  <c r="H97" i="39" l="1"/>
  <c r="BF71" i="34"/>
  <c r="BF55" i="34"/>
  <c r="BG28" i="34"/>
  <c r="C97" i="39"/>
  <c r="G65" i="37"/>
  <c r="I65" i="37" s="1"/>
  <c r="AZ65" i="37" l="1"/>
  <c r="BB65" i="37" s="1"/>
  <c r="D97" i="39"/>
  <c r="BG25" i="34"/>
  <c r="BG13" i="34" s="1"/>
  <c r="BG12" i="34" s="1"/>
  <c r="BG17" i="34" s="1"/>
  <c r="BG14" i="34"/>
  <c r="M65" i="37"/>
  <c r="F66" i="37"/>
  <c r="AY66" i="37" l="1"/>
  <c r="BF65" i="37"/>
  <c r="BG61" i="34"/>
  <c r="BG56" i="34"/>
  <c r="E66" i="37"/>
  <c r="N65" i="37"/>
  <c r="BG65" i="37" l="1"/>
  <c r="AX66" i="37"/>
  <c r="AW66" i="37" s="1"/>
  <c r="D66" i="37" s="1"/>
  <c r="BG72" i="34"/>
  <c r="J98" i="39"/>
  <c r="BH30" i="34"/>
  <c r="BH29" i="34"/>
  <c r="BG68" i="34"/>
  <c r="E98" i="39"/>
  <c r="BG54" i="34"/>
  <c r="BH32" i="34"/>
  <c r="BH31" i="34"/>
  <c r="BG59" i="34"/>
  <c r="G66" i="37" l="1"/>
  <c r="I66" i="37" s="1"/>
  <c r="C98" i="39"/>
  <c r="BH28" i="34"/>
  <c r="H98" i="39"/>
  <c r="BG55" i="34"/>
  <c r="BG71" i="34"/>
  <c r="D98" i="39" l="1"/>
  <c r="AZ66" i="37"/>
  <c r="BB66" i="37" s="1"/>
  <c r="F67" i="37"/>
  <c r="M66" i="37"/>
  <c r="BH25" i="34"/>
  <c r="BH13" i="34" s="1"/>
  <c r="BH12" i="34" s="1"/>
  <c r="BH17" i="34" s="1"/>
  <c r="BH14" i="34"/>
  <c r="BF66" i="37" l="1"/>
  <c r="AY67" i="37"/>
  <c r="N66" i="37"/>
  <c r="E67" i="37"/>
  <c r="BH56" i="34"/>
  <c r="BI32" i="34" s="1"/>
  <c r="BH61" i="34"/>
  <c r="BG66" i="37" l="1"/>
  <c r="AX67" i="37"/>
  <c r="AW67" i="37" s="1"/>
  <c r="D67" i="37" s="1"/>
  <c r="E99" i="39"/>
  <c r="BH54" i="34"/>
  <c r="BI29" i="34"/>
  <c r="BI30" i="34"/>
  <c r="BH68" i="34"/>
  <c r="BH59" i="34"/>
  <c r="BI31" i="34"/>
  <c r="BH72" i="34"/>
  <c r="J99" i="39"/>
  <c r="G67" i="37" l="1"/>
  <c r="I67" i="37" s="1"/>
  <c r="C99" i="39"/>
  <c r="BI28" i="34"/>
  <c r="H99" i="39"/>
  <c r="BH71" i="34"/>
  <c r="BH55" i="34"/>
  <c r="D99" i="39" l="1"/>
  <c r="AZ67" i="37"/>
  <c r="BB67" i="37" s="1"/>
  <c r="F68" i="37"/>
  <c r="M67" i="37"/>
  <c r="BI14" i="34"/>
  <c r="BI25" i="34"/>
  <c r="BI13" i="34" s="1"/>
  <c r="BI12" i="34" s="1"/>
  <c r="BI17" i="34" s="1"/>
  <c r="BF67" i="37" l="1"/>
  <c r="AY68" i="37"/>
  <c r="E68" i="37"/>
  <c r="N67" i="37"/>
  <c r="BI61" i="34"/>
  <c r="BI56" i="34"/>
  <c r="E100" i="39" s="1"/>
  <c r="AX68" i="37" l="1"/>
  <c r="AW68" i="37" s="1"/>
  <c r="D68" i="37" s="1"/>
  <c r="BG67" i="37"/>
  <c r="BI72" i="34"/>
  <c r="J100" i="39"/>
  <c r="BJ31" i="34"/>
  <c r="BI54" i="34"/>
  <c r="BJ29" i="34"/>
  <c r="BI59" i="34"/>
  <c r="BI68" i="34"/>
  <c r="BJ30" i="34"/>
  <c r="BJ32" i="34"/>
  <c r="C100" i="39" l="1"/>
  <c r="G68" i="37"/>
  <c r="I68" i="37" s="1"/>
  <c r="H100" i="39"/>
  <c r="BI55" i="34"/>
  <c r="BI71" i="34"/>
  <c r="BJ28" i="34"/>
  <c r="D100" i="39" l="1"/>
  <c r="AZ68" i="37"/>
  <c r="BB68" i="37" s="1"/>
  <c r="M68" i="37"/>
  <c r="F69" i="37"/>
  <c r="BJ14" i="34"/>
  <c r="BJ25" i="34"/>
  <c r="BJ13" i="34" s="1"/>
  <c r="BJ12" i="34" s="1"/>
  <c r="BJ17" i="34" s="1"/>
  <c r="AY69" i="37" l="1"/>
  <c r="BF68" i="37"/>
  <c r="E69" i="37"/>
  <c r="N68" i="37"/>
  <c r="BJ61" i="34"/>
  <c r="BJ56" i="34"/>
  <c r="BG68" i="37" l="1"/>
  <c r="AX69" i="37"/>
  <c r="AW69" i="37" s="1"/>
  <c r="D69" i="37" s="1"/>
  <c r="BJ72" i="34"/>
  <c r="J101" i="39"/>
  <c r="E101" i="39"/>
  <c r="BJ54" i="34"/>
  <c r="BK31" i="34"/>
  <c r="BJ59" i="34"/>
  <c r="H101" i="39" s="1"/>
  <c r="BK32" i="34"/>
  <c r="BJ68" i="34"/>
  <c r="BK30" i="34"/>
  <c r="BK29" i="34"/>
  <c r="BK28" i="34" l="1"/>
  <c r="BJ71" i="34"/>
  <c r="BJ55" i="34"/>
  <c r="C101" i="39"/>
  <c r="G69" i="37"/>
  <c r="I69" i="37" s="1"/>
  <c r="BK14" i="34" l="1"/>
  <c r="R26" i="39"/>
  <c r="T26" i="39" s="1"/>
  <c r="BK25" i="34"/>
  <c r="H8" i="39"/>
  <c r="J8" i="39" s="1"/>
  <c r="H26" i="39"/>
  <c r="J26" i="39" s="1"/>
  <c r="R8" i="39"/>
  <c r="T8" i="39" s="1"/>
  <c r="D101" i="39"/>
  <c r="AZ69" i="37"/>
  <c r="BB69" i="37" s="1"/>
  <c r="F70" i="37"/>
  <c r="M69" i="37"/>
  <c r="E70" i="37" l="1"/>
  <c r="N69" i="37"/>
  <c r="R6" i="39"/>
  <c r="R24" i="39"/>
  <c r="BK13" i="34"/>
  <c r="BK12" i="34" s="1"/>
  <c r="BK17" i="34" s="1"/>
  <c r="H6" i="39"/>
  <c r="H24" i="39"/>
  <c r="AY70" i="37"/>
  <c r="BF69" i="37"/>
  <c r="BK61" i="34" l="1"/>
  <c r="BK56" i="34"/>
  <c r="J6" i="39"/>
  <c r="H7" i="39"/>
  <c r="H10" i="39" s="1"/>
  <c r="H15" i="39" s="1"/>
  <c r="H16" i="39" s="1"/>
  <c r="H17" i="39" s="1"/>
  <c r="J24" i="39"/>
  <c r="H25" i="39"/>
  <c r="H33" i="39" s="1"/>
  <c r="H34" i="39" s="1"/>
  <c r="H35" i="39" s="1"/>
  <c r="R7" i="39"/>
  <c r="R10" i="39" s="1"/>
  <c r="R15" i="39" s="1"/>
  <c r="R16" i="39" s="1"/>
  <c r="R17" i="39" s="1"/>
  <c r="T6" i="39"/>
  <c r="T24" i="39"/>
  <c r="R25" i="39"/>
  <c r="R33" i="39" s="1"/>
  <c r="R34" i="39" s="1"/>
  <c r="R35" i="39" s="1"/>
  <c r="BG69" i="37"/>
  <c r="AX70" i="37"/>
  <c r="AW70" i="37" s="1"/>
  <c r="D70" i="37" s="1"/>
  <c r="BK72" i="34" l="1"/>
  <c r="J102" i="39"/>
  <c r="E102" i="39"/>
  <c r="BK54" i="34"/>
  <c r="BK59" i="34"/>
  <c r="BK68" i="34"/>
  <c r="C102" i="39" l="1"/>
  <c r="G70" i="37"/>
  <c r="I70" i="37" s="1"/>
  <c r="M70" i="37" s="1"/>
  <c r="N70" i="37" s="1"/>
  <c r="J15" i="39"/>
  <c r="H102" i="39"/>
  <c r="BM59" i="34"/>
  <c r="BK55" i="34"/>
  <c r="BK71" i="34"/>
  <c r="D102" i="39" l="1"/>
  <c r="AZ70" i="37"/>
  <c r="BB70" i="37" s="1"/>
  <c r="BF70" i="37" s="1"/>
  <c r="BG70" i="3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tc={A2B3006D-6D42-45EF-8858-8DC062054B61}</author>
  </authors>
  <commentList>
    <comment ref="B17" authorId="0" shapeId="0" xr:uid="{A2B3006D-6D42-45EF-8858-8DC062054B6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O ajuste do caixa ao limite de acordo com mínimo pode ser feito de duas formas:
1 - AJUSTE TOTAL DA PROJEÇÃO : 
Ao clicar no botão azul todos os períodos pós prazo de recebimento dos títulos é ajustado ao valor mínimo de caixa, garantindo a compra máxima de ativos respeitando valor minimo de caixa e volume máximo mensal.
2 - AJUSTE PONTUAL MÊS-A-MÊS :
Ao selecionar qualquer coluna da projeção, pressione CTRL+H para ajustar o caixa do período especifico. Segurar a o comando faz com que a projeção ajuste mês-a-mês em cadeia.
</t>
      </text>
    </comment>
  </commentList>
</comments>
</file>

<file path=xl/sharedStrings.xml><?xml version="1.0" encoding="utf-8"?>
<sst xmlns="http://schemas.openxmlformats.org/spreadsheetml/2006/main" count="748" uniqueCount="207">
  <si>
    <t>Dados</t>
  </si>
  <si>
    <t>Gráfico</t>
  </si>
  <si>
    <t>Mercado</t>
  </si>
  <si>
    <t>Vecto.</t>
  </si>
  <si>
    <t>Preço Abertura</t>
  </si>
  <si>
    <t>Preço Mínimo</t>
  </si>
  <si>
    <t>Preço Máximo</t>
  </si>
  <si>
    <t>Preço Médio</t>
  </si>
  <si>
    <t>#</t>
  </si>
  <si>
    <t>FUT</t>
  </si>
  <si>
    <t>PREMISSAS - CUSTOS</t>
  </si>
  <si>
    <t>CUSTOS PRÉ-EMISSÃO</t>
  </si>
  <si>
    <t>CUSTOS</t>
  </si>
  <si>
    <t>PARTE</t>
  </si>
  <si>
    <t>PARCELA / TAXA</t>
  </si>
  <si>
    <t>FREQUÊNCIA</t>
  </si>
  <si>
    <t>REFERÊNCIA</t>
  </si>
  <si>
    <t>VALOR LÍQUIDO</t>
  </si>
  <si>
    <t>IMPOSTO</t>
  </si>
  <si>
    <t>VALOR BRUTO</t>
  </si>
  <si>
    <t>VALOR MÍNIMO</t>
  </si>
  <si>
    <t>A definir</t>
  </si>
  <si>
    <t>Parcela única</t>
  </si>
  <si>
    <t>Valor fixo</t>
  </si>
  <si>
    <t>ANBIMA</t>
  </si>
  <si>
    <t>Taxa de Registro</t>
  </si>
  <si>
    <t>B3</t>
  </si>
  <si>
    <t>TOTAL</t>
  </si>
  <si>
    <t xml:space="preserve">CUSTOS RECORRENTES - ANUAIS E FIXOS </t>
  </si>
  <si>
    <t>VALOR LÍQUIDO (a.a.)</t>
  </si>
  <si>
    <t>VALOR BRUTO (a.a.)</t>
  </si>
  <si>
    <t>Anual</t>
  </si>
  <si>
    <t>Mensal</t>
  </si>
  <si>
    <t>Taxa de Fiscalização</t>
  </si>
  <si>
    <t>CVM</t>
  </si>
  <si>
    <t>Trimestral</t>
  </si>
  <si>
    <t>Valor conforme tabela</t>
  </si>
  <si>
    <t>Bimestral</t>
  </si>
  <si>
    <t>Auditoria</t>
  </si>
  <si>
    <t>Taxa de Fiscalização CVM Por Patrimônio Líquido</t>
  </si>
  <si>
    <t>De</t>
  </si>
  <si>
    <t>Até</t>
  </si>
  <si>
    <t>Taxa</t>
  </si>
  <si>
    <t>-</t>
  </si>
  <si>
    <t>Taxa ANBIMA de Fundos de Investimento (Divulgação) - Bimestral</t>
  </si>
  <si>
    <t>Taxa Custódia B3 - % sobre patrimônio líquido</t>
  </si>
  <si>
    <t>%</t>
  </si>
  <si>
    <t xml:space="preserve">Taxa Registro B3 </t>
  </si>
  <si>
    <t>Total</t>
  </si>
  <si>
    <t>VALOR MÍNIMO (a.m)</t>
  </si>
  <si>
    <t>Taxa de Registro de Classe</t>
  </si>
  <si>
    <t>Anbima</t>
  </si>
  <si>
    <t>Taxa de Registro de Subclasse</t>
  </si>
  <si>
    <t>Por subclasse</t>
  </si>
  <si>
    <t>Taxa de Registro FIDC</t>
  </si>
  <si>
    <t>Custo</t>
  </si>
  <si>
    <t>Taxa de Custódia B3 % sobre o Patrimônio Líquido</t>
  </si>
  <si>
    <t>Escalonado conforme tabela abaixo</t>
  </si>
  <si>
    <t>Valor da Taxa:</t>
  </si>
  <si>
    <t>Taxa de Administração, Controladoria e Custódia</t>
  </si>
  <si>
    <t>Taxa de Verificação de Lastro</t>
  </si>
  <si>
    <t>A defiir</t>
  </si>
  <si>
    <t>Taxa de Fundos de Investimentos (Divulgação)</t>
  </si>
  <si>
    <t>Comissão de Implementação e Constituição do Fundo</t>
  </si>
  <si>
    <t>Sobre o Patrimônio Líquido</t>
  </si>
  <si>
    <t>Papel</t>
  </si>
  <si>
    <t>Venc.</t>
  </si>
  <si>
    <t>Patrimônio Líquido Inicial</t>
  </si>
  <si>
    <t>Senior</t>
  </si>
  <si>
    <t>Valor de integralização</t>
  </si>
  <si>
    <t>Data de Integralização</t>
  </si>
  <si>
    <t>Meza</t>
  </si>
  <si>
    <t>Caixa</t>
  </si>
  <si>
    <t>Premissas</t>
  </si>
  <si>
    <t>Tx.am</t>
  </si>
  <si>
    <t>Tx.aa</t>
  </si>
  <si>
    <t>Tx. Deságio</t>
  </si>
  <si>
    <t>DIAS</t>
  </si>
  <si>
    <t>ANO</t>
  </si>
  <si>
    <t>Tx.dia</t>
  </si>
  <si>
    <t>MESES</t>
  </si>
  <si>
    <t>Nominal</t>
  </si>
  <si>
    <t>Despesas</t>
  </si>
  <si>
    <t>CDI</t>
  </si>
  <si>
    <t>Descrição da Taxa</t>
  </si>
  <si>
    <t>Dias Úteis</t>
  </si>
  <si>
    <t>Dias Corridos</t>
  </si>
  <si>
    <t>DI x pré</t>
  </si>
  <si>
    <t>JUROS</t>
  </si>
  <si>
    <t>Data do modelo</t>
  </si>
  <si>
    <t>Data</t>
  </si>
  <si>
    <t>Taxa AA.</t>
  </si>
  <si>
    <t>Taxa AM.</t>
  </si>
  <si>
    <t>PU Final</t>
  </si>
  <si>
    <t>PU abertura</t>
  </si>
  <si>
    <t>JUROS PAGO</t>
  </si>
  <si>
    <t>PU JUROS FINAL</t>
  </si>
  <si>
    <t>PU PRINCIPAL PAGO</t>
  </si>
  <si>
    <t>PU PRINCIPAL FINAL</t>
  </si>
  <si>
    <t>PU JUROS ABERTURA</t>
  </si>
  <si>
    <t>PL Inicial</t>
  </si>
  <si>
    <t>Fluxo de caixa</t>
  </si>
  <si>
    <t>Custos Recorrentes</t>
  </si>
  <si>
    <t>Gestão</t>
  </si>
  <si>
    <t>Despesas com Emissão</t>
  </si>
  <si>
    <t>Entradas</t>
  </si>
  <si>
    <t>Saídas</t>
  </si>
  <si>
    <t>SPREAD AA</t>
  </si>
  <si>
    <t>Integralizações</t>
  </si>
  <si>
    <t>PU PRINCIPAL ABERTURA</t>
  </si>
  <si>
    <t>Saldo QTDs</t>
  </si>
  <si>
    <t>DCs Recebidos</t>
  </si>
  <si>
    <t>DTVM</t>
  </si>
  <si>
    <t>Junior</t>
  </si>
  <si>
    <t>Patrimônio Líquido</t>
  </si>
  <si>
    <t>Sênior</t>
  </si>
  <si>
    <t>DCs Adquiridos</t>
  </si>
  <si>
    <t>Taxa de Gestão</t>
  </si>
  <si>
    <t xml:space="preserve">Deságio </t>
  </si>
  <si>
    <t>Data de Cessão</t>
  </si>
  <si>
    <t>Valor de Cessão</t>
  </si>
  <si>
    <t>Receita Aplicação de caixa</t>
  </si>
  <si>
    <t>Taxa de Fiscalização (Trimestral)</t>
  </si>
  <si>
    <t>Auditoria (Anual)</t>
  </si>
  <si>
    <t/>
  </si>
  <si>
    <t>Taxa Registro Lastro</t>
  </si>
  <si>
    <t>Registradora</t>
  </si>
  <si>
    <t>Ativos</t>
  </si>
  <si>
    <t>DCs em carteira</t>
  </si>
  <si>
    <t>Receitas</t>
  </si>
  <si>
    <t>Custo de Capital</t>
  </si>
  <si>
    <t>Juros Sênior</t>
  </si>
  <si>
    <t>Juros Mezanino</t>
  </si>
  <si>
    <t>Descrição</t>
  </si>
  <si>
    <t>Mezanino</t>
  </si>
  <si>
    <t>Receita Financeira Bruta</t>
  </si>
  <si>
    <t>Receita - Custo Estrutura</t>
  </si>
  <si>
    <t>Por regime de Caixa</t>
  </si>
  <si>
    <t>Registro CVM</t>
  </si>
  <si>
    <t>Registro CNPJ</t>
  </si>
  <si>
    <t>VALOR TOTAL</t>
  </si>
  <si>
    <t>Preço</t>
  </si>
  <si>
    <t>Compra de DCs</t>
  </si>
  <si>
    <t>Gestora</t>
  </si>
  <si>
    <t>SPREAD AM</t>
  </si>
  <si>
    <t xml:space="preserve"> </t>
  </si>
  <si>
    <t>Rentabilidade dos ativos</t>
  </si>
  <si>
    <t>Rentabilidade da cota junior</t>
  </si>
  <si>
    <t>Mínimo de Caixa</t>
  </si>
  <si>
    <t>D+0</t>
  </si>
  <si>
    <t>SPREAD AD</t>
  </si>
  <si>
    <t>Taxa AD.</t>
  </si>
  <si>
    <t>PU INICIAL</t>
  </si>
  <si>
    <t>Data de Abertura</t>
  </si>
  <si>
    <t>1ª Integralização</t>
  </si>
  <si>
    <t>prazo dos títulos (Em meses)</t>
  </si>
  <si>
    <t>Recorrencia de operações (Em meses)</t>
  </si>
  <si>
    <t>Volume Mensal Operado MÁXIMO</t>
  </si>
  <si>
    <t xml:space="preserve">DCs Receita Financeira </t>
  </si>
  <si>
    <t>PDD</t>
  </si>
  <si>
    <t>Duplicatas</t>
  </si>
  <si>
    <t>PERFORMADO</t>
  </si>
  <si>
    <t>hardcode/inputs</t>
  </si>
  <si>
    <t>Esquema de Cores</t>
  </si>
  <si>
    <t>resultado</t>
  </si>
  <si>
    <t>cálculos</t>
  </si>
  <si>
    <t>Custos com emissão</t>
  </si>
  <si>
    <t>MÍNIMO DE PL</t>
  </si>
  <si>
    <t>Amortizações &amp; Juros de SUBCLASSES</t>
  </si>
  <si>
    <t>Juros</t>
  </si>
  <si>
    <t>Amortização</t>
  </si>
  <si>
    <t>Junior Subordinada</t>
  </si>
  <si>
    <t>Por regime de Competência</t>
  </si>
  <si>
    <t>Economia tributária+caixa</t>
  </si>
  <si>
    <t>Resultado Líquido</t>
  </si>
  <si>
    <t>IRPF (15%)</t>
  </si>
  <si>
    <t>Economia IRPJ/CSLL (34%)</t>
  </si>
  <si>
    <t>Volume Operacional</t>
  </si>
  <si>
    <t>Resultado Junior Subordinado</t>
  </si>
  <si>
    <t>Gráficos</t>
  </si>
  <si>
    <t>ESCALA</t>
  </si>
  <si>
    <t>Milhões de R$</t>
  </si>
  <si>
    <t>Prazos</t>
  </si>
  <si>
    <t>Checks</t>
  </si>
  <si>
    <t>Volume Operado</t>
  </si>
  <si>
    <t>Periodo</t>
  </si>
  <si>
    <t>Rótulos de Linha</t>
  </si>
  <si>
    <t>Total Geral</t>
  </si>
  <si>
    <t>Rentabilidade dos ativos2</t>
  </si>
  <si>
    <t>DATAREF</t>
  </si>
  <si>
    <t>Máx. de Sênior</t>
  </si>
  <si>
    <t>Máx. de Meza</t>
  </si>
  <si>
    <t>Máx. de Junior</t>
  </si>
  <si>
    <t>Escala dos valores</t>
  </si>
  <si>
    <t>(Em milhões de R$)</t>
  </si>
  <si>
    <t>QTD</t>
  </si>
  <si>
    <t>PU</t>
  </si>
  <si>
    <t>QTD INICIAL</t>
  </si>
  <si>
    <t>ATIVO</t>
  </si>
  <si>
    <t>Spread Meza AA</t>
  </si>
  <si>
    <t>Spread Senior AA</t>
  </si>
  <si>
    <t>abas</t>
  </si>
  <si>
    <t>AZUL</t>
  </si>
  <si>
    <t>VERMELHO</t>
  </si>
  <si>
    <t>possuem inputs a se inserir</t>
  </si>
  <si>
    <t>Críticas para a macro do caixa não editar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</si>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</sst>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00000%"/>
    <numFmt numFmtId="166" formatCode="0.0000000%"/>
    <numFmt numFmtId="167" formatCode="_-&quot;R$&quot;* #,##0.00_-;\-&quot;R$&quot;* #,##0.00_-;_-&quot;R$&quot;* &quot;-&quot;??_-;_-@_-"/>
    <numFmt numFmtId="168" formatCode="&quot;R$&quot;\ #,##0.00"/>
    <numFmt numFmtId="169" formatCode="0.000%"/>
    <numFmt numFmtId="170" formatCode="#,##0.000"/>
    <numFmt numFmtId="171" formatCode="0.0%"/>
    <numFmt numFmtId="172" formatCode="#,##0.0000"/>
    <numFmt numFmtId="173" formatCode="_-* #,##0.0000000_-;\-* #,##0.0000000_-;_-* &quot;-&quot;???????_-;_-@_-"/>
    <numFmt numFmtId="174" formatCode="0.0"/>
  </numFmts>
  <fonts count="32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2"/>
      <color rgb="FFFFFFFF"/>
      <name val="Arial"/>
      <family val="2"/>
    </font>
    <font>
      <sz val="11"/>
      <color rgb="FFFFFFFF"/>
      <name val="Segoe UI"/>
      <family val="2"/>
      <scheme val="minor"/>
    </font>
    <font>
      <sz val="11"/>
      <color rgb="FF5C5F60"/>
      <name val="Segoe UI"/>
      <family val="2"/>
      <scheme val="minor"/>
    </font>
    <font>
      <sz val="11"/>
      <color rgb="FF00B0E6"/>
      <name val="Segoe UI"/>
      <family val="2"/>
      <scheme val="minor"/>
    </font>
    <font>
      <b/>
      <sz val="11"/>
      <color theme="1"/>
      <name val="Segoe UI"/>
      <family val="2"/>
      <scheme val="minor"/>
    </font>
    <font>
      <b/>
      <sz val="10"/>
      <color rgb="FFFFFFFF"/>
      <name val="Arial"/>
      <family val="2"/>
    </font>
    <font>
      <b/>
      <u/>
      <sz val="11"/>
      <color theme="1"/>
      <name val="Segoe UI"/>
      <family val="2"/>
      <scheme val="minor"/>
    </font>
    <font>
      <b/>
      <sz val="10.5"/>
      <color theme="1"/>
      <name val="Segoe UI"/>
      <family val="2"/>
      <scheme val="major"/>
    </font>
    <font>
      <sz val="10.5"/>
      <color theme="1"/>
      <name val="Segoe UI"/>
      <family val="2"/>
      <scheme val="major"/>
    </font>
    <font>
      <sz val="10.5"/>
      <name val="Segoe UI"/>
      <family val="2"/>
      <scheme val="major"/>
    </font>
    <font>
      <sz val="10.5"/>
      <color rgb="FF103228"/>
      <name val="Segoe UI"/>
      <family val="2"/>
      <scheme val="major"/>
    </font>
    <font>
      <b/>
      <sz val="10.5"/>
      <color rgb="FF103228"/>
      <name val="Segoe UI"/>
      <family val="2"/>
      <scheme val="major"/>
    </font>
    <font>
      <sz val="10.5"/>
      <color theme="0"/>
      <name val="Segoe UI"/>
      <family val="2"/>
      <scheme val="major"/>
    </font>
    <font>
      <sz val="10.5"/>
      <color rgb="FFFF0000"/>
      <name val="Segoe UI"/>
      <family val="2"/>
      <scheme val="major"/>
    </font>
    <font>
      <b/>
      <sz val="10.5"/>
      <name val="Segoe UI"/>
      <family val="2"/>
      <scheme val="major"/>
    </font>
    <font>
      <b/>
      <sz val="10.5"/>
      <color theme="0"/>
      <name val="Segoe UI"/>
      <family val="2"/>
      <scheme val="major"/>
    </font>
    <font>
      <sz val="10.5"/>
      <color rgb="FF00747A"/>
      <name val="Segoe UI"/>
      <family val="2"/>
      <scheme val="major"/>
    </font>
    <font>
      <b/>
      <u val="double"/>
      <sz val="16"/>
      <color theme="1"/>
      <name val="Segoe UI"/>
      <family val="2"/>
      <scheme val="major"/>
    </font>
    <font>
      <sz val="11"/>
      <name val="Segoe UI"/>
      <family val="2"/>
      <scheme val="minor"/>
    </font>
    <font>
      <b/>
      <u/>
      <sz val="11"/>
      <name val="Segoe UI"/>
      <family val="2"/>
      <scheme val="minor"/>
    </font>
    <font>
      <b/>
      <sz val="11"/>
      <name val="Segoe UI"/>
      <family val="2"/>
      <scheme val="minor"/>
    </font>
    <font>
      <u/>
      <sz val="11"/>
      <color rgb="FF0000FF"/>
      <name val="Segoe UI"/>
      <family val="2"/>
      <scheme val="minor"/>
    </font>
    <font>
      <sz val="11"/>
      <color rgb="FF0000FF"/>
      <name val="Segoe UI"/>
      <family val="2"/>
      <scheme val="minor"/>
    </font>
    <font>
      <b/>
      <sz val="11"/>
      <color theme="0"/>
      <name val="Segoe UI"/>
      <family val="2"/>
      <scheme val="minor"/>
    </font>
    <font>
      <b/>
      <sz val="11"/>
      <color rgb="FF0000FF"/>
      <name val="Segoe UI"/>
      <family val="2"/>
      <scheme val="minor"/>
    </font>
    <font>
      <b/>
      <sz val="10"/>
      <color rgb="FF0000FF"/>
      <name val="Arial"/>
      <family val="2"/>
    </font>
    <font>
      <b/>
      <sz val="11"/>
      <color rgb="FF3333FF"/>
      <name val="Segoe UI"/>
      <family val="2"/>
      <scheme val="minor"/>
    </font>
    <font>
      <b/>
      <u/>
      <sz val="11"/>
      <color theme="0"/>
      <name val="Segoe U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5CA9"/>
        <bgColor indexed="64"/>
      </patternFill>
    </fill>
    <fill>
      <patternFill patternType="solid">
        <fgColor rgb="FF1F4E78"/>
      </patternFill>
    </fill>
    <fill>
      <patternFill patternType="solid">
        <fgColor theme="2"/>
        <bgColor indexed="64"/>
      </patternFill>
    </fill>
    <fill>
      <patternFill patternType="solid">
        <fgColor rgb="FFC1C1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rgb="FF103228"/>
      </top>
      <bottom style="medium">
        <color rgb="FF103228"/>
      </bottom>
      <diagonal/>
    </border>
    <border>
      <left/>
      <right/>
      <top/>
      <bottom style="medium">
        <color rgb="FFE5E5E5"/>
      </bottom>
      <diagonal/>
    </border>
    <border>
      <left style="medium">
        <color rgb="FFE5E5E5"/>
      </left>
      <right style="medium">
        <color rgb="FFFFFFFF"/>
      </right>
      <top style="medium">
        <color rgb="FFE5E5E5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E5E5E5"/>
      </top>
      <bottom style="medium">
        <color rgb="FFFFFFFF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E5E5E5"/>
      </bottom>
      <diagonal/>
    </border>
    <border>
      <left/>
      <right/>
      <top style="medium">
        <color rgb="FFFFFFFF"/>
      </top>
      <bottom style="medium">
        <color rgb="FFE5E5E5"/>
      </bottom>
      <diagonal/>
    </border>
    <border>
      <left style="medium">
        <color rgb="FFFFFFFF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05">
    <xf numFmtId="0" fontId="0" fillId="0" borderId="0" xfId="0"/>
    <xf numFmtId="4" fontId="0" fillId="0" borderId="0" xfId="0" applyNumberFormat="1"/>
    <xf numFmtId="0" fontId="6" fillId="3" borderId="4" xfId="0" applyFont="1" applyFill="1" applyBorder="1" applyAlignment="1">
      <alignment vertical="top" wrapText="1"/>
    </xf>
    <xf numFmtId="14" fontId="6" fillId="3" borderId="4" xfId="0" applyNumberFormat="1" applyFont="1" applyFill="1" applyBorder="1" applyAlignment="1">
      <alignment vertical="top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top" wrapText="1"/>
    </xf>
    <xf numFmtId="0" fontId="6" fillId="3" borderId="7" xfId="0" applyFont="1" applyFill="1" applyBorder="1" applyAlignment="1">
      <alignment vertical="top" wrapText="1"/>
    </xf>
    <xf numFmtId="0" fontId="6" fillId="3" borderId="8" xfId="0" applyFont="1" applyFill="1" applyBorder="1" applyAlignment="1">
      <alignment vertical="top" wrapText="1"/>
    </xf>
    <xf numFmtId="0" fontId="6" fillId="3" borderId="0" xfId="0" applyFont="1" applyFill="1" applyAlignment="1">
      <alignment vertical="top" wrapText="1"/>
    </xf>
    <xf numFmtId="14" fontId="6" fillId="3" borderId="0" xfId="0" applyNumberFormat="1" applyFont="1" applyFill="1" applyAlignment="1">
      <alignment vertical="top"/>
    </xf>
    <xf numFmtId="0" fontId="6" fillId="3" borderId="4" xfId="0" applyFont="1" applyFill="1" applyBorder="1" applyAlignment="1">
      <alignment horizontal="right" vertical="top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right" vertical="top" wrapText="1"/>
    </xf>
    <xf numFmtId="14" fontId="0" fillId="0" borderId="0" xfId="0" applyNumberFormat="1"/>
    <xf numFmtId="0" fontId="9" fillId="5" borderId="23" xfId="0" applyFont="1" applyFill="1" applyBorder="1" applyAlignment="1">
      <alignment horizontal="center" vertical="center" wrapText="1"/>
    </xf>
    <xf numFmtId="0" fontId="2" fillId="0" borderId="14" xfId="0" applyFont="1" applyBorder="1"/>
    <xf numFmtId="0" fontId="8" fillId="0" borderId="0" xfId="0" applyFont="1"/>
    <xf numFmtId="0" fontId="8" fillId="0" borderId="14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0" fontId="9" fillId="5" borderId="24" xfId="0" applyFont="1" applyFill="1" applyBorder="1" applyAlignment="1">
      <alignment horizontal="center" vertical="center" wrapText="1"/>
    </xf>
    <xf numFmtId="10" fontId="2" fillId="0" borderId="14" xfId="2" applyNumberFormat="1" applyFont="1" applyBorder="1" applyAlignment="1">
      <alignment horizontal="center"/>
    </xf>
    <xf numFmtId="0" fontId="2" fillId="0" borderId="0" xfId="2" applyNumberFormat="1" applyFont="1" applyFill="1" applyBorder="1"/>
    <xf numFmtId="0" fontId="2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0" fillId="0" borderId="1" xfId="0" applyBorder="1"/>
    <xf numFmtId="0" fontId="0" fillId="0" borderId="22" xfId="0" applyBorder="1"/>
    <xf numFmtId="0" fontId="0" fillId="0" borderId="0" xfId="0" applyAlignment="1">
      <alignment horizontal="left"/>
    </xf>
    <xf numFmtId="14" fontId="8" fillId="0" borderId="0" xfId="0" applyNumberFormat="1" applyFont="1" applyAlignment="1">
      <alignment horizontal="center"/>
    </xf>
    <xf numFmtId="10" fontId="0" fillId="0" borderId="0" xfId="0" applyNumberFormat="1"/>
    <xf numFmtId="14" fontId="2" fillId="0" borderId="14" xfId="0" applyNumberFormat="1" applyFont="1" applyBorder="1"/>
    <xf numFmtId="4" fontId="8" fillId="0" borderId="0" xfId="0" applyNumberFormat="1" applyFont="1" applyAlignment="1">
      <alignment horizontal="center"/>
    </xf>
    <xf numFmtId="14" fontId="0" fillId="6" borderId="25" xfId="0" applyNumberFormat="1" applyFill="1" applyBorder="1" applyAlignment="1">
      <alignment horizontal="center"/>
    </xf>
    <xf numFmtId="4" fontId="0" fillId="6" borderId="25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8" fillId="0" borderId="0" xfId="0" applyNumberFormat="1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4" fontId="12" fillId="0" borderId="0" xfId="0" applyNumberFormat="1" applyFont="1" applyAlignment="1">
      <alignment horizontal="center"/>
    </xf>
    <xf numFmtId="43" fontId="13" fillId="0" borderId="0" xfId="0" applyNumberFormat="1" applyFont="1" applyAlignment="1">
      <alignment horizontal="right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2" fillId="0" borderId="3" xfId="0" applyFont="1" applyBorder="1"/>
    <xf numFmtId="0" fontId="15" fillId="0" borderId="0" xfId="0" applyFont="1"/>
    <xf numFmtId="0" fontId="15" fillId="0" borderId="0" xfId="0" applyFont="1" applyAlignment="1">
      <alignment horizontal="center"/>
    </xf>
    <xf numFmtId="43" fontId="12" fillId="0" borderId="0" xfId="5" applyFont="1" applyBorder="1"/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4" fontId="13" fillId="2" borderId="0" xfId="0" applyNumberFormat="1" applyFont="1" applyFill="1" applyAlignment="1">
      <alignment horizontal="center"/>
    </xf>
    <xf numFmtId="10" fontId="13" fillId="0" borderId="0" xfId="0" applyNumberFormat="1" applyFont="1" applyAlignment="1">
      <alignment horizontal="center"/>
    </xf>
    <xf numFmtId="4" fontId="1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0" fontId="13" fillId="0" borderId="0" xfId="0" applyFont="1"/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0" fontId="11" fillId="0" borderId="2" xfId="0" applyFont="1" applyBorder="1" applyAlignment="1">
      <alignment horizontal="right"/>
    </xf>
    <xf numFmtId="4" fontId="11" fillId="0" borderId="2" xfId="0" applyNumberFormat="1" applyFont="1" applyBorder="1" applyAlignment="1">
      <alignment horizontal="center"/>
    </xf>
    <xf numFmtId="168" fontId="18" fillId="0" borderId="2" xfId="0" applyNumberFormat="1" applyFont="1" applyBorder="1" applyAlignment="1">
      <alignment horizontal="center"/>
    </xf>
    <xf numFmtId="4" fontId="18" fillId="0" borderId="2" xfId="0" applyNumberFormat="1" applyFont="1" applyBorder="1" applyAlignment="1">
      <alignment horizontal="center"/>
    </xf>
    <xf numFmtId="43" fontId="12" fillId="0" borderId="0" xfId="5" applyFont="1"/>
    <xf numFmtId="0" fontId="13" fillId="2" borderId="0" xfId="0" applyFont="1" applyFill="1"/>
    <xf numFmtId="0" fontId="13" fillId="0" borderId="0" xfId="0" applyFont="1" applyAlignment="1">
      <alignment horizontal="center"/>
    </xf>
    <xf numFmtId="169" fontId="13" fillId="2" borderId="0" xfId="0" applyNumberFormat="1" applyFont="1" applyFill="1" applyAlignment="1">
      <alignment horizontal="center"/>
    </xf>
    <xf numFmtId="168" fontId="13" fillId="0" borderId="0" xfId="0" applyNumberFormat="1" applyFont="1" applyAlignment="1">
      <alignment horizontal="center"/>
    </xf>
    <xf numFmtId="0" fontId="17" fillId="0" borderId="0" xfId="0" applyFont="1"/>
    <xf numFmtId="0" fontId="16" fillId="0" borderId="0" xfId="0" applyFont="1"/>
    <xf numFmtId="0" fontId="12" fillId="0" borderId="1" xfId="0" applyFont="1" applyBorder="1"/>
    <xf numFmtId="0" fontId="13" fillId="0" borderId="1" xfId="0" applyFont="1" applyBorder="1" applyAlignment="1">
      <alignment horizontal="center"/>
    </xf>
    <xf numFmtId="4" fontId="13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0" fontId="13" fillId="0" borderId="1" xfId="0" applyNumberFormat="1" applyFont="1" applyBorder="1" applyAlignment="1">
      <alignment horizontal="center"/>
    </xf>
    <xf numFmtId="14" fontId="17" fillId="0" borderId="1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10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12" fillId="0" borderId="14" xfId="0" applyFont="1" applyBorder="1" applyAlignment="1">
      <alignment horizontal="center"/>
    </xf>
    <xf numFmtId="43" fontId="12" fillId="0" borderId="16" xfId="5" applyFont="1" applyBorder="1" applyAlignment="1">
      <alignment horizontal="center"/>
    </xf>
    <xf numFmtId="43" fontId="12" fillId="0" borderId="17" xfId="5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43" fontId="12" fillId="0" borderId="15" xfId="5" applyFont="1" applyBorder="1" applyAlignment="1">
      <alignment horizontal="center"/>
    </xf>
    <xf numFmtId="43" fontId="12" fillId="0" borderId="21" xfId="5" applyFont="1" applyBorder="1" applyAlignment="1">
      <alignment horizontal="center"/>
    </xf>
    <xf numFmtId="43" fontId="12" fillId="0" borderId="22" xfId="5" applyFont="1" applyBorder="1" applyAlignment="1">
      <alignment horizontal="center"/>
    </xf>
    <xf numFmtId="166" fontId="12" fillId="0" borderId="0" xfId="2" applyNumberFormat="1" applyFont="1" applyBorder="1" applyAlignment="1">
      <alignment horizontal="center"/>
    </xf>
    <xf numFmtId="4" fontId="13" fillId="0" borderId="15" xfId="0" applyNumberFormat="1" applyFont="1" applyBorder="1" applyAlignment="1">
      <alignment horizontal="center"/>
    </xf>
    <xf numFmtId="166" fontId="12" fillId="0" borderId="21" xfId="2" applyNumberFormat="1" applyFont="1" applyBorder="1" applyAlignment="1">
      <alignment horizontal="center"/>
    </xf>
    <xf numFmtId="4" fontId="13" fillId="0" borderId="16" xfId="0" applyNumberFormat="1" applyFont="1" applyBorder="1" applyAlignment="1">
      <alignment horizontal="center"/>
    </xf>
    <xf numFmtId="166" fontId="12" fillId="0" borderId="22" xfId="2" applyNumberFormat="1" applyFont="1" applyBorder="1" applyAlignment="1">
      <alignment horizontal="center"/>
    </xf>
    <xf numFmtId="4" fontId="13" fillId="0" borderId="17" xfId="0" applyNumberFormat="1" applyFont="1" applyBorder="1" applyAlignment="1">
      <alignment horizontal="center"/>
    </xf>
    <xf numFmtId="164" fontId="12" fillId="0" borderId="16" xfId="1" applyFont="1" applyBorder="1" applyAlignment="1">
      <alignment horizontal="center"/>
    </xf>
    <xf numFmtId="164" fontId="12" fillId="0" borderId="15" xfId="1" applyFont="1" applyBorder="1" applyAlignment="1">
      <alignment horizontal="center"/>
    </xf>
    <xf numFmtId="166" fontId="12" fillId="0" borderId="18" xfId="2" applyNumberFormat="1" applyFont="1" applyBorder="1" applyAlignment="1">
      <alignment horizontal="center"/>
    </xf>
    <xf numFmtId="166" fontId="12" fillId="0" borderId="19" xfId="2" applyNumberFormat="1" applyFont="1" applyBorder="1" applyAlignment="1">
      <alignment horizontal="center"/>
    </xf>
    <xf numFmtId="164" fontId="12" fillId="0" borderId="17" xfId="1" applyFont="1" applyBorder="1" applyAlignment="1">
      <alignment horizontal="center"/>
    </xf>
    <xf numFmtId="166" fontId="12" fillId="0" borderId="20" xfId="2" applyNumberFormat="1" applyFont="1" applyBorder="1" applyAlignment="1">
      <alignment horizontal="center"/>
    </xf>
    <xf numFmtId="173" fontId="12" fillId="0" borderId="0" xfId="0" applyNumberFormat="1" applyFont="1"/>
    <xf numFmtId="0" fontId="8" fillId="0" borderId="0" xfId="0" applyFont="1" applyAlignment="1">
      <alignment horizontal="left"/>
    </xf>
    <xf numFmtId="4" fontId="0" fillId="0" borderId="14" xfId="0" applyNumberFormat="1" applyBorder="1"/>
    <xf numFmtId="169" fontId="0" fillId="0" borderId="0" xfId="0" applyNumberFormat="1"/>
    <xf numFmtId="164" fontId="0" fillId="0" borderId="14" xfId="1" applyFont="1" applyBorder="1" applyAlignment="1">
      <alignment horizontal="center"/>
    </xf>
    <xf numFmtId="10" fontId="8" fillId="0" borderId="0" xfId="2" applyNumberFormat="1" applyFont="1"/>
    <xf numFmtId="43" fontId="0" fillId="0" borderId="0" xfId="0" applyNumberFormat="1"/>
    <xf numFmtId="0" fontId="8" fillId="0" borderId="14" xfId="0" applyFont="1" applyBorder="1"/>
    <xf numFmtId="3" fontId="0" fillId="0" borderId="0" xfId="0" applyNumberFormat="1"/>
    <xf numFmtId="14" fontId="0" fillId="0" borderId="1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4" fontId="8" fillId="7" borderId="0" xfId="0" applyNumberFormat="1" applyFont="1" applyFill="1" applyAlignment="1">
      <alignment horizontal="center"/>
    </xf>
    <xf numFmtId="0" fontId="0" fillId="0" borderId="14" xfId="0" applyBorder="1" applyAlignment="1">
      <alignment horizontal="left"/>
    </xf>
    <xf numFmtId="4" fontId="0" fillId="0" borderId="12" xfId="0" applyNumberFormat="1" applyBorder="1" applyAlignment="1">
      <alignment horizontal="center"/>
    </xf>
    <xf numFmtId="0" fontId="0" fillId="0" borderId="2" xfId="0" applyBorder="1"/>
    <xf numFmtId="0" fontId="0" fillId="0" borderId="13" xfId="0" applyBorder="1"/>
    <xf numFmtId="0" fontId="0" fillId="0" borderId="12" xfId="0" applyBorder="1" applyAlignment="1">
      <alignment horizontal="left"/>
    </xf>
    <xf numFmtId="4" fontId="22" fillId="0" borderId="1" xfId="0" applyNumberFormat="1" applyFont="1" applyBorder="1" applyAlignment="1">
      <alignment horizontal="center"/>
    </xf>
    <xf numFmtId="9" fontId="0" fillId="0" borderId="0" xfId="2" applyFont="1" applyBorder="1"/>
    <xf numFmtId="9" fontId="0" fillId="0" borderId="14" xfId="0" applyNumberFormat="1" applyBorder="1"/>
    <xf numFmtId="10" fontId="0" fillId="0" borderId="14" xfId="0" applyNumberFormat="1" applyBorder="1"/>
    <xf numFmtId="14" fontId="2" fillId="0" borderId="14" xfId="0" applyNumberFormat="1" applyFont="1" applyBorder="1" applyAlignment="1">
      <alignment horizontal="center"/>
    </xf>
    <xf numFmtId="4" fontId="2" fillId="0" borderId="14" xfId="0" applyNumberFormat="1" applyFont="1" applyBorder="1" applyAlignment="1">
      <alignment horizontal="center"/>
    </xf>
    <xf numFmtId="170" fontId="2" fillId="0" borderId="14" xfId="0" applyNumberFormat="1" applyFont="1" applyBorder="1" applyAlignment="1">
      <alignment horizontal="center"/>
    </xf>
    <xf numFmtId="171" fontId="2" fillId="0" borderId="14" xfId="2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3" fillId="0" borderId="0" xfId="0" applyFont="1" applyAlignment="1">
      <alignment horizontal="left"/>
    </xf>
    <xf numFmtId="0" fontId="19" fillId="8" borderId="0" xfId="0" applyFont="1" applyFill="1"/>
    <xf numFmtId="0" fontId="19" fillId="8" borderId="0" xfId="0" applyFont="1" applyFill="1" applyAlignment="1">
      <alignment horizontal="center"/>
    </xf>
    <xf numFmtId="0" fontId="19" fillId="8" borderId="12" xfId="0" applyFont="1" applyFill="1" applyBorder="1" applyAlignment="1">
      <alignment horizontal="center" vertical="center"/>
    </xf>
    <xf numFmtId="0" fontId="19" fillId="8" borderId="2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43" fontId="19" fillId="8" borderId="0" xfId="5" applyFont="1" applyFill="1" applyBorder="1" applyAlignment="1">
      <alignment horizontal="center"/>
    </xf>
    <xf numFmtId="166" fontId="19" fillId="8" borderId="0" xfId="2" applyNumberFormat="1" applyFont="1" applyFill="1" applyBorder="1" applyAlignment="1">
      <alignment horizontal="center"/>
    </xf>
    <xf numFmtId="168" fontId="19" fillId="8" borderId="0" xfId="0" applyNumberFormat="1" applyFont="1" applyFill="1" applyAlignment="1">
      <alignment horizontal="center"/>
    </xf>
    <xf numFmtId="164" fontId="16" fillId="8" borderId="0" xfId="1" applyFont="1" applyFill="1" applyAlignment="1">
      <alignment horizontal="center"/>
    </xf>
    <xf numFmtId="166" fontId="19" fillId="8" borderId="0" xfId="2" applyNumberFormat="1" applyFont="1" applyFill="1" applyAlignment="1">
      <alignment horizontal="center"/>
    </xf>
    <xf numFmtId="0" fontId="0" fillId="0" borderId="18" xfId="0" applyBorder="1" applyAlignment="1">
      <alignment horizontal="left"/>
    </xf>
    <xf numFmtId="0" fontId="0" fillId="0" borderId="20" xfId="0" applyBorder="1" applyAlignment="1">
      <alignment horizontal="left"/>
    </xf>
    <xf numFmtId="0" fontId="25" fillId="0" borderId="0" xfId="0" applyFont="1" applyAlignment="1">
      <alignment horizontal="left"/>
    </xf>
    <xf numFmtId="10" fontId="26" fillId="0" borderId="0" xfId="2" applyNumberFormat="1" applyFont="1" applyAlignment="1">
      <alignment horizontal="center"/>
    </xf>
    <xf numFmtId="14" fontId="0" fillId="0" borderId="20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72" fontId="0" fillId="0" borderId="1" xfId="0" applyNumberFormat="1" applyBorder="1" applyAlignment="1">
      <alignment horizontal="center"/>
    </xf>
    <xf numFmtId="164" fontId="0" fillId="0" borderId="0" xfId="1" applyFont="1" applyBorder="1" applyAlignment="1">
      <alignment horizontal="center"/>
    </xf>
    <xf numFmtId="164" fontId="0" fillId="0" borderId="1" xfId="1" applyFont="1" applyBorder="1" applyAlignment="1">
      <alignment horizontal="center"/>
    </xf>
    <xf numFmtId="164" fontId="0" fillId="0" borderId="21" xfId="1" applyFont="1" applyBorder="1" applyAlignment="1">
      <alignment horizontal="center"/>
    </xf>
    <xf numFmtId="164" fontId="0" fillId="0" borderId="22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4" fontId="8" fillId="0" borderId="2" xfId="0" applyNumberFormat="1" applyFont="1" applyBorder="1" applyAlignment="1">
      <alignment horizontal="center"/>
    </xf>
    <xf numFmtId="4" fontId="8" fillId="0" borderId="13" xfId="0" applyNumberFormat="1" applyFon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2" xfId="0" applyBorder="1" applyAlignment="1">
      <alignment horizontal="left"/>
    </xf>
    <xf numFmtId="0" fontId="8" fillId="0" borderId="12" xfId="0" applyFont="1" applyBorder="1" applyAlignment="1">
      <alignment horizontal="left"/>
    </xf>
    <xf numFmtId="3" fontId="23" fillId="0" borderId="0" xfId="0" applyNumberFormat="1" applyFont="1" applyAlignment="1">
      <alignment horizontal="center"/>
    </xf>
    <xf numFmtId="14" fontId="13" fillId="0" borderId="0" xfId="0" applyNumberFormat="1" applyFont="1" applyAlignment="1">
      <alignment horizontal="center"/>
    </xf>
    <xf numFmtId="4" fontId="22" fillId="0" borderId="22" xfId="0" applyNumberFormat="1" applyFont="1" applyBorder="1" applyAlignment="1">
      <alignment horizontal="center"/>
    </xf>
    <xf numFmtId="0" fontId="27" fillId="8" borderId="13" xfId="0" applyFont="1" applyFill="1" applyBorder="1" applyAlignment="1">
      <alignment horizontal="left"/>
    </xf>
    <xf numFmtId="164" fontId="0" fillId="0" borderId="0" xfId="1" applyFont="1"/>
    <xf numFmtId="164" fontId="8" fillId="0" borderId="0" xfId="1" applyFont="1"/>
    <xf numFmtId="10" fontId="8" fillId="0" borderId="0" xfId="0" applyNumberFormat="1" applyFont="1"/>
    <xf numFmtId="169" fontId="0" fillId="0" borderId="14" xfId="0" applyNumberFormat="1" applyBorder="1"/>
    <xf numFmtId="172" fontId="8" fillId="0" borderId="0" xfId="0" applyNumberFormat="1" applyFont="1"/>
    <xf numFmtId="169" fontId="8" fillId="0" borderId="0" xfId="0" applyNumberFormat="1" applyFont="1"/>
    <xf numFmtId="43" fontId="8" fillId="0" borderId="0" xfId="0" applyNumberFormat="1" applyFont="1"/>
    <xf numFmtId="14" fontId="0" fillId="0" borderId="18" xfId="0" applyNumberFormat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172" fontId="0" fillId="0" borderId="25" xfId="0" applyNumberFormat="1" applyBorder="1" applyAlignment="1">
      <alignment horizontal="center"/>
    </xf>
    <xf numFmtId="164" fontId="0" fillId="0" borderId="25" xfId="1" applyFont="1" applyFill="1" applyBorder="1" applyAlignment="1">
      <alignment horizontal="center"/>
    </xf>
    <xf numFmtId="164" fontId="0" fillId="0" borderId="26" xfId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4" fontId="1" fillId="0" borderId="0" xfId="1" applyFont="1"/>
    <xf numFmtId="3" fontId="8" fillId="0" borderId="0" xfId="0" applyNumberFormat="1" applyFont="1"/>
    <xf numFmtId="164" fontId="1" fillId="0" borderId="14" xfId="1" applyFont="1" applyBorder="1" applyAlignment="1">
      <alignment horizontal="center"/>
    </xf>
    <xf numFmtId="9" fontId="8" fillId="0" borderId="0" xfId="2" applyFont="1" applyFill="1"/>
    <xf numFmtId="9" fontId="0" fillId="0" borderId="0" xfId="0" applyNumberFormat="1"/>
    <xf numFmtId="44" fontId="0" fillId="0" borderId="0" xfId="12" applyFont="1" applyFill="1" applyBorder="1"/>
    <xf numFmtId="0" fontId="0" fillId="0" borderId="19" xfId="0" applyBorder="1" applyAlignment="1">
      <alignment horizontal="left"/>
    </xf>
    <xf numFmtId="0" fontId="8" fillId="0" borderId="12" xfId="0" applyFont="1" applyBorder="1" applyAlignment="1">
      <alignment horizontal="center"/>
    </xf>
    <xf numFmtId="14" fontId="28" fillId="6" borderId="25" xfId="0" applyNumberFormat="1" applyFont="1" applyFill="1" applyBorder="1" applyAlignment="1">
      <alignment horizontal="center"/>
    </xf>
    <xf numFmtId="4" fontId="28" fillId="6" borderId="25" xfId="0" applyNumberFormat="1" applyFont="1" applyFill="1" applyBorder="1" applyAlignment="1">
      <alignment horizontal="center"/>
    </xf>
    <xf numFmtId="164" fontId="28" fillId="0" borderId="21" xfId="1" applyFont="1" applyBorder="1" applyAlignment="1">
      <alignment horizontal="center"/>
    </xf>
    <xf numFmtId="0" fontId="28" fillId="0" borderId="21" xfId="1" applyNumberFormat="1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25" xfId="0" applyFont="1" applyBorder="1"/>
    <xf numFmtId="0" fontId="28" fillId="0" borderId="26" xfId="0" applyFont="1" applyBorder="1"/>
    <xf numFmtId="0" fontId="28" fillId="0" borderId="19" xfId="0" applyFont="1" applyBorder="1"/>
    <xf numFmtId="0" fontId="28" fillId="0" borderId="0" xfId="0" applyFont="1"/>
    <xf numFmtId="0" fontId="28" fillId="0" borderId="21" xfId="0" applyFont="1" applyBorder="1"/>
    <xf numFmtId="0" fontId="28" fillId="0" borderId="20" xfId="0" applyFont="1" applyBorder="1"/>
    <xf numFmtId="0" fontId="28" fillId="0" borderId="1" xfId="0" applyFont="1" applyBorder="1"/>
    <xf numFmtId="0" fontId="28" fillId="0" borderId="22" xfId="0" applyFont="1" applyBorder="1"/>
    <xf numFmtId="0" fontId="8" fillId="0" borderId="0" xfId="0" applyFont="1" applyAlignment="1">
      <alignment horizontal="center" vertical="center"/>
    </xf>
    <xf numFmtId="14" fontId="0" fillId="0" borderId="2" xfId="0" applyNumberFormat="1" applyBorder="1" applyAlignment="1">
      <alignment horizontal="center"/>
    </xf>
    <xf numFmtId="10" fontId="1" fillId="0" borderId="2" xfId="2" applyNumberFormat="1" applyFont="1" applyBorder="1"/>
    <xf numFmtId="10" fontId="1" fillId="0" borderId="2" xfId="2" applyNumberFormat="1" applyFont="1" applyBorder="1" applyAlignment="1">
      <alignment horizontal="center"/>
    </xf>
    <xf numFmtId="164" fontId="12" fillId="0" borderId="0" xfId="1" applyFont="1"/>
    <xf numFmtId="9" fontId="25" fillId="0" borderId="0" xfId="2" applyFont="1" applyAlignment="1">
      <alignment horizontal="center"/>
    </xf>
    <xf numFmtId="0" fontId="0" fillId="8" borderId="13" xfId="0" applyFill="1" applyBorder="1" applyAlignment="1">
      <alignment horizontal="left"/>
    </xf>
    <xf numFmtId="0" fontId="27" fillId="8" borderId="12" xfId="0" applyFont="1" applyFill="1" applyBorder="1" applyAlignment="1">
      <alignment horizontal="center"/>
    </xf>
    <xf numFmtId="0" fontId="27" fillId="8" borderId="12" xfId="0" applyFont="1" applyFill="1" applyBorder="1" applyAlignment="1">
      <alignment horizontal="center" vertical="center"/>
    </xf>
    <xf numFmtId="4" fontId="28" fillId="0" borderId="2" xfId="0" applyNumberFormat="1" applyFont="1" applyBorder="1" applyAlignment="1">
      <alignment horizontal="center"/>
    </xf>
    <xf numFmtId="9" fontId="2" fillId="0" borderId="14" xfId="0" applyNumberFormat="1" applyFont="1" applyBorder="1" applyAlignment="1">
      <alignment horizontal="center"/>
    </xf>
    <xf numFmtId="9" fontId="29" fillId="0" borderId="14" xfId="2" applyFont="1" applyFill="1" applyBorder="1" applyAlignment="1">
      <alignment horizontal="center"/>
    </xf>
    <xf numFmtId="4" fontId="8" fillId="0" borderId="14" xfId="0" applyNumberFormat="1" applyFont="1" applyBorder="1"/>
    <xf numFmtId="4" fontId="0" fillId="0" borderId="14" xfId="0" applyNumberFormat="1" applyBorder="1" applyAlignment="1">
      <alignment horizontal="right"/>
    </xf>
    <xf numFmtId="0" fontId="10" fillId="0" borderId="0" xfId="0" applyFont="1" applyAlignment="1">
      <alignment horizontal="left"/>
    </xf>
    <xf numFmtId="0" fontId="12" fillId="0" borderId="1" xfId="0" applyFont="1" applyBorder="1" applyAlignment="1">
      <alignment horizontal="center" vertical="center"/>
    </xf>
    <xf numFmtId="4" fontId="0" fillId="0" borderId="18" xfId="0" applyNumberFormat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19" xfId="0" quotePrefix="1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25" xfId="0" applyBorder="1" applyAlignment="1">
      <alignment horizontal="left"/>
    </xf>
    <xf numFmtId="0" fontId="8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171" fontId="29" fillId="0" borderId="14" xfId="2" applyNumberFormat="1" applyFont="1" applyBorder="1" applyAlignment="1">
      <alignment horizontal="center"/>
    </xf>
    <xf numFmtId="174" fontId="0" fillId="0" borderId="14" xfId="0" applyNumberFormat="1" applyBorder="1" applyAlignment="1">
      <alignment horizontal="center"/>
    </xf>
    <xf numFmtId="9" fontId="0" fillId="0" borderId="25" xfId="0" applyNumberFormat="1" applyBorder="1"/>
    <xf numFmtId="164" fontId="0" fillId="0" borderId="0" xfId="1" applyFont="1" applyBorder="1"/>
    <xf numFmtId="0" fontId="10" fillId="0" borderId="12" xfId="0" applyFont="1" applyBorder="1" applyAlignment="1">
      <alignment horizontal="left"/>
    </xf>
    <xf numFmtId="0" fontId="8" fillId="0" borderId="13" xfId="0" applyFont="1" applyBorder="1" applyAlignment="1">
      <alignment horizontal="center"/>
    </xf>
    <xf numFmtId="172" fontId="24" fillId="0" borderId="15" xfId="0" applyNumberFormat="1" applyFont="1" applyBorder="1" applyAlignment="1">
      <alignment horizontal="center"/>
    </xf>
    <xf numFmtId="172" fontId="24" fillId="0" borderId="16" xfId="0" applyNumberFormat="1" applyFont="1" applyBorder="1" applyAlignment="1">
      <alignment horizontal="center"/>
    </xf>
    <xf numFmtId="172" fontId="24" fillId="0" borderId="17" xfId="0" applyNumberFormat="1" applyFont="1" applyBorder="1" applyAlignment="1">
      <alignment horizontal="center"/>
    </xf>
    <xf numFmtId="172" fontId="0" fillId="0" borderId="22" xfId="0" applyNumberFormat="1" applyBorder="1" applyAlignment="1">
      <alignment horizontal="center"/>
    </xf>
    <xf numFmtId="172" fontId="30" fillId="0" borderId="15" xfId="0" applyNumberFormat="1" applyFont="1" applyBorder="1" applyAlignment="1">
      <alignment horizontal="center"/>
    </xf>
    <xf numFmtId="172" fontId="30" fillId="0" borderId="16" xfId="0" applyNumberFormat="1" applyFont="1" applyBorder="1" applyAlignment="1">
      <alignment horizontal="center"/>
    </xf>
    <xf numFmtId="172" fontId="30" fillId="0" borderId="17" xfId="0" applyNumberFormat="1" applyFont="1" applyBorder="1" applyAlignment="1">
      <alignment horizontal="center"/>
    </xf>
    <xf numFmtId="0" fontId="21" fillId="0" borderId="0" xfId="0" applyFont="1"/>
    <xf numFmtId="0" fontId="10" fillId="0" borderId="0" xfId="0" applyFont="1"/>
    <xf numFmtId="43" fontId="8" fillId="0" borderId="14" xfId="0" applyNumberFormat="1" applyFont="1" applyBorder="1"/>
    <xf numFmtId="4" fontId="8" fillId="0" borderId="14" xfId="0" applyNumberFormat="1" applyFont="1" applyBorder="1" applyAlignment="1">
      <alignment horizontal="center"/>
    </xf>
    <xf numFmtId="164" fontId="0" fillId="0" borderId="14" xfId="1" applyFont="1" applyBorder="1" applyAlignment="1">
      <alignment horizontal="right"/>
    </xf>
    <xf numFmtId="0" fontId="0" fillId="0" borderId="25" xfId="0" applyBorder="1"/>
    <xf numFmtId="43" fontId="0" fillId="0" borderId="14" xfId="0" applyNumberFormat="1" applyBorder="1"/>
    <xf numFmtId="0" fontId="28" fillId="0" borderId="14" xfId="0" applyFont="1" applyBorder="1" applyAlignment="1">
      <alignment horizontal="center"/>
    </xf>
    <xf numFmtId="164" fontId="0" fillId="0" borderId="0" xfId="1" applyFont="1" applyBorder="1" applyAlignment="1">
      <alignment horizontal="right"/>
    </xf>
    <xf numFmtId="0" fontId="23" fillId="0" borderId="0" xfId="0" applyFont="1"/>
    <xf numFmtId="0" fontId="10" fillId="0" borderId="0" xfId="0" applyFont="1" applyAlignment="1">
      <alignment horizontal="left" indent="25"/>
    </xf>
    <xf numFmtId="2" fontId="8" fillId="0" borderId="0" xfId="0" applyNumberFormat="1" applyFont="1" applyAlignment="1">
      <alignment horizontal="center"/>
    </xf>
    <xf numFmtId="4" fontId="28" fillId="9" borderId="2" xfId="0" applyNumberFormat="1" applyFont="1" applyFill="1" applyBorder="1" applyAlignment="1">
      <alignment horizontal="center"/>
    </xf>
    <xf numFmtId="172" fontId="30" fillId="0" borderId="0" xfId="0" applyNumberFormat="1" applyFont="1" applyAlignment="1">
      <alignment horizontal="center"/>
    </xf>
    <xf numFmtId="3" fontId="28" fillId="0" borderId="21" xfId="1" applyNumberFormat="1" applyFont="1" applyBorder="1" applyAlignment="1">
      <alignment horizontal="center" vertical="center"/>
    </xf>
    <xf numFmtId="3" fontId="28" fillId="0" borderId="21" xfId="1" applyNumberFormat="1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4" fontId="28" fillId="0" borderId="14" xfId="0" applyNumberFormat="1" applyFont="1" applyBorder="1" applyAlignment="1">
      <alignment horizontal="center"/>
    </xf>
    <xf numFmtId="0" fontId="29" fillId="2" borderId="23" xfId="0" applyFont="1" applyFill="1" applyBorder="1" applyAlignment="1">
      <alignment horizontal="center" vertical="center" wrapText="1"/>
    </xf>
    <xf numFmtId="4" fontId="0" fillId="9" borderId="25" xfId="0" applyNumberFormat="1" applyFill="1" applyBorder="1" applyAlignment="1">
      <alignment horizontal="center"/>
    </xf>
    <xf numFmtId="4" fontId="0" fillId="9" borderId="1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4" fontId="0" fillId="10" borderId="0" xfId="0" applyNumberFormat="1" applyFill="1" applyAlignment="1">
      <alignment horizontal="center"/>
    </xf>
    <xf numFmtId="4" fontId="0" fillId="10" borderId="21" xfId="0" applyNumberFormat="1" applyFill="1" applyBorder="1" applyAlignment="1">
      <alignment horizontal="center"/>
    </xf>
    <xf numFmtId="4" fontId="0" fillId="10" borderId="1" xfId="0" applyNumberFormat="1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164" fontId="8" fillId="10" borderId="13" xfId="1" applyFont="1" applyFill="1" applyBorder="1"/>
    <xf numFmtId="164" fontId="0" fillId="10" borderId="13" xfId="1" applyFont="1" applyFill="1" applyBorder="1"/>
    <xf numFmtId="164" fontId="8" fillId="10" borderId="14" xfId="1" applyFont="1" applyFill="1" applyBorder="1"/>
    <xf numFmtId="10" fontId="0" fillId="0" borderId="0" xfId="0" applyNumberFormat="1" applyAlignment="1">
      <alignment horizontal="left"/>
    </xf>
    <xf numFmtId="164" fontId="8" fillId="0" borderId="14" xfId="1" applyFont="1" applyBorder="1" applyAlignment="1">
      <alignment horizontal="right"/>
    </xf>
    <xf numFmtId="4" fontId="0" fillId="0" borderId="14" xfId="0" applyNumberFormat="1" applyBorder="1" applyAlignment="1">
      <alignment horizontal="center"/>
    </xf>
    <xf numFmtId="4" fontId="8" fillId="0" borderId="14" xfId="0" applyNumberFormat="1" applyFont="1" applyBorder="1" applyAlignment="1">
      <alignment horizontal="right"/>
    </xf>
    <xf numFmtId="10" fontId="0" fillId="0" borderId="0" xfId="2" applyNumberFormat="1" applyFont="1"/>
    <xf numFmtId="4" fontId="0" fillId="0" borderId="0" xfId="0" applyNumberFormat="1" applyAlignment="1">
      <alignment horizontal="right"/>
    </xf>
    <xf numFmtId="4" fontId="8" fillId="0" borderId="0" xfId="0" applyNumberFormat="1" applyFont="1" applyAlignment="1">
      <alignment horizontal="right"/>
    </xf>
    <xf numFmtId="10" fontId="0" fillId="0" borderId="0" xfId="2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pivotButton="1"/>
    <xf numFmtId="14" fontId="0" fillId="0" borderId="0" xfId="2" applyNumberFormat="1" applyFont="1" applyAlignment="1">
      <alignment horizontal="center" vertical="center"/>
    </xf>
    <xf numFmtId="164" fontId="0" fillId="0" borderId="14" xfId="1" applyFont="1" applyBorder="1"/>
    <xf numFmtId="4" fontId="8" fillId="0" borderId="0" xfId="1" applyNumberFormat="1" applyFont="1" applyAlignment="1">
      <alignment horizontal="center"/>
    </xf>
    <xf numFmtId="4" fontId="8" fillId="0" borderId="0" xfId="0" applyNumberFormat="1" applyFont="1" applyAlignment="1">
      <alignment horizontal="center" vertical="center"/>
    </xf>
    <xf numFmtId="172" fontId="0" fillId="6" borderId="25" xfId="0" applyNumberFormat="1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19" xfId="0" applyBorder="1" applyAlignment="1">
      <alignment horizontal="center"/>
    </xf>
    <xf numFmtId="0" fontId="0" fillId="0" borderId="20" xfId="0" applyBorder="1"/>
    <xf numFmtId="0" fontId="8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left" vertical="center" indent="30"/>
    </xf>
    <xf numFmtId="10" fontId="24" fillId="0" borderId="14" xfId="0" applyNumberFormat="1" applyFont="1" applyBorder="1"/>
    <xf numFmtId="10" fontId="28" fillId="0" borderId="26" xfId="2" applyNumberFormat="1" applyFont="1" applyBorder="1" applyAlignment="1">
      <alignment horizontal="center"/>
    </xf>
    <xf numFmtId="10" fontId="28" fillId="0" borderId="21" xfId="2" applyNumberFormat="1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14" fontId="0" fillId="0" borderId="20" xfId="0" applyNumberFormat="1" applyBorder="1" applyAlignment="1">
      <alignment horizontal="left"/>
    </xf>
    <xf numFmtId="0" fontId="28" fillId="0" borderId="19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0" fontId="19" fillId="8" borderId="12" xfId="0" applyFont="1" applyFill="1" applyBorder="1" applyAlignment="1">
      <alignment horizontal="center" vertical="center"/>
    </xf>
    <xf numFmtId="0" fontId="19" fillId="8" borderId="2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</cellXfs>
  <cellStyles count="13">
    <cellStyle name="Moeda" xfId="12" builtinId="4"/>
    <cellStyle name="Moeda 2" xfId="3" xr:uid="{00000000-0005-0000-0000-000001000000}"/>
    <cellStyle name="Moeda 3" xfId="11" xr:uid="{E3D853B5-DD8C-40D3-8B62-3007B3282BF8}"/>
    <cellStyle name="Normal" xfId="0" builtinId="0"/>
    <cellStyle name="Normal 2" xfId="4" xr:uid="{00000000-0005-0000-0000-000003000000}"/>
    <cellStyle name="Normal 3" xfId="6" xr:uid="{07131239-4DE9-4286-A393-DB084BDE547B}"/>
    <cellStyle name="Normal 4" xfId="9" xr:uid="{760592C0-1027-4B97-8314-9D60D94FD366}"/>
    <cellStyle name="Porcentagem" xfId="2" builtinId="5"/>
    <cellStyle name="Porcentagem 2" xfId="7" xr:uid="{CD8759F9-D941-4DAF-B6C5-8F998E5F1C28}"/>
    <cellStyle name="Vírgula" xfId="1" builtinId="3"/>
    <cellStyle name="Vírgula 2" xfId="5" xr:uid="{00000000-0005-0000-0000-000006000000}"/>
    <cellStyle name="Vírgula 2 2" xfId="10" xr:uid="{05DE0B6D-EE6B-4DE1-81A7-2FC4DEDAE60B}"/>
    <cellStyle name="Vírgula 3" xfId="8" xr:uid="{46D117B8-EC6E-457B-B595-4A5C95D5F157}"/>
  </cellStyles>
  <dxfs count="20"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Segoe U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  <color auto="1"/>
        <name val="Arial"/>
        <family val="2"/>
        <scheme val="none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00099"/>
      <color rgb="FF7575FF"/>
      <color rgb="FF3333FF"/>
      <color rgb="FF00747A"/>
      <color rgb="FF016B4A"/>
      <color rgb="FFC1C1FF"/>
      <color rgb="FF103228"/>
      <color rgb="FFA6AF8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Caixa!$B$68</c:f>
              <c:strCache>
                <c:ptCount val="1"/>
                <c:pt idx="0">
                  <c:v>Patrimônio Líquido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Caixa!$C$53:$BK$53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Caixa!$C$68:$BK$68</c:f>
              <c:numCache>
                <c:formatCode>0.00</c:formatCode>
                <c:ptCount val="61"/>
                <c:pt idx="0">
                  <c:v>10</c:v>
                </c:pt>
                <c:pt idx="1">
                  <c:v>10.014647969954771</c:v>
                </c:pt>
                <c:pt idx="2">
                  <c:v>10.025316891089288</c:v>
                </c:pt>
                <c:pt idx="3">
                  <c:v>10.001430633008589</c:v>
                </c:pt>
                <c:pt idx="4">
                  <c:v>10.253652778070341</c:v>
                </c:pt>
                <c:pt idx="5">
                  <c:v>10.505642868356849</c:v>
                </c:pt>
                <c:pt idx="6">
                  <c:v>10.75763730544573</c:v>
                </c:pt>
                <c:pt idx="7">
                  <c:v>11.049085603998899</c:v>
                </c:pt>
                <c:pt idx="8">
                  <c:v>11.323000912733916</c:v>
                </c:pt>
                <c:pt idx="9">
                  <c:v>11.596920942532826</c:v>
                </c:pt>
                <c:pt idx="10">
                  <c:v>11.913724152394153</c:v>
                </c:pt>
                <c:pt idx="11">
                  <c:v>12.211468315556392</c:v>
                </c:pt>
                <c:pt idx="12">
                  <c:v>12.509217607419721</c:v>
                </c:pt>
                <c:pt idx="13">
                  <c:v>12.575504748196773</c:v>
                </c:pt>
                <c:pt idx="14">
                  <c:v>12.622600890136722</c:v>
                </c:pt>
                <c:pt idx="15">
                  <c:v>12.674416618003432</c:v>
                </c:pt>
                <c:pt idx="16">
                  <c:v>12.755844340069547</c:v>
                </c:pt>
                <c:pt idx="17">
                  <c:v>12.815666171301945</c:v>
                </c:pt>
                <c:pt idx="18">
                  <c:v>12.881446388648715</c:v>
                </c:pt>
                <c:pt idx="19">
                  <c:v>12.979466839581635</c:v>
                </c:pt>
                <c:pt idx="20">
                  <c:v>13.054947256733817</c:v>
                </c:pt>
                <c:pt idx="21">
                  <c:v>13.136658886409696</c:v>
                </c:pt>
                <c:pt idx="22">
                  <c:v>13.252431793095385</c:v>
                </c:pt>
                <c:pt idx="23">
                  <c:v>13.345376735270534</c:v>
                </c:pt>
                <c:pt idx="24">
                  <c:v>13.443352779749308</c:v>
                </c:pt>
                <c:pt idx="25">
                  <c:v>13.476149270431728</c:v>
                </c:pt>
                <c:pt idx="26">
                  <c:v>13.489486617069774</c:v>
                </c:pt>
                <c:pt idx="27">
                  <c:v>13.508876439597875</c:v>
                </c:pt>
                <c:pt idx="28">
                  <c:v>13.559862130414132</c:v>
                </c:pt>
                <c:pt idx="29">
                  <c:v>13.586829887231994</c:v>
                </c:pt>
                <c:pt idx="30">
                  <c:v>13.619068089596785</c:v>
                </c:pt>
                <c:pt idx="31">
                  <c:v>13.689887383424796</c:v>
                </c:pt>
                <c:pt idx="32">
                  <c:v>13.7307824590276</c:v>
                </c:pt>
                <c:pt idx="33">
                  <c:v>13.780492365606289</c:v>
                </c:pt>
                <c:pt idx="34">
                  <c:v>13.867736789933819</c:v>
                </c:pt>
                <c:pt idx="35">
                  <c:v>13.925747494742163</c:v>
                </c:pt>
                <c:pt idx="36">
                  <c:v>13.991627765305694</c:v>
                </c:pt>
                <c:pt idx="37">
                  <c:v>14.388547052981078</c:v>
                </c:pt>
                <c:pt idx="38">
                  <c:v>14.748332592908424</c:v>
                </c:pt>
                <c:pt idx="39">
                  <c:v>15.112465511515316</c:v>
                </c:pt>
                <c:pt idx="40">
                  <c:v>15.543905268242677</c:v>
                </c:pt>
                <c:pt idx="41">
                  <c:v>15.934982255135626</c:v>
                </c:pt>
                <c:pt idx="42">
                  <c:v>16.330783216065566</c:v>
                </c:pt>
                <c:pt idx="43">
                  <c:v>16.799742346755707</c:v>
                </c:pt>
                <c:pt idx="44">
                  <c:v>17.224830337617195</c:v>
                </c:pt>
                <c:pt idx="45">
                  <c:v>17.655054518538218</c:v>
                </c:pt>
                <c:pt idx="46">
                  <c:v>18.164798449198585</c:v>
                </c:pt>
                <c:pt idx="47">
                  <c:v>18.626853485471006</c:v>
                </c:pt>
                <c:pt idx="48">
                  <c:v>19.094489900675871</c:v>
                </c:pt>
                <c:pt idx="49">
                  <c:v>19.648560826466973</c:v>
                </c:pt>
                <c:pt idx="50">
                  <c:v>20.150797433295903</c:v>
                </c:pt>
                <c:pt idx="51">
                  <c:v>20.658796367079521</c:v>
                </c:pt>
                <c:pt idx="52">
                  <c:v>21.260747291519984</c:v>
                </c:pt>
                <c:pt idx="53">
                  <c:v>21.806355129107274</c:v>
                </c:pt>
                <c:pt idx="54">
                  <c:v>22.358529318891701</c:v>
                </c:pt>
                <c:pt idx="55">
                  <c:v>23.018396396017188</c:v>
                </c:pt>
                <c:pt idx="56">
                  <c:v>23.613818992216054</c:v>
                </c:pt>
                <c:pt idx="57">
                  <c:v>24.214171626112464</c:v>
                </c:pt>
                <c:pt idx="58">
                  <c:v>24.89128988323062</c:v>
                </c:pt>
                <c:pt idx="59">
                  <c:v>25.576231217629385</c:v>
                </c:pt>
                <c:pt idx="60">
                  <c:v>26.26908601313389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0-415D-B723-90E594BD8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611424"/>
        <c:axId val="367027888"/>
      </c:barChart>
      <c:catAx>
        <c:axId val="5736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027888"/>
        <c:crosses val="autoZero"/>
        <c:auto val="1"/>
        <c:lblAlgn val="ctr"/>
        <c:lblOffset val="100"/>
        <c:noMultiLvlLbl val="0"/>
      </c:catAx>
      <c:valAx>
        <c:axId val="3670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61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Caixa!$B$69</c:f>
              <c:strCache>
                <c:ptCount val="1"/>
                <c:pt idx="0">
                  <c:v>Sênior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Caixa!$C$53:$BK$53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Caixa!$C$69:$BK$69</c:f>
              <c:numCache>
                <c:formatCode>0.00</c:formatCode>
                <c:ptCount val="61"/>
                <c:pt idx="0">
                  <c:v>2.5</c:v>
                </c:pt>
                <c:pt idx="1">
                  <c:v>2.5134324847493752</c:v>
                </c:pt>
                <c:pt idx="2">
                  <c:v>2.5478640760800357</c:v>
                </c:pt>
                <c:pt idx="3">
                  <c:v>2.5826844764254795</c:v>
                </c:pt>
                <c:pt idx="4">
                  <c:v>2.6148924537885994</c:v>
                </c:pt>
                <c:pt idx="5">
                  <c:v>2.6522380911753785</c:v>
                </c:pt>
                <c:pt idx="6">
                  <c:v>2.6870017967507649</c:v>
                </c:pt>
                <c:pt idx="7">
                  <c:v>2.7190762464480409</c:v>
                </c:pt>
                <c:pt idx="8">
                  <c:v>2.7564796588441327</c:v>
                </c:pt>
                <c:pt idx="9">
                  <c:v>2.7944647753070022</c:v>
                </c:pt>
                <c:pt idx="10">
                  <c:v>2.8313531663276641</c:v>
                </c:pt>
                <c:pt idx="11">
                  <c:v>2.8704620503902687</c:v>
                </c:pt>
                <c:pt idx="12">
                  <c:v>2.9101810618141002</c:v>
                </c:pt>
                <c:pt idx="13">
                  <c:v>2.6676659733295915</c:v>
                </c:pt>
                <c:pt idx="14">
                  <c:v>2.4251508848450829</c:v>
                </c:pt>
                <c:pt idx="15">
                  <c:v>2.1826357963605747</c:v>
                </c:pt>
                <c:pt idx="16">
                  <c:v>1.9401207078760663</c:v>
                </c:pt>
                <c:pt idx="17">
                  <c:v>1.6976056193915581</c:v>
                </c:pt>
                <c:pt idx="18">
                  <c:v>1.4550905309070497</c:v>
                </c:pt>
                <c:pt idx="19">
                  <c:v>1.2125754424225412</c:v>
                </c:pt>
                <c:pt idx="20">
                  <c:v>0.97006035393803303</c:v>
                </c:pt>
                <c:pt idx="21">
                  <c:v>0.72754526545352483</c:v>
                </c:pt>
                <c:pt idx="22">
                  <c:v>0.48503017696901651</c:v>
                </c:pt>
                <c:pt idx="23">
                  <c:v>0.2425150884845082</c:v>
                </c:pt>
                <c:pt idx="24">
                  <c:v>7.549516567451065E-17</c:v>
                </c:pt>
                <c:pt idx="25">
                  <c:v>7.6618122175788737E-17</c:v>
                </c:pt>
                <c:pt idx="26">
                  <c:v>7.7662758687507139E-17</c:v>
                </c:pt>
                <c:pt idx="27">
                  <c:v>7.8722838564770462E-17</c:v>
                </c:pt>
                <c:pt idx="28">
                  <c:v>7.9847214860733327E-17</c:v>
                </c:pt>
                <c:pt idx="29">
                  <c:v>8.0938963047417531E-17</c:v>
                </c:pt>
                <c:pt idx="30">
                  <c:v>8.209695423161118E-17</c:v>
                </c:pt>
                <c:pt idx="31">
                  <c:v>8.3169318590248878E-17</c:v>
                </c:pt>
                <c:pt idx="32">
                  <c:v>8.4361235604012002E-17</c:v>
                </c:pt>
                <c:pt idx="33">
                  <c:v>8.5465662700490827E-17</c:v>
                </c:pt>
                <c:pt idx="34">
                  <c:v>8.6745580712108867E-17</c:v>
                </c:pt>
                <c:pt idx="35">
                  <c:v>8.7936340169038506E-17</c:v>
                </c:pt>
                <c:pt idx="36">
                  <c:v>8.9144803172549937E-17</c:v>
                </c:pt>
                <c:pt idx="37">
                  <c:v>9.0482826561668444E-17</c:v>
                </c:pt>
                <c:pt idx="38">
                  <c:v>9.167072754428395E-17</c:v>
                </c:pt>
                <c:pt idx="39">
                  <c:v>9.2991143755921177E-17</c:v>
                </c:pt>
                <c:pt idx="40">
                  <c:v>9.4331329893925501E-17</c:v>
                </c:pt>
                <c:pt idx="41">
                  <c:v>9.5632044615062406E-17</c:v>
                </c:pt>
                <c:pt idx="42">
                  <c:v>9.707227580739554E-17</c:v>
                </c:pt>
                <c:pt idx="43">
                  <c:v>9.835025961949478E-17</c:v>
                </c:pt>
                <c:pt idx="44">
                  <c:v>9.9708667122988314E-17</c:v>
                </c:pt>
                <c:pt idx="45">
                  <c:v>1.0108737526233307E-16</c:v>
                </c:pt>
                <c:pt idx="46">
                  <c:v>1.0261317188706299E-16</c:v>
                </c:pt>
                <c:pt idx="47">
                  <c:v>1.0396712400559261E-16</c:v>
                </c:pt>
                <c:pt idx="48">
                  <c:v>1.0547136962288109E-16</c:v>
                </c:pt>
                <c:pt idx="49">
                  <c:v>1.0699737937858135E-16</c:v>
                </c:pt>
                <c:pt idx="50">
                  <c:v>1.0841075447135156E-16</c:v>
                </c:pt>
                <c:pt idx="51">
                  <c:v>1.1004891571932871E-16</c:v>
                </c:pt>
                <c:pt idx="52">
                  <c:v>1.1157314865010411E-16</c:v>
                </c:pt>
                <c:pt idx="53">
                  <c:v>1.1311849297495432E-16</c:v>
                </c:pt>
                <c:pt idx="54">
                  <c:v>1.1482874430363334E-16</c:v>
                </c:pt>
                <c:pt idx="55">
                  <c:v>1.1634641212763698E-16</c:v>
                </c:pt>
                <c:pt idx="56">
                  <c:v>1.1795786855665622E-16</c:v>
                </c:pt>
                <c:pt idx="57">
                  <c:v>1.196673939198122E-16</c:v>
                </c:pt>
                <c:pt idx="58">
                  <c:v>1.2140169488296023E-16</c:v>
                </c:pt>
                <c:pt idx="59">
                  <c:v>1.2300712913889751E-16</c:v>
                </c:pt>
                <c:pt idx="60">
                  <c:v>1.2486792400541674E-16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82-4231-8494-F401ABFD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611424"/>
        <c:axId val="367027888"/>
      </c:barChart>
      <c:catAx>
        <c:axId val="5736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027888"/>
        <c:crosses val="autoZero"/>
        <c:auto val="1"/>
        <c:lblAlgn val="ctr"/>
        <c:lblOffset val="100"/>
        <c:noMultiLvlLbl val="0"/>
      </c:catAx>
      <c:valAx>
        <c:axId val="3670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61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Caixa!$B$70</c:f>
              <c:strCache>
                <c:ptCount val="1"/>
                <c:pt idx="0">
                  <c:v>Meza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Caixa!$C$53:$BK$53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Caixa!$C$70:$BK$70</c:f>
              <c:numCache>
                <c:formatCode>0.00</c:formatCode>
                <c:ptCount val="61"/>
                <c:pt idx="0">
                  <c:v>2.5</c:v>
                </c:pt>
                <c:pt idx="1">
                  <c:v>2.5143084047351172</c:v>
                </c:pt>
                <c:pt idx="2">
                  <c:v>2.5510225283579357</c:v>
                </c:pt>
                <c:pt idx="3">
                  <c:v>2.5881897073288336</c:v>
                </c:pt>
                <c:pt idx="4">
                  <c:v>2.6225976826015929</c:v>
                </c:pt>
                <c:pt idx="5">
                  <c:v>2.6625261278319439</c:v>
                </c:pt>
                <c:pt idx="6">
                  <c:v>2.6997231369141996</c:v>
                </c:pt>
                <c:pt idx="7">
                  <c:v>2.7340656063955362</c:v>
                </c:pt>
                <c:pt idx="8">
                  <c:v>2.7741443335219671</c:v>
                </c:pt>
                <c:pt idx="9">
                  <c:v>2.8148782518511815</c:v>
                </c:pt>
                <c:pt idx="10">
                  <c:v>2.8544663096457104</c:v>
                </c:pt>
                <c:pt idx="11">
                  <c:v>2.8964724508034645</c:v>
                </c:pt>
                <c:pt idx="12">
                  <c:v>2.939167372677006</c:v>
                </c:pt>
                <c:pt idx="13">
                  <c:v>2.9807088907689221</c:v>
                </c:pt>
                <c:pt idx="14">
                  <c:v>3.0248391992358732</c:v>
                </c:pt>
                <c:pt idx="15">
                  <c:v>3.0677794239540126</c:v>
                </c:pt>
                <c:pt idx="16">
                  <c:v>3.1114482276462394</c:v>
                </c:pt>
                <c:pt idx="17">
                  <c:v>3.1599543118478484</c:v>
                </c:pt>
                <c:pt idx="18">
                  <c:v>3.2051557158548261</c:v>
                </c:pt>
                <c:pt idx="19">
                  <c:v>3.2511278961860786</c:v>
                </c:pt>
                <c:pt idx="20">
                  <c:v>3.3021417669585045</c:v>
                </c:pt>
                <c:pt idx="21">
                  <c:v>3.3475326881991601</c:v>
                </c:pt>
                <c:pt idx="22">
                  <c:v>3.3980169975099468</c:v>
                </c:pt>
                <c:pt idx="23">
                  <c:v>3.449372730076691</c:v>
                </c:pt>
                <c:pt idx="24">
                  <c:v>3.4992751111551241</c:v>
                </c:pt>
                <c:pt idx="25">
                  <c:v>3.2076688518921972</c:v>
                </c:pt>
                <c:pt idx="26">
                  <c:v>2.9160625926292698</c:v>
                </c:pt>
                <c:pt idx="27">
                  <c:v>2.6244563333663429</c:v>
                </c:pt>
                <c:pt idx="28">
                  <c:v>2.3328500741034155</c:v>
                </c:pt>
                <c:pt idx="29">
                  <c:v>2.0412438148404881</c:v>
                </c:pt>
                <c:pt idx="30">
                  <c:v>1.7496375555775612</c:v>
                </c:pt>
                <c:pt idx="31">
                  <c:v>1.4580312963146342</c:v>
                </c:pt>
                <c:pt idx="32">
                  <c:v>1.1664250370517071</c:v>
                </c:pt>
                <c:pt idx="33">
                  <c:v>0.87481877778877981</c:v>
                </c:pt>
                <c:pt idx="34">
                  <c:v>0.58321251852585299</c:v>
                </c:pt>
                <c:pt idx="35">
                  <c:v>0.29160625926292583</c:v>
                </c:pt>
                <c:pt idx="36">
                  <c:v>-1.0480505352461477E-15</c:v>
                </c:pt>
                <c:pt idx="37">
                  <c:v>-1.0647701841253281E-15</c:v>
                </c:pt>
                <c:pt idx="38">
                  <c:v>-1.0796263817408656E-15</c:v>
                </c:pt>
                <c:pt idx="39">
                  <c:v>-1.0961528436389362E-15</c:v>
                </c:pt>
                <c:pt idx="40">
                  <c:v>-1.1129411434575047E-15</c:v>
                </c:pt>
                <c:pt idx="41">
                  <c:v>-1.1292486580510333E-15</c:v>
                </c:pt>
                <c:pt idx="42">
                  <c:v>-1.1473208406013141E-15</c:v>
                </c:pt>
                <c:pt idx="43">
                  <c:v>-1.1633710954214949E-15</c:v>
                </c:pt>
                <c:pt idx="44">
                  <c:v>-1.1804444940950411E-15</c:v>
                </c:pt>
                <c:pt idx="45">
                  <c:v>-1.1977866870273079E-15</c:v>
                </c:pt>
                <c:pt idx="46">
                  <c:v>-1.2169961454962134E-15</c:v>
                </c:pt>
                <c:pt idx="47">
                  <c:v>-1.2340569680017399E-15</c:v>
                </c:pt>
                <c:pt idx="48">
                  <c:v>-1.2530271435675517E-15</c:v>
                </c:pt>
                <c:pt idx="49">
                  <c:v>-1.2722889325437074E-15</c:v>
                </c:pt>
                <c:pt idx="50">
                  <c:v>-1.2901436317668791E-15</c:v>
                </c:pt>
                <c:pt idx="51">
                  <c:v>-1.31085602024987E-15</c:v>
                </c:pt>
                <c:pt idx="52">
                  <c:v>-1.3301444776379062E-15</c:v>
                </c:pt>
                <c:pt idx="53">
                  <c:v>-1.3497167530674838E-15</c:v>
                </c:pt>
                <c:pt idx="54">
                  <c:v>-1.3713969284877052E-15</c:v>
                </c:pt>
                <c:pt idx="55">
                  <c:v>-1.3906525600932122E-15</c:v>
                </c:pt>
                <c:pt idx="56">
                  <c:v>-1.411115175538811E-15</c:v>
                </c:pt>
                <c:pt idx="57">
                  <c:v>-1.4328413107242386E-15</c:v>
                </c:pt>
                <c:pt idx="58">
                  <c:v>-1.4549019508163372E-15</c:v>
                </c:pt>
                <c:pt idx="59">
                  <c:v>-1.4753407789386333E-15</c:v>
                </c:pt>
                <c:pt idx="60">
                  <c:v>-1.4990512616457949E-15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B-4E0A-B8A2-58CC3F5B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611424"/>
        <c:axId val="367027888"/>
      </c:barChart>
      <c:catAx>
        <c:axId val="5736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027888"/>
        <c:crosses val="autoZero"/>
        <c:auto val="1"/>
        <c:lblAlgn val="ctr"/>
        <c:lblOffset val="100"/>
        <c:noMultiLvlLbl val="0"/>
      </c:catAx>
      <c:valAx>
        <c:axId val="3670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61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Caixa!$B$71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Caixa!$C$53:$BK$53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Caixa!$C$71:$BK$71</c:f>
              <c:numCache>
                <c:formatCode>0.00</c:formatCode>
                <c:ptCount val="61"/>
                <c:pt idx="0">
                  <c:v>5</c:v>
                </c:pt>
                <c:pt idx="1">
                  <c:v>4.986907080470278</c:v>
                </c:pt>
                <c:pt idx="2">
                  <c:v>4.9264302866513168</c:v>
                </c:pt>
                <c:pt idx="3">
                  <c:v>4.8305564492542743</c:v>
                </c:pt>
                <c:pt idx="4">
                  <c:v>5.0161626416801495</c:v>
                </c:pt>
                <c:pt idx="5">
                  <c:v>5.1908786493495276</c:v>
                </c:pt>
                <c:pt idx="6">
                  <c:v>5.3709123717807659</c:v>
                </c:pt>
                <c:pt idx="7">
                  <c:v>5.5959437511553221</c:v>
                </c:pt>
                <c:pt idx="8">
                  <c:v>5.7923769203678166</c:v>
                </c:pt>
                <c:pt idx="9">
                  <c:v>5.9875779153746436</c:v>
                </c:pt>
                <c:pt idx="10">
                  <c:v>6.2279046764207777</c:v>
                </c:pt>
                <c:pt idx="11">
                  <c:v>6.444533814362658</c:v>
                </c:pt>
                <c:pt idx="12">
                  <c:v>6.6598691729286168</c:v>
                </c:pt>
                <c:pt idx="13">
                  <c:v>6.9271298840982585</c:v>
                </c:pt>
                <c:pt idx="14">
                  <c:v>7.1726108060557658</c:v>
                </c:pt>
                <c:pt idx="15">
                  <c:v>7.4240013976888442</c:v>
                </c:pt>
                <c:pt idx="16">
                  <c:v>7.7042754045472428</c:v>
                </c:pt>
                <c:pt idx="17">
                  <c:v>7.9581062400625386</c:v>
                </c:pt>
                <c:pt idx="18">
                  <c:v>8.2212001418868397</c:v>
                </c:pt>
                <c:pt idx="19">
                  <c:v>8.5157635009730157</c:v>
                </c:pt>
                <c:pt idx="20">
                  <c:v>8.7827451358372777</c:v>
                </c:pt>
                <c:pt idx="21">
                  <c:v>9.0615809327570105</c:v>
                </c:pt>
                <c:pt idx="22">
                  <c:v>9.3693846186164205</c:v>
                </c:pt>
                <c:pt idx="23">
                  <c:v>9.6534889167093336</c:v>
                </c:pt>
                <c:pt idx="24">
                  <c:v>9.9440776685941827</c:v>
                </c:pt>
                <c:pt idx="25">
                  <c:v>10.26848041853953</c:v>
                </c:pt>
                <c:pt idx="26">
                  <c:v>10.573424024440504</c:v>
                </c:pt>
                <c:pt idx="27">
                  <c:v>10.884420106231532</c:v>
                </c:pt>
                <c:pt idx="28">
                  <c:v>11.227012056310716</c:v>
                </c:pt>
                <c:pt idx="29">
                  <c:v>11.545586072391506</c:v>
                </c:pt>
                <c:pt idx="30">
                  <c:v>11.869430534019225</c:v>
                </c:pt>
                <c:pt idx="31">
                  <c:v>12.231856087110161</c:v>
                </c:pt>
                <c:pt idx="32">
                  <c:v>12.564357421975892</c:v>
                </c:pt>
                <c:pt idx="33">
                  <c:v>12.905673587817509</c:v>
                </c:pt>
                <c:pt idx="34">
                  <c:v>13.284524271407966</c:v>
                </c:pt>
                <c:pt idx="35">
                  <c:v>13.634141235479238</c:v>
                </c:pt>
                <c:pt idx="36">
                  <c:v>13.991627765305696</c:v>
                </c:pt>
                <c:pt idx="37">
                  <c:v>14.38854705298108</c:v>
                </c:pt>
                <c:pt idx="38">
                  <c:v>14.748332592908426</c:v>
                </c:pt>
                <c:pt idx="39">
                  <c:v>15.112465511515317</c:v>
                </c:pt>
                <c:pt idx="40">
                  <c:v>15.543905268242678</c:v>
                </c:pt>
                <c:pt idx="41">
                  <c:v>15.934982255135628</c:v>
                </c:pt>
                <c:pt idx="42">
                  <c:v>16.330783216065569</c:v>
                </c:pt>
                <c:pt idx="43">
                  <c:v>16.799742346755707</c:v>
                </c:pt>
                <c:pt idx="44">
                  <c:v>17.224830337617195</c:v>
                </c:pt>
                <c:pt idx="45">
                  <c:v>17.655054518538218</c:v>
                </c:pt>
                <c:pt idx="46">
                  <c:v>18.164798449198585</c:v>
                </c:pt>
                <c:pt idx="47">
                  <c:v>18.626853485471006</c:v>
                </c:pt>
                <c:pt idx="48">
                  <c:v>19.094489900675871</c:v>
                </c:pt>
                <c:pt idx="49">
                  <c:v>19.648560826466973</c:v>
                </c:pt>
                <c:pt idx="50">
                  <c:v>20.150797433295903</c:v>
                </c:pt>
                <c:pt idx="51">
                  <c:v>20.658796367079521</c:v>
                </c:pt>
                <c:pt idx="52">
                  <c:v>21.260747291519984</c:v>
                </c:pt>
                <c:pt idx="53">
                  <c:v>21.806355129107274</c:v>
                </c:pt>
                <c:pt idx="54">
                  <c:v>22.358529318891701</c:v>
                </c:pt>
                <c:pt idx="55">
                  <c:v>23.018396396017188</c:v>
                </c:pt>
                <c:pt idx="56">
                  <c:v>23.613818992216054</c:v>
                </c:pt>
                <c:pt idx="57">
                  <c:v>24.214171626112464</c:v>
                </c:pt>
                <c:pt idx="58">
                  <c:v>24.89128988323062</c:v>
                </c:pt>
                <c:pt idx="59">
                  <c:v>25.576231217629385</c:v>
                </c:pt>
                <c:pt idx="60">
                  <c:v>26.26908601313389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1-4F03-88D5-FC31E61B0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611424"/>
        <c:axId val="367027888"/>
      </c:barChart>
      <c:catAx>
        <c:axId val="5736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027888"/>
        <c:crosses val="autoZero"/>
        <c:auto val="1"/>
        <c:lblAlgn val="ctr"/>
        <c:lblOffset val="100"/>
        <c:noMultiLvlLbl val="0"/>
      </c:catAx>
      <c:valAx>
        <c:axId val="3670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61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Caixa!$B$72</c:f>
              <c:strCache>
                <c:ptCount val="1"/>
                <c:pt idx="0">
                  <c:v>Caixa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Caixa!$C$53:$BK$53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Caixa!$C$72:$BK$72</c:f>
              <c:numCache>
                <c:formatCode>0.00</c:formatCode>
                <c:ptCount val="61"/>
                <c:pt idx="0">
                  <c:v>10</c:v>
                </c:pt>
                <c:pt idx="1">
                  <c:v>6.8146479699547688</c:v>
                </c:pt>
                <c:pt idx="2">
                  <c:v>3.6253168910892888</c:v>
                </c:pt>
                <c:pt idx="3">
                  <c:v>0.40143063300858811</c:v>
                </c:pt>
                <c:pt idx="4">
                  <c:v>0.20000000000000093</c:v>
                </c:pt>
                <c:pt idx="5">
                  <c:v>0.20000000000000093</c:v>
                </c:pt>
                <c:pt idx="6">
                  <c:v>0.20000000000000093</c:v>
                </c:pt>
                <c:pt idx="7">
                  <c:v>0.20000000000000093</c:v>
                </c:pt>
                <c:pt idx="8">
                  <c:v>0.20000000000000093</c:v>
                </c:pt>
                <c:pt idx="9">
                  <c:v>0.20000000000000093</c:v>
                </c:pt>
                <c:pt idx="10">
                  <c:v>0.20000000000000093</c:v>
                </c:pt>
                <c:pt idx="11">
                  <c:v>0.20000000000000093</c:v>
                </c:pt>
                <c:pt idx="12">
                  <c:v>0.20000000000000093</c:v>
                </c:pt>
                <c:pt idx="13">
                  <c:v>0.20000000000000093</c:v>
                </c:pt>
                <c:pt idx="14">
                  <c:v>0.20000000000000093</c:v>
                </c:pt>
                <c:pt idx="15">
                  <c:v>0.20000000000000093</c:v>
                </c:pt>
                <c:pt idx="16">
                  <c:v>0.20000000000000093</c:v>
                </c:pt>
                <c:pt idx="17">
                  <c:v>0.20000000000000093</c:v>
                </c:pt>
                <c:pt idx="18">
                  <c:v>0.20000000000001211</c:v>
                </c:pt>
                <c:pt idx="19">
                  <c:v>0.20000000000001211</c:v>
                </c:pt>
                <c:pt idx="20">
                  <c:v>0.20000000000001211</c:v>
                </c:pt>
                <c:pt idx="21">
                  <c:v>0.20000000000001211</c:v>
                </c:pt>
                <c:pt idx="22">
                  <c:v>0.20000000000001211</c:v>
                </c:pt>
                <c:pt idx="23">
                  <c:v>0.20000000000001211</c:v>
                </c:pt>
                <c:pt idx="24">
                  <c:v>0.20000000000001211</c:v>
                </c:pt>
                <c:pt idx="25">
                  <c:v>0.20000000000001211</c:v>
                </c:pt>
                <c:pt idx="26">
                  <c:v>0.20000000000001211</c:v>
                </c:pt>
                <c:pt idx="27">
                  <c:v>0.20000000000001211</c:v>
                </c:pt>
                <c:pt idx="28">
                  <c:v>0.20000000000001211</c:v>
                </c:pt>
                <c:pt idx="29">
                  <c:v>0.20000000000001211</c:v>
                </c:pt>
                <c:pt idx="30">
                  <c:v>0.20000000000001211</c:v>
                </c:pt>
                <c:pt idx="31">
                  <c:v>0.20000000000001211</c:v>
                </c:pt>
                <c:pt idx="32">
                  <c:v>0.20000000000001211</c:v>
                </c:pt>
                <c:pt idx="33">
                  <c:v>0.20000000000001211</c:v>
                </c:pt>
                <c:pt idx="34">
                  <c:v>0.20000000000001211</c:v>
                </c:pt>
                <c:pt idx="35">
                  <c:v>0.20000000000001211</c:v>
                </c:pt>
                <c:pt idx="36">
                  <c:v>0.20000000000001211</c:v>
                </c:pt>
                <c:pt idx="37">
                  <c:v>0.20000000000001211</c:v>
                </c:pt>
                <c:pt idx="38">
                  <c:v>0.20000000000001211</c:v>
                </c:pt>
                <c:pt idx="39">
                  <c:v>0.20000000000001211</c:v>
                </c:pt>
                <c:pt idx="40">
                  <c:v>0.20000000000001211</c:v>
                </c:pt>
                <c:pt idx="41">
                  <c:v>0.20000000000001211</c:v>
                </c:pt>
                <c:pt idx="42">
                  <c:v>0.20000000000001211</c:v>
                </c:pt>
                <c:pt idx="43">
                  <c:v>0.20000000000001211</c:v>
                </c:pt>
                <c:pt idx="44">
                  <c:v>0.20000000000001211</c:v>
                </c:pt>
                <c:pt idx="45">
                  <c:v>0.20000000000001211</c:v>
                </c:pt>
                <c:pt idx="46">
                  <c:v>0.20000000000001211</c:v>
                </c:pt>
                <c:pt idx="47">
                  <c:v>0.20000000000001211</c:v>
                </c:pt>
                <c:pt idx="48">
                  <c:v>0.20000000000001211</c:v>
                </c:pt>
                <c:pt idx="49">
                  <c:v>0.20000000000001211</c:v>
                </c:pt>
                <c:pt idx="50">
                  <c:v>0.20000000000001211</c:v>
                </c:pt>
                <c:pt idx="51">
                  <c:v>0.20000000000001211</c:v>
                </c:pt>
                <c:pt idx="52">
                  <c:v>0.20000000000001211</c:v>
                </c:pt>
                <c:pt idx="53">
                  <c:v>0.20000000000001211</c:v>
                </c:pt>
                <c:pt idx="54">
                  <c:v>0.20000000000001211</c:v>
                </c:pt>
                <c:pt idx="55">
                  <c:v>0.68820943971114423</c:v>
                </c:pt>
                <c:pt idx="56">
                  <c:v>0.4076858128309287</c:v>
                </c:pt>
                <c:pt idx="57">
                  <c:v>0.2141716261124583</c:v>
                </c:pt>
                <c:pt idx="58">
                  <c:v>0.89128988323060987</c:v>
                </c:pt>
                <c:pt idx="59">
                  <c:v>1.5762312176293778</c:v>
                </c:pt>
                <c:pt idx="60">
                  <c:v>2.2690860131338835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D4-46C9-9776-3D0E64D64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611424"/>
        <c:axId val="367027888"/>
      </c:barChart>
      <c:catAx>
        <c:axId val="5736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027888"/>
        <c:crosses val="autoZero"/>
        <c:auto val="1"/>
        <c:lblAlgn val="ctr"/>
        <c:lblOffset val="100"/>
        <c:noMultiLvlLbl val="0"/>
      </c:catAx>
      <c:valAx>
        <c:axId val="3670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61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Resultados!$E$41</c:f>
              <c:strCache>
                <c:ptCount val="1"/>
                <c:pt idx="0">
                  <c:v>Patrimônio Líquido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Resultados!$A$42:$A$78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Resultados!$E$42:$E$78</c:f>
              <c:numCache>
                <c:formatCode>#,##0.00</c:formatCode>
                <c:ptCount val="37"/>
                <c:pt idx="0">
                  <c:v>10</c:v>
                </c:pt>
                <c:pt idx="1">
                  <c:v>10.014647969954771</c:v>
                </c:pt>
                <c:pt idx="2">
                  <c:v>10.025316891089288</c:v>
                </c:pt>
                <c:pt idx="3">
                  <c:v>10.001430633008589</c:v>
                </c:pt>
                <c:pt idx="4">
                  <c:v>10.253652778070341</c:v>
                </c:pt>
                <c:pt idx="5">
                  <c:v>10.505642868356849</c:v>
                </c:pt>
                <c:pt idx="6">
                  <c:v>10.75763730544573</c:v>
                </c:pt>
                <c:pt idx="7">
                  <c:v>11.049085603998899</c:v>
                </c:pt>
                <c:pt idx="8">
                  <c:v>11.323000912733916</c:v>
                </c:pt>
                <c:pt idx="9">
                  <c:v>11.596920942532826</c:v>
                </c:pt>
                <c:pt idx="10">
                  <c:v>11.913724152394153</c:v>
                </c:pt>
                <c:pt idx="11">
                  <c:v>12.211468315556392</c:v>
                </c:pt>
                <c:pt idx="12">
                  <c:v>12.509217607419721</c:v>
                </c:pt>
                <c:pt idx="13">
                  <c:v>12.575504748196773</c:v>
                </c:pt>
                <c:pt idx="14">
                  <c:v>12.622600890136722</c:v>
                </c:pt>
                <c:pt idx="15">
                  <c:v>12.674416618003432</c:v>
                </c:pt>
                <c:pt idx="16">
                  <c:v>12.755844340069547</c:v>
                </c:pt>
                <c:pt idx="17">
                  <c:v>12.815666171301945</c:v>
                </c:pt>
                <c:pt idx="18">
                  <c:v>12.881446388648715</c:v>
                </c:pt>
                <c:pt idx="19">
                  <c:v>12.979466839581635</c:v>
                </c:pt>
                <c:pt idx="20">
                  <c:v>13.054947256733817</c:v>
                </c:pt>
                <c:pt idx="21">
                  <c:v>13.136658886409696</c:v>
                </c:pt>
                <c:pt idx="22">
                  <c:v>13.252431793095385</c:v>
                </c:pt>
                <c:pt idx="23">
                  <c:v>13.345376735270534</c:v>
                </c:pt>
                <c:pt idx="24">
                  <c:v>13.443352779749308</c:v>
                </c:pt>
                <c:pt idx="25">
                  <c:v>13.476149270431728</c:v>
                </c:pt>
                <c:pt idx="26">
                  <c:v>13.489486617069774</c:v>
                </c:pt>
                <c:pt idx="27">
                  <c:v>13.508876439597875</c:v>
                </c:pt>
                <c:pt idx="28">
                  <c:v>13.559862130414132</c:v>
                </c:pt>
                <c:pt idx="29">
                  <c:v>13.586829887231994</c:v>
                </c:pt>
                <c:pt idx="30">
                  <c:v>13.619068089596785</c:v>
                </c:pt>
                <c:pt idx="31">
                  <c:v>13.689887383424796</c:v>
                </c:pt>
                <c:pt idx="32">
                  <c:v>13.7307824590276</c:v>
                </c:pt>
                <c:pt idx="33">
                  <c:v>13.780492365606289</c:v>
                </c:pt>
                <c:pt idx="34">
                  <c:v>13.867736789933819</c:v>
                </c:pt>
                <c:pt idx="35">
                  <c:v>13.925747494742163</c:v>
                </c:pt>
                <c:pt idx="36">
                  <c:v>13.991627765305694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1-4999-9C6B-330A03410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221151"/>
        <c:axId val="11583663"/>
      </c:barChart>
      <c:catAx>
        <c:axId val="3442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3663"/>
        <c:crosses val="autoZero"/>
        <c:auto val="1"/>
        <c:lblAlgn val="ctr"/>
        <c:lblOffset val="100"/>
        <c:noMultiLvlLbl val="0"/>
      </c:catAx>
      <c:valAx>
        <c:axId val="1158366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4422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Resultados!$F$41</c:f>
              <c:strCache>
                <c:ptCount val="1"/>
                <c:pt idx="0">
                  <c:v>Sênior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Resultados!$A$42:$A$78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Resultados!$F$42:$F$78</c:f>
              <c:numCache>
                <c:formatCode>#,##0.00</c:formatCode>
                <c:ptCount val="37"/>
                <c:pt idx="0">
                  <c:v>2.5</c:v>
                </c:pt>
                <c:pt idx="1">
                  <c:v>2.5134324847493752</c:v>
                </c:pt>
                <c:pt idx="2">
                  <c:v>2.5478640760800357</c:v>
                </c:pt>
                <c:pt idx="3">
                  <c:v>2.5826844764254795</c:v>
                </c:pt>
                <c:pt idx="4">
                  <c:v>2.6148924537885994</c:v>
                </c:pt>
                <c:pt idx="5">
                  <c:v>2.6522380911753785</c:v>
                </c:pt>
                <c:pt idx="6">
                  <c:v>2.6870017967507649</c:v>
                </c:pt>
                <c:pt idx="7">
                  <c:v>2.7190762464480409</c:v>
                </c:pt>
                <c:pt idx="8">
                  <c:v>2.7564796588441327</c:v>
                </c:pt>
                <c:pt idx="9">
                  <c:v>2.7944647753070022</c:v>
                </c:pt>
                <c:pt idx="10">
                  <c:v>2.8313531663276641</c:v>
                </c:pt>
                <c:pt idx="11">
                  <c:v>2.8704620503902687</c:v>
                </c:pt>
                <c:pt idx="12">
                  <c:v>2.9101810618141002</c:v>
                </c:pt>
                <c:pt idx="13">
                  <c:v>2.6676659733295915</c:v>
                </c:pt>
                <c:pt idx="14">
                  <c:v>2.4251508848450829</c:v>
                </c:pt>
                <c:pt idx="15">
                  <c:v>2.1826357963605747</c:v>
                </c:pt>
                <c:pt idx="16">
                  <c:v>1.9401207078760663</c:v>
                </c:pt>
                <c:pt idx="17">
                  <c:v>1.6976056193915581</c:v>
                </c:pt>
                <c:pt idx="18">
                  <c:v>1.4550905309070497</c:v>
                </c:pt>
                <c:pt idx="19">
                  <c:v>1.2125754424225412</c:v>
                </c:pt>
                <c:pt idx="20">
                  <c:v>0.97006035393803303</c:v>
                </c:pt>
                <c:pt idx="21">
                  <c:v>0.72754526545352483</c:v>
                </c:pt>
                <c:pt idx="22">
                  <c:v>0.48503017696901651</c:v>
                </c:pt>
                <c:pt idx="23">
                  <c:v>0.2425150884845082</c:v>
                </c:pt>
                <c:pt idx="24">
                  <c:v>7.549516567451065E-17</c:v>
                </c:pt>
                <c:pt idx="25">
                  <c:v>7.6618122175788737E-17</c:v>
                </c:pt>
                <c:pt idx="26">
                  <c:v>7.7662758687507139E-17</c:v>
                </c:pt>
                <c:pt idx="27">
                  <c:v>7.8722838564770462E-17</c:v>
                </c:pt>
                <c:pt idx="28">
                  <c:v>7.9847214860733327E-17</c:v>
                </c:pt>
                <c:pt idx="29">
                  <c:v>8.0938963047417531E-17</c:v>
                </c:pt>
                <c:pt idx="30">
                  <c:v>8.209695423161118E-17</c:v>
                </c:pt>
                <c:pt idx="31">
                  <c:v>8.3169318590248878E-17</c:v>
                </c:pt>
                <c:pt idx="32">
                  <c:v>8.4361235604012002E-17</c:v>
                </c:pt>
                <c:pt idx="33">
                  <c:v>8.5465662700490827E-17</c:v>
                </c:pt>
                <c:pt idx="34">
                  <c:v>8.6745580712108867E-17</c:v>
                </c:pt>
                <c:pt idx="35">
                  <c:v>8.7936340169038506E-17</c:v>
                </c:pt>
                <c:pt idx="36">
                  <c:v>8.9144803172549937E-17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2-467A-8274-A0D404FE6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221151"/>
        <c:axId val="11583663"/>
      </c:barChart>
      <c:catAx>
        <c:axId val="3442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3663"/>
        <c:crosses val="autoZero"/>
        <c:auto val="1"/>
        <c:lblAlgn val="ctr"/>
        <c:lblOffset val="100"/>
        <c:noMultiLvlLbl val="0"/>
      </c:catAx>
      <c:valAx>
        <c:axId val="1158366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4422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Resultados!$G$41</c:f>
              <c:strCache>
                <c:ptCount val="1"/>
                <c:pt idx="0">
                  <c:v>Meza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Resultados!$A$42:$A$78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Resultados!$G$42:$G$78</c:f>
              <c:numCache>
                <c:formatCode>#,##0.00</c:formatCode>
                <c:ptCount val="37"/>
                <c:pt idx="0">
                  <c:v>2.5</c:v>
                </c:pt>
                <c:pt idx="1">
                  <c:v>2.5143084047351172</c:v>
                </c:pt>
                <c:pt idx="2">
                  <c:v>2.5510225283579357</c:v>
                </c:pt>
                <c:pt idx="3">
                  <c:v>2.5881897073288336</c:v>
                </c:pt>
                <c:pt idx="4">
                  <c:v>2.6225976826015929</c:v>
                </c:pt>
                <c:pt idx="5">
                  <c:v>2.6625261278319439</c:v>
                </c:pt>
                <c:pt idx="6">
                  <c:v>2.6997231369141996</c:v>
                </c:pt>
                <c:pt idx="7">
                  <c:v>2.7340656063955362</c:v>
                </c:pt>
                <c:pt idx="8">
                  <c:v>2.7741443335219671</c:v>
                </c:pt>
                <c:pt idx="9">
                  <c:v>2.8148782518511815</c:v>
                </c:pt>
                <c:pt idx="10">
                  <c:v>2.8544663096457104</c:v>
                </c:pt>
                <c:pt idx="11">
                  <c:v>2.8964724508034645</c:v>
                </c:pt>
                <c:pt idx="12">
                  <c:v>2.939167372677006</c:v>
                </c:pt>
                <c:pt idx="13">
                  <c:v>2.9807088907689221</c:v>
                </c:pt>
                <c:pt idx="14">
                  <c:v>3.0248391992358732</c:v>
                </c:pt>
                <c:pt idx="15">
                  <c:v>3.0677794239540126</c:v>
                </c:pt>
                <c:pt idx="16">
                  <c:v>3.1114482276462394</c:v>
                </c:pt>
                <c:pt idx="17">
                  <c:v>3.1599543118478484</c:v>
                </c:pt>
                <c:pt idx="18">
                  <c:v>3.2051557158548261</c:v>
                </c:pt>
                <c:pt idx="19">
                  <c:v>3.2511278961860786</c:v>
                </c:pt>
                <c:pt idx="20">
                  <c:v>3.3021417669585045</c:v>
                </c:pt>
                <c:pt idx="21">
                  <c:v>3.3475326881991601</c:v>
                </c:pt>
                <c:pt idx="22">
                  <c:v>3.3980169975099468</c:v>
                </c:pt>
                <c:pt idx="23">
                  <c:v>3.449372730076691</c:v>
                </c:pt>
                <c:pt idx="24">
                  <c:v>3.4992751111551241</c:v>
                </c:pt>
                <c:pt idx="25">
                  <c:v>3.2076688518921972</c:v>
                </c:pt>
                <c:pt idx="26">
                  <c:v>2.9160625926292698</c:v>
                </c:pt>
                <c:pt idx="27">
                  <c:v>2.6244563333663429</c:v>
                </c:pt>
                <c:pt idx="28">
                  <c:v>2.3328500741034155</c:v>
                </c:pt>
                <c:pt idx="29">
                  <c:v>2.0412438148404881</c:v>
                </c:pt>
                <c:pt idx="30">
                  <c:v>1.7496375555775612</c:v>
                </c:pt>
                <c:pt idx="31">
                  <c:v>1.4580312963146342</c:v>
                </c:pt>
                <c:pt idx="32">
                  <c:v>1.1664250370517071</c:v>
                </c:pt>
                <c:pt idx="33">
                  <c:v>0.87481877778877981</c:v>
                </c:pt>
                <c:pt idx="34">
                  <c:v>0.58321251852585299</c:v>
                </c:pt>
                <c:pt idx="35">
                  <c:v>0.29160625926292583</c:v>
                </c:pt>
                <c:pt idx="36">
                  <c:v>-1.0480505352461477E-15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5C-49AC-A982-A18438672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221151"/>
        <c:axId val="11583663"/>
      </c:barChart>
      <c:catAx>
        <c:axId val="3442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3663"/>
        <c:crosses val="autoZero"/>
        <c:auto val="1"/>
        <c:lblAlgn val="ctr"/>
        <c:lblOffset val="100"/>
        <c:noMultiLvlLbl val="0"/>
      </c:catAx>
      <c:valAx>
        <c:axId val="1158366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4422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Resultados!$H$41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Resultados!$A$42:$A$78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Resultados!$H$42:$H$78</c:f>
              <c:numCache>
                <c:formatCode>#,##0.00</c:formatCode>
                <c:ptCount val="37"/>
                <c:pt idx="0">
                  <c:v>5</c:v>
                </c:pt>
                <c:pt idx="1">
                  <c:v>4.986907080470278</c:v>
                </c:pt>
                <c:pt idx="2">
                  <c:v>4.9264302866513168</c:v>
                </c:pt>
                <c:pt idx="3">
                  <c:v>4.8305564492542743</c:v>
                </c:pt>
                <c:pt idx="4">
                  <c:v>5.0161626416801495</c:v>
                </c:pt>
                <c:pt idx="5">
                  <c:v>5.1908786493495276</c:v>
                </c:pt>
                <c:pt idx="6">
                  <c:v>5.3709123717807659</c:v>
                </c:pt>
                <c:pt idx="7">
                  <c:v>5.5959437511553221</c:v>
                </c:pt>
                <c:pt idx="8">
                  <c:v>5.7923769203678166</c:v>
                </c:pt>
                <c:pt idx="9">
                  <c:v>5.9875779153746436</c:v>
                </c:pt>
                <c:pt idx="10">
                  <c:v>6.2279046764207777</c:v>
                </c:pt>
                <c:pt idx="11">
                  <c:v>6.444533814362658</c:v>
                </c:pt>
                <c:pt idx="12">
                  <c:v>6.6598691729286168</c:v>
                </c:pt>
                <c:pt idx="13">
                  <c:v>6.9271298840982585</c:v>
                </c:pt>
                <c:pt idx="14">
                  <c:v>7.1726108060557658</c:v>
                </c:pt>
                <c:pt idx="15">
                  <c:v>7.4240013976888442</c:v>
                </c:pt>
                <c:pt idx="16">
                  <c:v>7.7042754045472428</c:v>
                </c:pt>
                <c:pt idx="17">
                  <c:v>7.9581062400625386</c:v>
                </c:pt>
                <c:pt idx="18">
                  <c:v>8.2212001418868397</c:v>
                </c:pt>
                <c:pt idx="19">
                  <c:v>8.5157635009730157</c:v>
                </c:pt>
                <c:pt idx="20">
                  <c:v>8.7827451358372777</c:v>
                </c:pt>
                <c:pt idx="21">
                  <c:v>9.0615809327570105</c:v>
                </c:pt>
                <c:pt idx="22">
                  <c:v>9.3693846186164205</c:v>
                </c:pt>
                <c:pt idx="23">
                  <c:v>9.6534889167093336</c:v>
                </c:pt>
                <c:pt idx="24">
                  <c:v>9.9440776685941827</c:v>
                </c:pt>
                <c:pt idx="25">
                  <c:v>10.26848041853953</c:v>
                </c:pt>
                <c:pt idx="26">
                  <c:v>10.573424024440504</c:v>
                </c:pt>
                <c:pt idx="27">
                  <c:v>10.884420106231532</c:v>
                </c:pt>
                <c:pt idx="28">
                  <c:v>11.227012056310716</c:v>
                </c:pt>
                <c:pt idx="29">
                  <c:v>11.545586072391506</c:v>
                </c:pt>
                <c:pt idx="30">
                  <c:v>11.869430534019225</c:v>
                </c:pt>
                <c:pt idx="31">
                  <c:v>12.231856087110161</c:v>
                </c:pt>
                <c:pt idx="32">
                  <c:v>12.564357421975892</c:v>
                </c:pt>
                <c:pt idx="33">
                  <c:v>12.905673587817509</c:v>
                </c:pt>
                <c:pt idx="34">
                  <c:v>13.284524271407966</c:v>
                </c:pt>
                <c:pt idx="35">
                  <c:v>13.634141235479238</c:v>
                </c:pt>
                <c:pt idx="36">
                  <c:v>13.991627765305696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75-4EC4-8B45-2A9F96B04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221151"/>
        <c:axId val="11583663"/>
      </c:barChart>
      <c:catAx>
        <c:axId val="3442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3663"/>
        <c:crosses val="autoZero"/>
        <c:auto val="1"/>
        <c:lblAlgn val="ctr"/>
        <c:lblOffset val="100"/>
        <c:noMultiLvlLbl val="0"/>
      </c:catAx>
      <c:valAx>
        <c:axId val="1158366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4422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Resultados!$I$41</c:f>
              <c:strCache>
                <c:ptCount val="1"/>
                <c:pt idx="0">
                  <c:v>Volume Operado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Resultados!$A$42:$A$78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Resultados!$I$42:$I$78</c:f>
              <c:numCache>
                <c:formatCode>#,##0.00</c:formatCode>
                <c:ptCount val="37"/>
                <c:pt idx="0">
                  <c:v>0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3.6536527780703394</c:v>
                </c:pt>
                <c:pt idx="5">
                  <c:v>3.4519900902865084</c:v>
                </c:pt>
                <c:pt idx="6">
                  <c:v>3.4519944370888824</c:v>
                </c:pt>
                <c:pt idx="7">
                  <c:v>3.9451010766235077</c:v>
                </c:pt>
                <c:pt idx="8">
                  <c:v>3.7259053990215225</c:v>
                </c:pt>
                <c:pt idx="9">
                  <c:v>3.7259144668877937</c:v>
                </c:pt>
                <c:pt idx="10">
                  <c:v>4.2619042864848327</c:v>
                </c:pt>
                <c:pt idx="11">
                  <c:v>4.0236495621837634</c:v>
                </c:pt>
                <c:pt idx="12">
                  <c:v>4.0236637587511224</c:v>
                </c:pt>
                <c:pt idx="13">
                  <c:v>4.328191427261884</c:v>
                </c:pt>
                <c:pt idx="14">
                  <c:v>4.0707457041237136</c:v>
                </c:pt>
                <c:pt idx="15">
                  <c:v>4.0754794866178319</c:v>
                </c:pt>
                <c:pt idx="16">
                  <c:v>4.4096191493279981</c:v>
                </c:pt>
                <c:pt idx="17">
                  <c:v>4.1305675353561133</c:v>
                </c:pt>
                <c:pt idx="18">
                  <c:v>4.1412597039645869</c:v>
                </c:pt>
                <c:pt idx="19">
                  <c:v>4.5076396002609203</c:v>
                </c:pt>
                <c:pt idx="20">
                  <c:v>4.2060479525082943</c:v>
                </c:pt>
                <c:pt idx="21">
                  <c:v>4.2229713336404657</c:v>
                </c:pt>
                <c:pt idx="22">
                  <c:v>4.6234125069466092</c:v>
                </c:pt>
                <c:pt idx="23">
                  <c:v>4.2989928946834448</c:v>
                </c:pt>
                <c:pt idx="24">
                  <c:v>4.3209473781192376</c:v>
                </c:pt>
                <c:pt idx="25">
                  <c:v>4.6562089976290295</c:v>
                </c:pt>
                <c:pt idx="26">
                  <c:v>4.312330241321491</c:v>
                </c:pt>
                <c:pt idx="27">
                  <c:v>4.3403372006473395</c:v>
                </c:pt>
                <c:pt idx="28">
                  <c:v>4.707194688445286</c:v>
                </c:pt>
                <c:pt idx="29">
                  <c:v>4.3392979981393518</c:v>
                </c:pt>
                <c:pt idx="30">
                  <c:v>4.3725754030121324</c:v>
                </c:pt>
                <c:pt idx="31">
                  <c:v>4.7780139822732961</c:v>
                </c:pt>
                <c:pt idx="32">
                  <c:v>4.3801930737421548</c:v>
                </c:pt>
                <c:pt idx="33">
                  <c:v>4.4222853095908201</c:v>
                </c:pt>
                <c:pt idx="34">
                  <c:v>4.8652584066008275</c:v>
                </c:pt>
                <c:pt idx="35">
                  <c:v>4.4382037785504975</c:v>
                </c:pt>
                <c:pt idx="36">
                  <c:v>4.4881655801543516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8-4A74-A055-4303A66CB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221151"/>
        <c:axId val="11583663"/>
      </c:barChart>
      <c:catAx>
        <c:axId val="3442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3663"/>
        <c:crosses val="autoZero"/>
        <c:auto val="1"/>
        <c:lblAlgn val="ctr"/>
        <c:lblOffset val="100"/>
        <c:noMultiLvlLbl val="0"/>
      </c:catAx>
      <c:valAx>
        <c:axId val="1158366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4422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Resultados!$J$41</c:f>
              <c:strCache>
                <c:ptCount val="1"/>
                <c:pt idx="0">
                  <c:v>Caixa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Resultados!$A$42:$A$78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Resultados!$J$42:$J$78</c:f>
              <c:numCache>
                <c:formatCode>#,##0.00</c:formatCode>
                <c:ptCount val="37"/>
                <c:pt idx="0">
                  <c:v>10</c:v>
                </c:pt>
                <c:pt idx="1">
                  <c:v>6.8146479699547688</c:v>
                </c:pt>
                <c:pt idx="2">
                  <c:v>3.6253168910892888</c:v>
                </c:pt>
                <c:pt idx="3">
                  <c:v>0.40143063300858811</c:v>
                </c:pt>
                <c:pt idx="4">
                  <c:v>0.20000000000000093</c:v>
                </c:pt>
                <c:pt idx="5">
                  <c:v>0.20000000000000093</c:v>
                </c:pt>
                <c:pt idx="6">
                  <c:v>0.20000000000000093</c:v>
                </c:pt>
                <c:pt idx="7">
                  <c:v>0.20000000000000093</c:v>
                </c:pt>
                <c:pt idx="8">
                  <c:v>0.20000000000000093</c:v>
                </c:pt>
                <c:pt idx="9">
                  <c:v>0.20000000000000093</c:v>
                </c:pt>
                <c:pt idx="10">
                  <c:v>0.20000000000000093</c:v>
                </c:pt>
                <c:pt idx="11">
                  <c:v>0.20000000000000093</c:v>
                </c:pt>
                <c:pt idx="12">
                  <c:v>0.20000000000000093</c:v>
                </c:pt>
                <c:pt idx="13">
                  <c:v>0.20000000000000093</c:v>
                </c:pt>
                <c:pt idx="14">
                  <c:v>0.20000000000000093</c:v>
                </c:pt>
                <c:pt idx="15">
                  <c:v>0.20000000000000093</c:v>
                </c:pt>
                <c:pt idx="16">
                  <c:v>0.20000000000000093</c:v>
                </c:pt>
                <c:pt idx="17">
                  <c:v>0.20000000000000093</c:v>
                </c:pt>
                <c:pt idx="18">
                  <c:v>0.20000000000001211</c:v>
                </c:pt>
                <c:pt idx="19">
                  <c:v>0.20000000000001211</c:v>
                </c:pt>
                <c:pt idx="20">
                  <c:v>0.20000000000001211</c:v>
                </c:pt>
                <c:pt idx="21">
                  <c:v>0.20000000000001211</c:v>
                </c:pt>
                <c:pt idx="22">
                  <c:v>0.20000000000001211</c:v>
                </c:pt>
                <c:pt idx="23">
                  <c:v>0.20000000000001211</c:v>
                </c:pt>
                <c:pt idx="24">
                  <c:v>0.20000000000001211</c:v>
                </c:pt>
                <c:pt idx="25">
                  <c:v>0.20000000000001211</c:v>
                </c:pt>
                <c:pt idx="26">
                  <c:v>0.20000000000001211</c:v>
                </c:pt>
                <c:pt idx="27">
                  <c:v>0.20000000000001211</c:v>
                </c:pt>
                <c:pt idx="28">
                  <c:v>0.20000000000001211</c:v>
                </c:pt>
                <c:pt idx="29">
                  <c:v>0.20000000000001211</c:v>
                </c:pt>
                <c:pt idx="30">
                  <c:v>0.20000000000001211</c:v>
                </c:pt>
                <c:pt idx="31">
                  <c:v>0.20000000000001211</c:v>
                </c:pt>
                <c:pt idx="32">
                  <c:v>0.20000000000001211</c:v>
                </c:pt>
                <c:pt idx="33">
                  <c:v>0.20000000000001211</c:v>
                </c:pt>
                <c:pt idx="34">
                  <c:v>0.20000000000001211</c:v>
                </c:pt>
                <c:pt idx="35">
                  <c:v>0.20000000000001211</c:v>
                </c:pt>
                <c:pt idx="36">
                  <c:v>0.20000000000001211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1-4609-958E-138B29C58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221151"/>
        <c:axId val="11583663"/>
      </c:barChart>
      <c:catAx>
        <c:axId val="34422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3663"/>
        <c:crosses val="autoZero"/>
        <c:auto val="1"/>
        <c:lblAlgn val="ctr"/>
        <c:lblOffset val="100"/>
        <c:noMultiLvlLbl val="0"/>
      </c:catAx>
      <c:valAx>
        <c:axId val="11583663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4422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[Modelagem Financeira FIDC Desconto Duplicatas.xlsm]Resultados!Tabela dinâmica15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Resultados!$M$104</c:f>
              <c:strCache>
                <c:ptCount val="1"/>
                <c:pt idx="0">
                  <c:v>Máx. de Sênior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Resultados!$L$105:$L$166</c:f>
              <c:strCach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strCache>
            </c:strRef>
          </c:cat>
          <c:val>
            <c:numRef>
              <c:f>Resultados!$M$105:$M$166</c:f>
              <c:numCache>
                <c:formatCode>#,##0.00</c:formatCode>
                <c:ptCount val="61"/>
                <c:pt idx="0">
                  <c:v>2.5</c:v>
                </c:pt>
                <c:pt idx="1">
                  <c:v>2.5134324847493752</c:v>
                </c:pt>
                <c:pt idx="2">
                  <c:v>2.5478640760800357</c:v>
                </c:pt>
                <c:pt idx="3">
                  <c:v>2.5826844764254795</c:v>
                </c:pt>
                <c:pt idx="4">
                  <c:v>2.6148924537885994</c:v>
                </c:pt>
                <c:pt idx="5">
                  <c:v>2.6522380911753785</c:v>
                </c:pt>
                <c:pt idx="6">
                  <c:v>2.6870017967507649</c:v>
                </c:pt>
                <c:pt idx="7">
                  <c:v>2.7190762464480409</c:v>
                </c:pt>
                <c:pt idx="8">
                  <c:v>2.7564796588441327</c:v>
                </c:pt>
                <c:pt idx="9">
                  <c:v>2.7944647753070022</c:v>
                </c:pt>
                <c:pt idx="10">
                  <c:v>2.8313531663276641</c:v>
                </c:pt>
                <c:pt idx="11">
                  <c:v>2.8704620503902687</c:v>
                </c:pt>
                <c:pt idx="12">
                  <c:v>2.9101810618141002</c:v>
                </c:pt>
                <c:pt idx="13">
                  <c:v>2.6676659733295915</c:v>
                </c:pt>
                <c:pt idx="14">
                  <c:v>2.4251508848450829</c:v>
                </c:pt>
                <c:pt idx="15">
                  <c:v>2.1826357963605747</c:v>
                </c:pt>
                <c:pt idx="16">
                  <c:v>1.9401207078760663</c:v>
                </c:pt>
                <c:pt idx="17">
                  <c:v>1.6976056193915581</c:v>
                </c:pt>
                <c:pt idx="18">
                  <c:v>1.4550905309070497</c:v>
                </c:pt>
                <c:pt idx="19">
                  <c:v>1.2125754424225412</c:v>
                </c:pt>
                <c:pt idx="20">
                  <c:v>0.97006035393803303</c:v>
                </c:pt>
                <c:pt idx="21">
                  <c:v>0.72754526545352483</c:v>
                </c:pt>
                <c:pt idx="22">
                  <c:v>0.48503017696901651</c:v>
                </c:pt>
                <c:pt idx="23">
                  <c:v>0.2425150884845082</c:v>
                </c:pt>
                <c:pt idx="24">
                  <c:v>7.549516567451065E-17</c:v>
                </c:pt>
                <c:pt idx="25">
                  <c:v>7.6618122175788737E-17</c:v>
                </c:pt>
                <c:pt idx="26">
                  <c:v>7.7662758687507139E-17</c:v>
                </c:pt>
                <c:pt idx="27">
                  <c:v>7.8722838564770462E-17</c:v>
                </c:pt>
                <c:pt idx="28">
                  <c:v>7.9847214860733327E-17</c:v>
                </c:pt>
                <c:pt idx="29">
                  <c:v>8.0938963047417531E-17</c:v>
                </c:pt>
                <c:pt idx="30">
                  <c:v>8.209695423161118E-17</c:v>
                </c:pt>
                <c:pt idx="31">
                  <c:v>8.3169318590248878E-17</c:v>
                </c:pt>
                <c:pt idx="32">
                  <c:v>8.4361235604012002E-17</c:v>
                </c:pt>
                <c:pt idx="33">
                  <c:v>8.5465662700490827E-17</c:v>
                </c:pt>
                <c:pt idx="34">
                  <c:v>8.6745580712108867E-17</c:v>
                </c:pt>
                <c:pt idx="35">
                  <c:v>8.7936340169038506E-17</c:v>
                </c:pt>
                <c:pt idx="36">
                  <c:v>8.9144803172549937E-17</c:v>
                </c:pt>
                <c:pt idx="37">
                  <c:v>9.0482826561668444E-17</c:v>
                </c:pt>
                <c:pt idx="38">
                  <c:v>9.167072754428395E-17</c:v>
                </c:pt>
                <c:pt idx="39">
                  <c:v>9.2991143755921177E-17</c:v>
                </c:pt>
                <c:pt idx="40">
                  <c:v>9.4331329893925501E-17</c:v>
                </c:pt>
                <c:pt idx="41">
                  <c:v>9.5632044615062406E-17</c:v>
                </c:pt>
                <c:pt idx="42">
                  <c:v>9.707227580739554E-17</c:v>
                </c:pt>
                <c:pt idx="43">
                  <c:v>9.835025961949478E-17</c:v>
                </c:pt>
                <c:pt idx="44">
                  <c:v>9.9708667122988314E-17</c:v>
                </c:pt>
                <c:pt idx="45">
                  <c:v>1.0108737526233307E-16</c:v>
                </c:pt>
                <c:pt idx="46">
                  <c:v>1.0261317188706299E-16</c:v>
                </c:pt>
                <c:pt idx="47">
                  <c:v>1.0396712400559261E-16</c:v>
                </c:pt>
                <c:pt idx="48">
                  <c:v>1.0547136962288109E-16</c:v>
                </c:pt>
                <c:pt idx="49">
                  <c:v>1.0699737937858135E-16</c:v>
                </c:pt>
                <c:pt idx="50">
                  <c:v>1.0841075447135156E-16</c:v>
                </c:pt>
                <c:pt idx="51">
                  <c:v>1.1004891571932871E-16</c:v>
                </c:pt>
                <c:pt idx="52">
                  <c:v>1.1157314865010411E-16</c:v>
                </c:pt>
                <c:pt idx="53">
                  <c:v>1.1311849297495432E-16</c:v>
                </c:pt>
                <c:pt idx="54">
                  <c:v>1.1482874430363334E-16</c:v>
                </c:pt>
                <c:pt idx="55">
                  <c:v>1.1634641212763698E-16</c:v>
                </c:pt>
                <c:pt idx="56">
                  <c:v>1.1795786855665622E-16</c:v>
                </c:pt>
                <c:pt idx="57">
                  <c:v>1.196673939198122E-16</c:v>
                </c:pt>
                <c:pt idx="58">
                  <c:v>1.2140169488296023E-16</c:v>
                </c:pt>
                <c:pt idx="59">
                  <c:v>1.2300712913889751E-16</c:v>
                </c:pt>
                <c:pt idx="60">
                  <c:v>1.2486792400541674E-16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A-4D89-B76A-A4E60594231E}"/>
            </c:ext>
          </c:extLst>
        </c:ser>
        <c:ser>
          <c:idx val="1"/>
          <c:order val="1"/>
          <c:tx>
            <c:strRef>
              <c:f>Resultados!$N$104</c:f>
              <c:strCache>
                <c:ptCount val="1"/>
                <c:pt idx="0">
                  <c:v>Máx. de Meza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Resultados!$L$105:$L$166</c:f>
              <c:strCach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strCache>
            </c:strRef>
          </c:cat>
          <c:val>
            <c:numRef>
              <c:f>Resultados!$N$105:$N$166</c:f>
              <c:numCache>
                <c:formatCode>#,##0.00</c:formatCode>
                <c:ptCount val="61"/>
                <c:pt idx="0">
                  <c:v>2.5</c:v>
                </c:pt>
                <c:pt idx="1">
                  <c:v>2.5143084047351172</c:v>
                </c:pt>
                <c:pt idx="2">
                  <c:v>2.5510225283579357</c:v>
                </c:pt>
                <c:pt idx="3">
                  <c:v>2.5881897073288336</c:v>
                </c:pt>
                <c:pt idx="4">
                  <c:v>2.6225976826015929</c:v>
                </c:pt>
                <c:pt idx="5">
                  <c:v>2.6625261278319439</c:v>
                </c:pt>
                <c:pt idx="6">
                  <c:v>2.6997231369141996</c:v>
                </c:pt>
                <c:pt idx="7">
                  <c:v>2.7340656063955362</c:v>
                </c:pt>
                <c:pt idx="8">
                  <c:v>2.7741443335219671</c:v>
                </c:pt>
                <c:pt idx="9">
                  <c:v>2.8148782518511815</c:v>
                </c:pt>
                <c:pt idx="10">
                  <c:v>2.8544663096457104</c:v>
                </c:pt>
                <c:pt idx="11">
                  <c:v>2.8964724508034645</c:v>
                </c:pt>
                <c:pt idx="12">
                  <c:v>2.939167372677006</c:v>
                </c:pt>
                <c:pt idx="13">
                  <c:v>2.9807088907689221</c:v>
                </c:pt>
                <c:pt idx="14">
                  <c:v>3.0248391992358732</c:v>
                </c:pt>
                <c:pt idx="15">
                  <c:v>3.0677794239540126</c:v>
                </c:pt>
                <c:pt idx="16">
                  <c:v>3.1114482276462394</c:v>
                </c:pt>
                <c:pt idx="17">
                  <c:v>3.1599543118478484</c:v>
                </c:pt>
                <c:pt idx="18">
                  <c:v>3.2051557158548261</c:v>
                </c:pt>
                <c:pt idx="19">
                  <c:v>3.2511278961860786</c:v>
                </c:pt>
                <c:pt idx="20">
                  <c:v>3.3021417669585045</c:v>
                </c:pt>
                <c:pt idx="21">
                  <c:v>3.3475326881991601</c:v>
                </c:pt>
                <c:pt idx="22">
                  <c:v>3.3980169975099468</c:v>
                </c:pt>
                <c:pt idx="23">
                  <c:v>3.449372730076691</c:v>
                </c:pt>
                <c:pt idx="24">
                  <c:v>3.4992751111551241</c:v>
                </c:pt>
                <c:pt idx="25">
                  <c:v>3.2076688518921972</c:v>
                </c:pt>
                <c:pt idx="26">
                  <c:v>2.9160625926292698</c:v>
                </c:pt>
                <c:pt idx="27">
                  <c:v>2.6244563333663429</c:v>
                </c:pt>
                <c:pt idx="28">
                  <c:v>2.3328500741034155</c:v>
                </c:pt>
                <c:pt idx="29">
                  <c:v>2.0412438148404881</c:v>
                </c:pt>
                <c:pt idx="30">
                  <c:v>1.7496375555775612</c:v>
                </c:pt>
                <c:pt idx="31">
                  <c:v>1.4580312963146342</c:v>
                </c:pt>
                <c:pt idx="32">
                  <c:v>1.1664250370517071</c:v>
                </c:pt>
                <c:pt idx="33">
                  <c:v>0.87481877778877981</c:v>
                </c:pt>
                <c:pt idx="34">
                  <c:v>0.58321251852585299</c:v>
                </c:pt>
                <c:pt idx="35">
                  <c:v>0.29160625926292583</c:v>
                </c:pt>
                <c:pt idx="36">
                  <c:v>-1.0480505352461477E-15</c:v>
                </c:pt>
                <c:pt idx="37">
                  <c:v>-1.0647701841253281E-15</c:v>
                </c:pt>
                <c:pt idx="38">
                  <c:v>-1.0796263817408656E-15</c:v>
                </c:pt>
                <c:pt idx="39">
                  <c:v>-1.0961528436389362E-15</c:v>
                </c:pt>
                <c:pt idx="40">
                  <c:v>-1.1129411434575047E-15</c:v>
                </c:pt>
                <c:pt idx="41">
                  <c:v>-1.1292486580510333E-15</c:v>
                </c:pt>
                <c:pt idx="42">
                  <c:v>-1.1473208406013141E-15</c:v>
                </c:pt>
                <c:pt idx="43">
                  <c:v>-1.1633710954214949E-15</c:v>
                </c:pt>
                <c:pt idx="44">
                  <c:v>-1.1804444940950411E-15</c:v>
                </c:pt>
                <c:pt idx="45">
                  <c:v>-1.1977866870273079E-15</c:v>
                </c:pt>
                <c:pt idx="46">
                  <c:v>-1.2169961454962134E-15</c:v>
                </c:pt>
                <c:pt idx="47">
                  <c:v>-1.2340569680017399E-15</c:v>
                </c:pt>
                <c:pt idx="48">
                  <c:v>-1.2530271435675517E-15</c:v>
                </c:pt>
                <c:pt idx="49">
                  <c:v>-1.2722889325437074E-15</c:v>
                </c:pt>
                <c:pt idx="50">
                  <c:v>-1.2901436317668791E-15</c:v>
                </c:pt>
                <c:pt idx="51">
                  <c:v>-1.31085602024987E-15</c:v>
                </c:pt>
                <c:pt idx="52">
                  <c:v>-1.3301444776379062E-15</c:v>
                </c:pt>
                <c:pt idx="53">
                  <c:v>-1.3497167530674838E-15</c:v>
                </c:pt>
                <c:pt idx="54">
                  <c:v>-1.3713969284877052E-15</c:v>
                </c:pt>
                <c:pt idx="55">
                  <c:v>-1.3906525600932122E-15</c:v>
                </c:pt>
                <c:pt idx="56">
                  <c:v>-1.411115175538811E-15</c:v>
                </c:pt>
                <c:pt idx="57">
                  <c:v>-1.4328413107242386E-15</c:v>
                </c:pt>
                <c:pt idx="58">
                  <c:v>-1.4549019508163372E-15</c:v>
                </c:pt>
                <c:pt idx="59">
                  <c:v>-1.4753407789386333E-15</c:v>
                </c:pt>
                <c:pt idx="60">
                  <c:v>-1.4990512616457949E-15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DA-4D89-B76A-A4E60594231E}"/>
            </c:ext>
          </c:extLst>
        </c:ser>
        <c:ser>
          <c:idx val="2"/>
          <c:order val="2"/>
          <c:tx>
            <c:strRef>
              <c:f>Resultados!$O$104</c:f>
              <c:strCache>
                <c:ptCount val="1"/>
                <c:pt idx="0">
                  <c:v>Máx. de Junior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Resultados!$L$105:$L$166</c:f>
              <c:strCach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strCache>
            </c:strRef>
          </c:cat>
          <c:val>
            <c:numRef>
              <c:f>Resultados!$O$105:$O$166</c:f>
              <c:numCache>
                <c:formatCode>#,##0.00</c:formatCode>
                <c:ptCount val="61"/>
                <c:pt idx="0">
                  <c:v>5</c:v>
                </c:pt>
                <c:pt idx="1">
                  <c:v>4.986907080470278</c:v>
                </c:pt>
                <c:pt idx="2">
                  <c:v>4.9264302866513168</c:v>
                </c:pt>
                <c:pt idx="3">
                  <c:v>4.8305564492542743</c:v>
                </c:pt>
                <c:pt idx="4">
                  <c:v>5.0161626416801495</c:v>
                </c:pt>
                <c:pt idx="5">
                  <c:v>5.1908786493495276</c:v>
                </c:pt>
                <c:pt idx="6">
                  <c:v>5.3709123717807659</c:v>
                </c:pt>
                <c:pt idx="7">
                  <c:v>5.5959437511553221</c:v>
                </c:pt>
                <c:pt idx="8">
                  <c:v>5.792376920367813</c:v>
                </c:pt>
                <c:pt idx="9">
                  <c:v>5.9875779153746391</c:v>
                </c:pt>
                <c:pt idx="10">
                  <c:v>6.2279046764207706</c:v>
                </c:pt>
                <c:pt idx="11">
                  <c:v>6.4445338143626509</c:v>
                </c:pt>
                <c:pt idx="12">
                  <c:v>6.6598691729286053</c:v>
                </c:pt>
                <c:pt idx="13">
                  <c:v>6.9271298840982478</c:v>
                </c:pt>
                <c:pt idx="14">
                  <c:v>7.1726108060557578</c:v>
                </c:pt>
                <c:pt idx="15">
                  <c:v>7.4240013976888335</c:v>
                </c:pt>
                <c:pt idx="16">
                  <c:v>7.7042754045472277</c:v>
                </c:pt>
                <c:pt idx="17">
                  <c:v>7.9581062400625235</c:v>
                </c:pt>
                <c:pt idx="18">
                  <c:v>8.2212001418868201</c:v>
                </c:pt>
                <c:pt idx="19">
                  <c:v>8.5157635009730015</c:v>
                </c:pt>
                <c:pt idx="20">
                  <c:v>8.7827451358372617</c:v>
                </c:pt>
                <c:pt idx="21">
                  <c:v>9.0615809327569963</c:v>
                </c:pt>
                <c:pt idx="22">
                  <c:v>9.3693846186164063</c:v>
                </c:pt>
                <c:pt idx="23">
                  <c:v>9.653488916709323</c:v>
                </c:pt>
                <c:pt idx="24">
                  <c:v>9.9440776685941685</c:v>
                </c:pt>
                <c:pt idx="25">
                  <c:v>10.268480418539518</c:v>
                </c:pt>
                <c:pt idx="26">
                  <c:v>10.573424024440493</c:v>
                </c:pt>
                <c:pt idx="27">
                  <c:v>10.884420106231522</c:v>
                </c:pt>
                <c:pt idx="28">
                  <c:v>11.227012056310706</c:v>
                </c:pt>
                <c:pt idx="29">
                  <c:v>11.545586072391492</c:v>
                </c:pt>
                <c:pt idx="30">
                  <c:v>11.869430534019212</c:v>
                </c:pt>
                <c:pt idx="31">
                  <c:v>12.231856087110151</c:v>
                </c:pt>
                <c:pt idx="32">
                  <c:v>12.564357421975881</c:v>
                </c:pt>
                <c:pt idx="33">
                  <c:v>12.905673587817494</c:v>
                </c:pt>
                <c:pt idx="34">
                  <c:v>13.284524271407955</c:v>
                </c:pt>
                <c:pt idx="35">
                  <c:v>13.634141235479227</c:v>
                </c:pt>
                <c:pt idx="36">
                  <c:v>13.991627765305685</c:v>
                </c:pt>
                <c:pt idx="37">
                  <c:v>14.388547052981066</c:v>
                </c:pt>
                <c:pt idx="38">
                  <c:v>14.748332592908413</c:v>
                </c:pt>
                <c:pt idx="39">
                  <c:v>15.112465511515307</c:v>
                </c:pt>
                <c:pt idx="40">
                  <c:v>15.543905268242666</c:v>
                </c:pt>
                <c:pt idx="41">
                  <c:v>15.934982255135616</c:v>
                </c:pt>
                <c:pt idx="42">
                  <c:v>16.330783216065559</c:v>
                </c:pt>
                <c:pt idx="43">
                  <c:v>16.799742346755696</c:v>
                </c:pt>
                <c:pt idx="44">
                  <c:v>17.224830337617185</c:v>
                </c:pt>
                <c:pt idx="45">
                  <c:v>17.655054518538208</c:v>
                </c:pt>
                <c:pt idx="46">
                  <c:v>18.164798449198575</c:v>
                </c:pt>
                <c:pt idx="47">
                  <c:v>18.626853485470996</c:v>
                </c:pt>
                <c:pt idx="48">
                  <c:v>19.09448990067586</c:v>
                </c:pt>
                <c:pt idx="49">
                  <c:v>19.648560826466962</c:v>
                </c:pt>
                <c:pt idx="50">
                  <c:v>20.150797433295892</c:v>
                </c:pt>
                <c:pt idx="51">
                  <c:v>20.658796367079511</c:v>
                </c:pt>
                <c:pt idx="52">
                  <c:v>21.260747291519973</c:v>
                </c:pt>
                <c:pt idx="53">
                  <c:v>21.806355129107263</c:v>
                </c:pt>
                <c:pt idx="54">
                  <c:v>22.358529318891691</c:v>
                </c:pt>
                <c:pt idx="55">
                  <c:v>23.018396396017174</c:v>
                </c:pt>
                <c:pt idx="56">
                  <c:v>23.613818992216043</c:v>
                </c:pt>
                <c:pt idx="57">
                  <c:v>24.214171626112453</c:v>
                </c:pt>
                <c:pt idx="58">
                  <c:v>24.891289883230606</c:v>
                </c:pt>
                <c:pt idx="59">
                  <c:v>25.576231217629374</c:v>
                </c:pt>
                <c:pt idx="60">
                  <c:v>26.269086013133876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DA-4D89-B76A-A4E605942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031"/>
        <c:axId val="11750703"/>
      </c:areaChart>
      <c:catAx>
        <c:axId val="3234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50703"/>
        <c:crosses val="autoZero"/>
        <c:auto val="1"/>
        <c:lblAlgn val="ctr"/>
        <c:lblOffset val="100"/>
        <c:noMultiLvlLbl val="0"/>
      </c:catAx>
      <c:valAx>
        <c:axId val="1175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4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Subordinação D+0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 b="1"/>
          </a:pPr>
          <a:r>
            <a:rPr lang="pt-B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/>
            </a:rPr>
            <a:t>Subordinação D+0</a:t>
          </a:r>
        </a:p>
      </cx:txPr>
    </cx:title>
    <cx:plotArea>
      <cx:plotAreaRegion>
        <cx:series layoutId="treemap" uniqueId="{00000000-5C74-4EF5-B392-1AC21F7D20D5}">
          <cx:spPr>
            <a:solidFill>
              <a:schemeClr val="tx2"/>
            </a:solidFill>
          </cx:spPr>
          <cx:dataPt idx="0">
            <cx:spPr>
              <a:solidFill>
                <a:srgbClr val="4A66AC"/>
              </a:solidFill>
            </cx:spPr>
          </cx:dataPt>
          <cx:dataPt idx="1">
            <cx:spPr>
              <a:solidFill>
                <a:srgbClr val="629DD1"/>
              </a:solidFill>
            </cx:spPr>
          </cx:dataPt>
          <cx:dataLabels pos="inEnd">
            <cx:txPr>
              <a:bodyPr vertOverflow="overflow" horzOverflow="overflow" wrap="square" lIns="0" tIns="0" rIns="0" bIns="0"/>
              <a:lstStyle/>
              <a:p>
                <a:pPr algn="ctr" rtl="0">
                  <a:defRPr sz="2000" b="0" i="0">
                    <a:solidFill>
                      <a:srgbClr val="FFFFFF"/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pt-BR" sz="2000"/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 b="1"/>
          </a:pPr>
          <a:endParaRPr lang="pt-BR" sz="2000" b="1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Segoe UI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javascript:show(%22DI1U2021%22)" TargetMode="External"/><Relationship Id="rId18" Type="http://schemas.openxmlformats.org/officeDocument/2006/relationships/hyperlink" Target="javascript:show(%22DI1V2022%22)" TargetMode="External"/><Relationship Id="rId26" Type="http://schemas.openxmlformats.org/officeDocument/2006/relationships/hyperlink" Target="javascript:show(%22DI1V2024%22)" TargetMode="External"/><Relationship Id="rId3" Type="http://schemas.openxmlformats.org/officeDocument/2006/relationships/hyperlink" Target="javascript:show(%22DI1X2020%22)" TargetMode="External"/><Relationship Id="rId21" Type="http://schemas.openxmlformats.org/officeDocument/2006/relationships/hyperlink" Target="javascript:show(%22DI1N2023%22)" TargetMode="External"/><Relationship Id="rId34" Type="http://schemas.openxmlformats.org/officeDocument/2006/relationships/hyperlink" Target="javascript:show(%22DI1F2029%22)" TargetMode="External"/><Relationship Id="rId7" Type="http://schemas.openxmlformats.org/officeDocument/2006/relationships/hyperlink" Target="javascript:show(%22DI1H2021%22)" TargetMode="External"/><Relationship Id="rId12" Type="http://schemas.openxmlformats.org/officeDocument/2006/relationships/hyperlink" Target="javascript:show(%22DI1Q2021%22)" TargetMode="External"/><Relationship Id="rId17" Type="http://schemas.openxmlformats.org/officeDocument/2006/relationships/hyperlink" Target="javascript:show(%22DI1N2022%22)" TargetMode="External"/><Relationship Id="rId25" Type="http://schemas.openxmlformats.org/officeDocument/2006/relationships/hyperlink" Target="javascript:show(%22DI1N2024%22)" TargetMode="External"/><Relationship Id="rId33" Type="http://schemas.openxmlformats.org/officeDocument/2006/relationships/hyperlink" Target="javascript:show(%22DI1F2028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how(%22DI1J2022%22)" TargetMode="External"/><Relationship Id="rId20" Type="http://schemas.openxmlformats.org/officeDocument/2006/relationships/hyperlink" Target="javascript:show(%22DI1J2023%22)" TargetMode="External"/><Relationship Id="rId29" Type="http://schemas.openxmlformats.org/officeDocument/2006/relationships/hyperlink" Target="javascript:show(%22DI1N2025%22)" TargetMode="External"/><Relationship Id="rId1" Type="http://schemas.openxmlformats.org/officeDocument/2006/relationships/hyperlink" Target="javascript:show(%22DI1V2020%22)" TargetMode="External"/><Relationship Id="rId6" Type="http://schemas.openxmlformats.org/officeDocument/2006/relationships/hyperlink" Target="javascript:show(%22DI1G2021%22)" TargetMode="External"/><Relationship Id="rId11" Type="http://schemas.openxmlformats.org/officeDocument/2006/relationships/hyperlink" Target="javascript:show(%22DI1N2021%22)" TargetMode="External"/><Relationship Id="rId24" Type="http://schemas.openxmlformats.org/officeDocument/2006/relationships/hyperlink" Target="javascript:show(%22DI1J2024%22)" TargetMode="External"/><Relationship Id="rId32" Type="http://schemas.openxmlformats.org/officeDocument/2006/relationships/hyperlink" Target="javascript:show(%22DI1F2027%22)" TargetMode="External"/><Relationship Id="rId5" Type="http://schemas.openxmlformats.org/officeDocument/2006/relationships/hyperlink" Target="javascript:show(%22DI1F2021%22)" TargetMode="External"/><Relationship Id="rId15" Type="http://schemas.openxmlformats.org/officeDocument/2006/relationships/hyperlink" Target="javascript:show(%22DI1F2022%22)" TargetMode="External"/><Relationship Id="rId23" Type="http://schemas.openxmlformats.org/officeDocument/2006/relationships/hyperlink" Target="javascript:show(%22DI1F2024%22)" TargetMode="External"/><Relationship Id="rId28" Type="http://schemas.openxmlformats.org/officeDocument/2006/relationships/hyperlink" Target="javascript:show(%22DI1J2025%22)" TargetMode="External"/><Relationship Id="rId36" Type="http://schemas.openxmlformats.org/officeDocument/2006/relationships/hyperlink" Target="javascript:show(%22DI1F2031%22)" TargetMode="External"/><Relationship Id="rId10" Type="http://schemas.openxmlformats.org/officeDocument/2006/relationships/hyperlink" Target="javascript:show(%22DI1M2021%22)" TargetMode="External"/><Relationship Id="rId19" Type="http://schemas.openxmlformats.org/officeDocument/2006/relationships/hyperlink" Target="javascript:show(%22DI1F2023%22)" TargetMode="External"/><Relationship Id="rId31" Type="http://schemas.openxmlformats.org/officeDocument/2006/relationships/hyperlink" Target="javascript:show(%22DI1N2026%22)" TargetMode="External"/><Relationship Id="rId4" Type="http://schemas.openxmlformats.org/officeDocument/2006/relationships/hyperlink" Target="javascript:show(%22DI1Z2020%22)" TargetMode="External"/><Relationship Id="rId9" Type="http://schemas.openxmlformats.org/officeDocument/2006/relationships/hyperlink" Target="javascript:show(%22DI1K2021%22)" TargetMode="External"/><Relationship Id="rId14" Type="http://schemas.openxmlformats.org/officeDocument/2006/relationships/hyperlink" Target="javascript:show(%22DI1V2021%22)" TargetMode="External"/><Relationship Id="rId22" Type="http://schemas.openxmlformats.org/officeDocument/2006/relationships/hyperlink" Target="javascript:show(%22DI1V2023%22)" TargetMode="External"/><Relationship Id="rId27" Type="http://schemas.openxmlformats.org/officeDocument/2006/relationships/hyperlink" Target="javascript:show(%22DI1F2025%22)" TargetMode="External"/><Relationship Id="rId30" Type="http://schemas.openxmlformats.org/officeDocument/2006/relationships/hyperlink" Target="javascript:show(%22DI1F2026%22)" TargetMode="External"/><Relationship Id="rId35" Type="http://schemas.openxmlformats.org/officeDocument/2006/relationships/hyperlink" Target="javascript:show(%22DI1F2030%22)" TargetMode="External"/><Relationship Id="rId8" Type="http://schemas.openxmlformats.org/officeDocument/2006/relationships/hyperlink" Target="javascript:show(%22DI1J2021%22)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3.com.br/pt_br/market-data-e-indices/servicos-de-dados/market-data/consultas/mercado-de-derivativos/precos-referenciais/taxas-referenciais-bm-fbovespa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228600</xdr:colOff>
      <xdr:row>3</xdr:row>
      <xdr:rowOff>9525</xdr:rowOff>
    </xdr:to>
    <xdr:pic>
      <xdr:nvPicPr>
        <xdr:cNvPr id="2" name="Picture 1" descr="Ver gráfico">
          <a:hlinkClick xmlns:r="http://schemas.openxmlformats.org/officeDocument/2006/relationships" r:id="rId1" tgtFrame="_top"/>
          <a:extLst>
            <a:ext uri="{FF2B5EF4-FFF2-40B4-BE49-F238E27FC236}">
              <a16:creationId xmlns:a16="http://schemas.microsoft.com/office/drawing/2014/main" id="{674365B7-A033-436A-870F-B19F76E75E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228600</xdr:colOff>
      <xdr:row>4</xdr:row>
      <xdr:rowOff>9525</xdr:rowOff>
    </xdr:to>
    <xdr:pic>
      <xdr:nvPicPr>
        <xdr:cNvPr id="3" name="Picture 2" descr="Ver gráfico">
          <a:hlinkClick xmlns:r="http://schemas.openxmlformats.org/officeDocument/2006/relationships" r:id="rId3" tgtFrame="_top"/>
          <a:extLst>
            <a:ext uri="{FF2B5EF4-FFF2-40B4-BE49-F238E27FC236}">
              <a16:creationId xmlns:a16="http://schemas.microsoft.com/office/drawing/2014/main" id="{9F69BE7D-6658-4430-A266-193F7EF5C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63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228600</xdr:colOff>
      <xdr:row>5</xdr:row>
      <xdr:rowOff>9525</xdr:rowOff>
    </xdr:to>
    <xdr:pic>
      <xdr:nvPicPr>
        <xdr:cNvPr id="4" name="Picture 3" descr="Ver gráfico">
          <a:hlinkClick xmlns:r="http://schemas.openxmlformats.org/officeDocument/2006/relationships" r:id="rId4" tgtFrame="_top"/>
          <a:extLst>
            <a:ext uri="{FF2B5EF4-FFF2-40B4-BE49-F238E27FC236}">
              <a16:creationId xmlns:a16="http://schemas.microsoft.com/office/drawing/2014/main" id="{D4030BC4-5B96-4449-BB61-05CC1DAA3D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228600</xdr:colOff>
      <xdr:row>6</xdr:row>
      <xdr:rowOff>9525</xdr:rowOff>
    </xdr:to>
    <xdr:pic>
      <xdr:nvPicPr>
        <xdr:cNvPr id="5" name="Picture 4" descr="Ver gráfico">
          <a:hlinkClick xmlns:r="http://schemas.openxmlformats.org/officeDocument/2006/relationships" r:id="rId5" tgtFrame="_top"/>
          <a:extLst>
            <a:ext uri="{FF2B5EF4-FFF2-40B4-BE49-F238E27FC236}">
              <a16:creationId xmlns:a16="http://schemas.microsoft.com/office/drawing/2014/main" id="{A7F2757C-6BB1-48F7-81FC-83EE6CB27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144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228600</xdr:colOff>
      <xdr:row>7</xdr:row>
      <xdr:rowOff>9525</xdr:rowOff>
    </xdr:to>
    <xdr:pic>
      <xdr:nvPicPr>
        <xdr:cNvPr id="6" name="Picture 5" descr="Ver gráfico">
          <a:hlinkClick xmlns:r="http://schemas.openxmlformats.org/officeDocument/2006/relationships" r:id="rId6" tgtFrame="_top"/>
          <a:extLst>
            <a:ext uri="{FF2B5EF4-FFF2-40B4-BE49-F238E27FC236}">
              <a16:creationId xmlns:a16="http://schemas.microsoft.com/office/drawing/2014/main" id="{794AB657-409B-4F0C-BD7A-1C6B2FCC8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228600</xdr:colOff>
      <xdr:row>8</xdr:row>
      <xdr:rowOff>9525</xdr:rowOff>
    </xdr:to>
    <xdr:pic>
      <xdr:nvPicPr>
        <xdr:cNvPr id="7" name="Picture 6" descr="Ver gráfico">
          <a:hlinkClick xmlns:r="http://schemas.openxmlformats.org/officeDocument/2006/relationships" r:id="rId7" tgtFrame="_top"/>
          <a:extLst>
            <a:ext uri="{FF2B5EF4-FFF2-40B4-BE49-F238E27FC236}">
              <a16:creationId xmlns:a16="http://schemas.microsoft.com/office/drawing/2014/main" id="{12AD5062-3737-45C8-BD11-8D3E441D26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526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228600</xdr:colOff>
      <xdr:row>9</xdr:row>
      <xdr:rowOff>9525</xdr:rowOff>
    </xdr:to>
    <xdr:pic>
      <xdr:nvPicPr>
        <xdr:cNvPr id="8" name="Picture 7" descr="Ver gráfico">
          <a:hlinkClick xmlns:r="http://schemas.openxmlformats.org/officeDocument/2006/relationships" r:id="rId8" tgtFrame="_top"/>
          <a:extLst>
            <a:ext uri="{FF2B5EF4-FFF2-40B4-BE49-F238E27FC236}">
              <a16:creationId xmlns:a16="http://schemas.microsoft.com/office/drawing/2014/main" id="{8433F7A9-6116-4473-B09C-498F272C7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228600</xdr:colOff>
      <xdr:row>10</xdr:row>
      <xdr:rowOff>9525</xdr:rowOff>
    </xdr:to>
    <xdr:pic>
      <xdr:nvPicPr>
        <xdr:cNvPr id="9" name="Picture 8" descr="Ver gráfico">
          <a:hlinkClick xmlns:r="http://schemas.openxmlformats.org/officeDocument/2006/relationships" r:id="rId9" tgtFrame="_top"/>
          <a:extLst>
            <a:ext uri="{FF2B5EF4-FFF2-40B4-BE49-F238E27FC236}">
              <a16:creationId xmlns:a16="http://schemas.microsoft.com/office/drawing/2014/main" id="{44BD8A62-CF2A-42ED-9014-ABCB15745E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907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228600</xdr:colOff>
      <xdr:row>11</xdr:row>
      <xdr:rowOff>9525</xdr:rowOff>
    </xdr:to>
    <xdr:pic>
      <xdr:nvPicPr>
        <xdr:cNvPr id="10" name="Picture 9" descr="Ver gráfico">
          <a:hlinkClick xmlns:r="http://schemas.openxmlformats.org/officeDocument/2006/relationships" r:id="rId10" tgtFrame="_top"/>
          <a:extLst>
            <a:ext uri="{FF2B5EF4-FFF2-40B4-BE49-F238E27FC236}">
              <a16:creationId xmlns:a16="http://schemas.microsoft.com/office/drawing/2014/main" id="{1693E254-3408-4F26-A7BD-F2245C7E91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98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228600</xdr:colOff>
      <xdr:row>12</xdr:row>
      <xdr:rowOff>9525</xdr:rowOff>
    </xdr:to>
    <xdr:pic>
      <xdr:nvPicPr>
        <xdr:cNvPr id="11" name="Picture 10" descr="Ver gráfico">
          <a:hlinkClick xmlns:r="http://schemas.openxmlformats.org/officeDocument/2006/relationships" r:id="rId11" tgtFrame="_top"/>
          <a:extLst>
            <a:ext uri="{FF2B5EF4-FFF2-40B4-BE49-F238E27FC236}">
              <a16:creationId xmlns:a16="http://schemas.microsoft.com/office/drawing/2014/main" id="{59A6775F-59F8-4457-BBE5-83531B269B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89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228600</xdr:colOff>
      <xdr:row>13</xdr:row>
      <xdr:rowOff>9525</xdr:rowOff>
    </xdr:to>
    <xdr:pic>
      <xdr:nvPicPr>
        <xdr:cNvPr id="12" name="Picture 11" descr="Ver gráfico">
          <a:hlinkClick xmlns:r="http://schemas.openxmlformats.org/officeDocument/2006/relationships" r:id="rId12" tgtFrame="_top"/>
          <a:extLst>
            <a:ext uri="{FF2B5EF4-FFF2-40B4-BE49-F238E27FC236}">
              <a16:creationId xmlns:a16="http://schemas.microsoft.com/office/drawing/2014/main" id="{4DF99CA4-FFE0-40AC-A43F-68C1148731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228600</xdr:colOff>
      <xdr:row>14</xdr:row>
      <xdr:rowOff>9525</xdr:rowOff>
    </xdr:to>
    <xdr:pic>
      <xdr:nvPicPr>
        <xdr:cNvPr id="13" name="Picture 12" descr="Ver gráfico">
          <a:hlinkClick xmlns:r="http://schemas.openxmlformats.org/officeDocument/2006/relationships" r:id="rId13" tgtFrame="_top"/>
          <a:extLst>
            <a:ext uri="{FF2B5EF4-FFF2-40B4-BE49-F238E27FC236}">
              <a16:creationId xmlns:a16="http://schemas.microsoft.com/office/drawing/2014/main" id="{EF51FBC5-FAA7-4C20-87D5-14B61D1E3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670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9525</xdr:rowOff>
    </xdr:to>
    <xdr:pic>
      <xdr:nvPicPr>
        <xdr:cNvPr id="14" name="Picture 13" descr="Ver gráfico">
          <a:hlinkClick xmlns:r="http://schemas.openxmlformats.org/officeDocument/2006/relationships" r:id="rId14" tgtFrame="_top"/>
          <a:extLst>
            <a:ext uri="{FF2B5EF4-FFF2-40B4-BE49-F238E27FC236}">
              <a16:creationId xmlns:a16="http://schemas.microsoft.com/office/drawing/2014/main" id="{DA25E007-F365-4D48-BC5D-0A4F420A4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86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228600</xdr:colOff>
      <xdr:row>16</xdr:row>
      <xdr:rowOff>9525</xdr:rowOff>
    </xdr:to>
    <xdr:pic>
      <xdr:nvPicPr>
        <xdr:cNvPr id="15" name="Picture 14" descr="Ver gráfico">
          <a:hlinkClick xmlns:r="http://schemas.openxmlformats.org/officeDocument/2006/relationships" r:id="rId15" tgtFrame="_top"/>
          <a:extLst>
            <a:ext uri="{FF2B5EF4-FFF2-40B4-BE49-F238E27FC236}">
              <a16:creationId xmlns:a16="http://schemas.microsoft.com/office/drawing/2014/main" id="{A9C63FD5-3732-4C1A-9273-C1C91E941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052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228600</xdr:colOff>
      <xdr:row>17</xdr:row>
      <xdr:rowOff>9525</xdr:rowOff>
    </xdr:to>
    <xdr:pic>
      <xdr:nvPicPr>
        <xdr:cNvPr id="16" name="Picture 15" descr="Ver gráfico">
          <a:hlinkClick xmlns:r="http://schemas.openxmlformats.org/officeDocument/2006/relationships" r:id="rId16" tgtFrame="_top"/>
          <a:extLst>
            <a:ext uri="{FF2B5EF4-FFF2-40B4-BE49-F238E27FC236}">
              <a16:creationId xmlns:a16="http://schemas.microsoft.com/office/drawing/2014/main" id="{4F25CA5D-A532-4F4B-83B5-6485F0286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243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228600</xdr:colOff>
      <xdr:row>18</xdr:row>
      <xdr:rowOff>9525</xdr:rowOff>
    </xdr:to>
    <xdr:pic>
      <xdr:nvPicPr>
        <xdr:cNvPr id="17" name="Picture 16" descr="Ver gráfico">
          <a:hlinkClick xmlns:r="http://schemas.openxmlformats.org/officeDocument/2006/relationships" r:id="rId17" tgtFrame="_top"/>
          <a:extLst>
            <a:ext uri="{FF2B5EF4-FFF2-40B4-BE49-F238E27FC236}">
              <a16:creationId xmlns:a16="http://schemas.microsoft.com/office/drawing/2014/main" id="{5D32F229-123A-4924-BD03-A642C5DDE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433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228600</xdr:colOff>
      <xdr:row>19</xdr:row>
      <xdr:rowOff>9525</xdr:rowOff>
    </xdr:to>
    <xdr:pic>
      <xdr:nvPicPr>
        <xdr:cNvPr id="18" name="Picture 17" descr="Ver gráfico">
          <a:hlinkClick xmlns:r="http://schemas.openxmlformats.org/officeDocument/2006/relationships" r:id="rId18" tgtFrame="_top"/>
          <a:extLst>
            <a:ext uri="{FF2B5EF4-FFF2-40B4-BE49-F238E27FC236}">
              <a16:creationId xmlns:a16="http://schemas.microsoft.com/office/drawing/2014/main" id="{70C44CA2-5D41-4D7E-86C2-98CB1A3BD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62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228600</xdr:colOff>
      <xdr:row>20</xdr:row>
      <xdr:rowOff>9525</xdr:rowOff>
    </xdr:to>
    <xdr:pic>
      <xdr:nvPicPr>
        <xdr:cNvPr id="19" name="Picture 18" descr="Ver gráfico">
          <a:hlinkClick xmlns:r="http://schemas.openxmlformats.org/officeDocument/2006/relationships" r:id="rId19" tgtFrame="_top"/>
          <a:extLst>
            <a:ext uri="{FF2B5EF4-FFF2-40B4-BE49-F238E27FC236}">
              <a16:creationId xmlns:a16="http://schemas.microsoft.com/office/drawing/2014/main" id="{2C76907D-DA49-4099-A523-A54B8C04A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815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228600</xdr:colOff>
      <xdr:row>21</xdr:row>
      <xdr:rowOff>9525</xdr:rowOff>
    </xdr:to>
    <xdr:pic>
      <xdr:nvPicPr>
        <xdr:cNvPr id="20" name="Picture 19" descr="Ver gráfico">
          <a:hlinkClick xmlns:r="http://schemas.openxmlformats.org/officeDocument/2006/relationships" r:id="rId20" tgtFrame="_top"/>
          <a:extLst>
            <a:ext uri="{FF2B5EF4-FFF2-40B4-BE49-F238E27FC236}">
              <a16:creationId xmlns:a16="http://schemas.microsoft.com/office/drawing/2014/main" id="{1E37A4E3-119B-4464-BC78-12F0D31CC5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228600</xdr:colOff>
      <xdr:row>22</xdr:row>
      <xdr:rowOff>9525</xdr:rowOff>
    </xdr:to>
    <xdr:pic>
      <xdr:nvPicPr>
        <xdr:cNvPr id="21" name="Picture 20" descr="Ver gráfico">
          <a:hlinkClick xmlns:r="http://schemas.openxmlformats.org/officeDocument/2006/relationships" r:id="rId21" tgtFrame="_top"/>
          <a:extLst>
            <a:ext uri="{FF2B5EF4-FFF2-40B4-BE49-F238E27FC236}">
              <a16:creationId xmlns:a16="http://schemas.microsoft.com/office/drawing/2014/main" id="{23433319-FAC2-4B08-95B8-0C996D3EB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96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228600</xdr:colOff>
      <xdr:row>23</xdr:row>
      <xdr:rowOff>9525</xdr:rowOff>
    </xdr:to>
    <xdr:pic>
      <xdr:nvPicPr>
        <xdr:cNvPr id="22" name="Picture 21" descr="Ver gráfico">
          <a:hlinkClick xmlns:r="http://schemas.openxmlformats.org/officeDocument/2006/relationships" r:id="rId22" tgtFrame="_top"/>
          <a:extLst>
            <a:ext uri="{FF2B5EF4-FFF2-40B4-BE49-F238E27FC236}">
              <a16:creationId xmlns:a16="http://schemas.microsoft.com/office/drawing/2014/main" id="{B4005527-CE12-416D-89D1-01D160D087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228600</xdr:colOff>
      <xdr:row>24</xdr:row>
      <xdr:rowOff>9525</xdr:rowOff>
    </xdr:to>
    <xdr:pic>
      <xdr:nvPicPr>
        <xdr:cNvPr id="23" name="Picture 22" descr="Ver gráfico">
          <a:hlinkClick xmlns:r="http://schemas.openxmlformats.org/officeDocument/2006/relationships" r:id="rId23" tgtFrame="_top"/>
          <a:extLst>
            <a:ext uri="{FF2B5EF4-FFF2-40B4-BE49-F238E27FC236}">
              <a16:creationId xmlns:a16="http://schemas.microsoft.com/office/drawing/2014/main" id="{85CEDFB4-878C-45C7-B945-2ACCDA94F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578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228600</xdr:colOff>
      <xdr:row>25</xdr:row>
      <xdr:rowOff>9525</xdr:rowOff>
    </xdr:to>
    <xdr:pic>
      <xdr:nvPicPr>
        <xdr:cNvPr id="24" name="Picture 23" descr="Ver gráfico">
          <a:hlinkClick xmlns:r="http://schemas.openxmlformats.org/officeDocument/2006/relationships" r:id="rId24" tgtFrame="_top"/>
          <a:extLst>
            <a:ext uri="{FF2B5EF4-FFF2-40B4-BE49-F238E27FC236}">
              <a16:creationId xmlns:a16="http://schemas.microsoft.com/office/drawing/2014/main" id="{3ECA757F-0E50-45A8-96F1-45981A290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76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228600</xdr:colOff>
      <xdr:row>26</xdr:row>
      <xdr:rowOff>9525</xdr:rowOff>
    </xdr:to>
    <xdr:pic>
      <xdr:nvPicPr>
        <xdr:cNvPr id="25" name="Picture 24" descr="Ver gráfico">
          <a:hlinkClick xmlns:r="http://schemas.openxmlformats.org/officeDocument/2006/relationships" r:id="rId25" tgtFrame="_top"/>
          <a:extLst>
            <a:ext uri="{FF2B5EF4-FFF2-40B4-BE49-F238E27FC236}">
              <a16:creationId xmlns:a16="http://schemas.microsoft.com/office/drawing/2014/main" id="{F5D30C2D-29F7-4A4C-8B36-BBB0DD8844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959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228600</xdr:colOff>
      <xdr:row>27</xdr:row>
      <xdr:rowOff>9525</xdr:rowOff>
    </xdr:to>
    <xdr:pic>
      <xdr:nvPicPr>
        <xdr:cNvPr id="26" name="Picture 25" descr="Ver gráfico">
          <a:hlinkClick xmlns:r="http://schemas.openxmlformats.org/officeDocument/2006/relationships" r:id="rId26" tgtFrame="_top"/>
          <a:extLst>
            <a:ext uri="{FF2B5EF4-FFF2-40B4-BE49-F238E27FC236}">
              <a16:creationId xmlns:a16="http://schemas.microsoft.com/office/drawing/2014/main" id="{401D20DC-85A6-47CE-B377-8764319865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15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228600</xdr:colOff>
      <xdr:row>28</xdr:row>
      <xdr:rowOff>9525</xdr:rowOff>
    </xdr:to>
    <xdr:pic>
      <xdr:nvPicPr>
        <xdr:cNvPr id="27" name="Picture 26" descr="Ver gráfico">
          <a:hlinkClick xmlns:r="http://schemas.openxmlformats.org/officeDocument/2006/relationships" r:id="rId27" tgtFrame="_top"/>
          <a:extLst>
            <a:ext uri="{FF2B5EF4-FFF2-40B4-BE49-F238E27FC236}">
              <a16:creationId xmlns:a16="http://schemas.microsoft.com/office/drawing/2014/main" id="{033D9FB0-E18E-41CC-89E4-F4D92E3F8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341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228600</xdr:colOff>
      <xdr:row>29</xdr:row>
      <xdr:rowOff>9525</xdr:rowOff>
    </xdr:to>
    <xdr:pic>
      <xdr:nvPicPr>
        <xdr:cNvPr id="28" name="Picture 27" descr="Ver gráfico">
          <a:hlinkClick xmlns:r="http://schemas.openxmlformats.org/officeDocument/2006/relationships" r:id="rId28" tgtFrame="_top"/>
          <a:extLst>
            <a:ext uri="{FF2B5EF4-FFF2-40B4-BE49-F238E27FC236}">
              <a16:creationId xmlns:a16="http://schemas.microsoft.com/office/drawing/2014/main" id="{7736A38D-41A7-450D-80A0-FBE44AC33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53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228600</xdr:colOff>
      <xdr:row>30</xdr:row>
      <xdr:rowOff>9525</xdr:rowOff>
    </xdr:to>
    <xdr:pic>
      <xdr:nvPicPr>
        <xdr:cNvPr id="29" name="Picture 28" descr="Ver gráfico">
          <a:hlinkClick xmlns:r="http://schemas.openxmlformats.org/officeDocument/2006/relationships" r:id="rId29" tgtFrame="_top"/>
          <a:extLst>
            <a:ext uri="{FF2B5EF4-FFF2-40B4-BE49-F238E27FC236}">
              <a16:creationId xmlns:a16="http://schemas.microsoft.com/office/drawing/2014/main" id="{4FC5C758-CD8A-487A-B862-75A591FA6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722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228600</xdr:colOff>
      <xdr:row>31</xdr:row>
      <xdr:rowOff>9525</xdr:rowOff>
    </xdr:to>
    <xdr:pic>
      <xdr:nvPicPr>
        <xdr:cNvPr id="30" name="Picture 29" descr="Ver gráfico">
          <a:hlinkClick xmlns:r="http://schemas.openxmlformats.org/officeDocument/2006/relationships" r:id="rId30" tgtFrame="_top"/>
          <a:extLst>
            <a:ext uri="{FF2B5EF4-FFF2-40B4-BE49-F238E27FC236}">
              <a16:creationId xmlns:a16="http://schemas.microsoft.com/office/drawing/2014/main" id="{C7309F18-2C03-41F9-9131-21117FD52D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913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228600</xdr:colOff>
      <xdr:row>32</xdr:row>
      <xdr:rowOff>9525</xdr:rowOff>
    </xdr:to>
    <xdr:pic>
      <xdr:nvPicPr>
        <xdr:cNvPr id="31" name="Picture 30" descr="Ver gráfico">
          <a:hlinkClick xmlns:r="http://schemas.openxmlformats.org/officeDocument/2006/relationships" r:id="rId31" tgtFrame="_top"/>
          <a:extLst>
            <a:ext uri="{FF2B5EF4-FFF2-40B4-BE49-F238E27FC236}">
              <a16:creationId xmlns:a16="http://schemas.microsoft.com/office/drawing/2014/main" id="{858A63CF-0669-425A-955C-7F2CA3E07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104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228600</xdr:colOff>
      <xdr:row>33</xdr:row>
      <xdr:rowOff>9525</xdr:rowOff>
    </xdr:to>
    <xdr:pic>
      <xdr:nvPicPr>
        <xdr:cNvPr id="32" name="Picture 31" descr="Ver gráfico">
          <a:hlinkClick xmlns:r="http://schemas.openxmlformats.org/officeDocument/2006/relationships" r:id="rId32" tgtFrame="_top"/>
          <a:extLst>
            <a:ext uri="{FF2B5EF4-FFF2-40B4-BE49-F238E27FC236}">
              <a16:creationId xmlns:a16="http://schemas.microsoft.com/office/drawing/2014/main" id="{21B50CB3-482D-4EDC-BFC9-6419517E1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29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228600</xdr:colOff>
      <xdr:row>34</xdr:row>
      <xdr:rowOff>9525</xdr:rowOff>
    </xdr:to>
    <xdr:pic>
      <xdr:nvPicPr>
        <xdr:cNvPr id="33" name="Picture 32" descr="Ver gráfico">
          <a:hlinkClick xmlns:r="http://schemas.openxmlformats.org/officeDocument/2006/relationships" r:id="rId33" tgtFrame="_top"/>
          <a:extLst>
            <a:ext uri="{FF2B5EF4-FFF2-40B4-BE49-F238E27FC236}">
              <a16:creationId xmlns:a16="http://schemas.microsoft.com/office/drawing/2014/main" id="{86D08E8E-B56E-4135-AD22-A63B8C352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4857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228600</xdr:colOff>
      <xdr:row>35</xdr:row>
      <xdr:rowOff>9525</xdr:rowOff>
    </xdr:to>
    <xdr:pic>
      <xdr:nvPicPr>
        <xdr:cNvPr id="34" name="Picture 33" descr="Ver gráfico">
          <a:hlinkClick xmlns:r="http://schemas.openxmlformats.org/officeDocument/2006/relationships" r:id="rId34" tgtFrame="_top"/>
          <a:extLst>
            <a:ext uri="{FF2B5EF4-FFF2-40B4-BE49-F238E27FC236}">
              <a16:creationId xmlns:a16="http://schemas.microsoft.com/office/drawing/2014/main" id="{7CFC7430-999F-4717-B50B-39705A396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676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228600</xdr:colOff>
      <xdr:row>36</xdr:row>
      <xdr:rowOff>9525</xdr:rowOff>
    </xdr:to>
    <xdr:pic>
      <xdr:nvPicPr>
        <xdr:cNvPr id="35" name="Picture 34" descr="Ver gráfico">
          <a:hlinkClick xmlns:r="http://schemas.openxmlformats.org/officeDocument/2006/relationships" r:id="rId35" tgtFrame="_top"/>
          <a:extLst>
            <a:ext uri="{FF2B5EF4-FFF2-40B4-BE49-F238E27FC236}">
              <a16:creationId xmlns:a16="http://schemas.microsoft.com/office/drawing/2014/main" id="{8D39B487-1F09-411B-9210-436456D50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86725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228600</xdr:colOff>
      <xdr:row>37</xdr:row>
      <xdr:rowOff>9525</xdr:rowOff>
    </xdr:to>
    <xdr:pic>
      <xdr:nvPicPr>
        <xdr:cNvPr id="36" name="Picture 35" descr="Ver gráfico">
          <a:hlinkClick xmlns:r="http://schemas.openxmlformats.org/officeDocument/2006/relationships" r:id="rId36" tgtFrame="_top"/>
          <a:extLst>
            <a:ext uri="{FF2B5EF4-FFF2-40B4-BE49-F238E27FC236}">
              <a16:creationId xmlns:a16="http://schemas.microsoft.com/office/drawing/2014/main" id="{A6F1C7D3-AA96-4D2D-A253-957DFD3EA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058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0</xdr:rowOff>
    </xdr:from>
    <xdr:to>
      <xdr:col>11</xdr:col>
      <xdr:colOff>1133475</xdr:colOff>
      <xdr:row>14</xdr:row>
      <xdr:rowOff>171450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D2C00CC-312D-C5C7-5FFB-380079B7F6BF}"/>
            </a:ext>
          </a:extLst>
        </xdr:cNvPr>
        <xdr:cNvSpPr/>
      </xdr:nvSpPr>
      <xdr:spPr>
        <a:xfrm>
          <a:off x="8743950" y="171450"/>
          <a:ext cx="8153400" cy="2895600"/>
        </a:xfrm>
        <a:prstGeom prst="roundRect">
          <a:avLst>
            <a:gd name="adj" fmla="val 7509"/>
          </a:avLst>
        </a:prstGeom>
        <a:solidFill>
          <a:srgbClr val="0000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 u="sng"/>
            <a:t>Descrição</a:t>
          </a:r>
          <a:r>
            <a:rPr lang="pt-BR" sz="2000" b="1" u="sng" baseline="0"/>
            <a:t> da modelagem</a:t>
          </a:r>
        </a:p>
        <a:p>
          <a:pPr algn="l"/>
          <a:r>
            <a:rPr lang="pt-BR" sz="2000" b="0" u="none" baseline="0"/>
            <a:t>- Modelo projeta desconto de duplicatas de 3 meses de prazo bullet com revolvência da carteira a cada mês.</a:t>
          </a:r>
        </a:p>
        <a:p>
          <a:pPr algn="l"/>
          <a:r>
            <a:rPr lang="pt-BR" sz="2000" b="0" u="none" baseline="0"/>
            <a:t>- Volume operado até R$ 8 milhões mensais</a:t>
          </a:r>
        </a:p>
        <a:p>
          <a:pPr algn="l"/>
          <a:r>
            <a:rPr lang="pt-BR" sz="2000" b="0" u="none" baseline="0"/>
            <a:t>- Desconto ocorre em fluxo bullet.</a:t>
          </a:r>
        </a:p>
        <a:p>
          <a:pPr algn="l"/>
          <a:r>
            <a:rPr lang="pt-BR" sz="2000" b="0" u="none" baseline="0"/>
            <a:t>- Senior: 1 ano de carência a CDI+2%</a:t>
          </a:r>
          <a:br>
            <a:rPr lang="pt-BR" sz="2000" b="0" u="none" baseline="0"/>
          </a:br>
          <a:r>
            <a:rPr lang="pt-BR" sz="2000" b="0" u="none" baseline="0"/>
            <a:t>- Mezanina: 2 anos de carência a CDI+3%</a:t>
          </a:r>
        </a:p>
        <a:p>
          <a:pPr algn="l"/>
          <a:r>
            <a:rPr lang="pt-BR" sz="2000" b="0" u="none" baseline="0"/>
            <a:t>- FIDC Monocedente &amp; Multisacados.</a:t>
          </a:r>
        </a:p>
        <a:p>
          <a:pPr algn="l"/>
          <a:endParaRPr lang="pt-BR" sz="2000" b="0" u="none" baseline="0"/>
        </a:p>
        <a:p>
          <a:pPr algn="ctr"/>
          <a:endParaRPr lang="pt-BR" sz="2000"/>
        </a:p>
      </xdr:txBody>
    </xdr:sp>
    <xdr:clientData/>
  </xdr:twoCellAnchor>
  <xdr:twoCellAnchor>
    <xdr:from>
      <xdr:col>6</xdr:col>
      <xdr:colOff>38100</xdr:colOff>
      <xdr:row>33</xdr:row>
      <xdr:rowOff>9525</xdr:rowOff>
    </xdr:from>
    <xdr:to>
      <xdr:col>9</xdr:col>
      <xdr:colOff>847725</xdr:colOff>
      <xdr:row>49</xdr:row>
      <xdr:rowOff>114300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65B4BF4C-AC7C-F6BF-1306-77598F9A53D5}"/>
            </a:ext>
          </a:extLst>
        </xdr:cNvPr>
        <xdr:cNvGrpSpPr/>
      </xdr:nvGrpSpPr>
      <xdr:grpSpPr>
        <a:xfrm>
          <a:off x="8410575" y="6886575"/>
          <a:ext cx="5934075" cy="3457575"/>
          <a:chOff x="8410575" y="857250"/>
          <a:chExt cx="5934075" cy="3457575"/>
        </a:xfrm>
      </xdr:grpSpPr>
      <xdr:pic>
        <xdr:nvPicPr>
          <xdr:cNvPr id="4" name="Gráfico 3" descr="Aviso com preenchimento sólido">
            <a:extLst>
              <a:ext uri="{FF2B5EF4-FFF2-40B4-BE49-F238E27FC236}">
                <a16:creationId xmlns:a16="http://schemas.microsoft.com/office/drawing/2014/main" id="{5947244F-B52D-AEB9-D66C-87973C5FA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410575" y="1009650"/>
            <a:ext cx="914400" cy="91440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47E28B1-ABC3-9707-A58D-4B1ECE3C2862}"/>
              </a:ext>
            </a:extLst>
          </xdr:cNvPr>
          <xdr:cNvSpPr txBox="1"/>
        </xdr:nvSpPr>
        <xdr:spPr>
          <a:xfrm>
            <a:off x="9467850" y="857250"/>
            <a:ext cx="4876800" cy="34575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3200"/>
              <a:t>Não</a:t>
            </a:r>
            <a:r>
              <a:rPr lang="pt-BR" sz="3200" baseline="0"/>
              <a:t> editar o nome nem adicionar colunas nas abas "Inputs" e "Caixa".</a:t>
            </a:r>
            <a:br>
              <a:rPr lang="pt-BR" sz="3200" baseline="0"/>
            </a:br>
            <a:r>
              <a:rPr lang="pt-BR" sz="3200" baseline="0"/>
              <a:t>isso quebra as referências da macro de zeragem de caixa.</a:t>
            </a:r>
            <a:endParaRPr lang="pt-BR" sz="32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561976</xdr:colOff>
      <xdr:row>1</xdr:row>
      <xdr:rowOff>95250</xdr:rowOff>
    </xdr:from>
    <xdr:to>
      <xdr:col>14</xdr:col>
      <xdr:colOff>123826</xdr:colOff>
      <xdr:row>3</xdr:row>
      <xdr:rowOff>161925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AA177E-C074-28B1-1916-91D15F0CB00F}"/>
            </a:ext>
          </a:extLst>
        </xdr:cNvPr>
        <xdr:cNvSpPr/>
      </xdr:nvSpPr>
      <xdr:spPr>
        <a:xfrm>
          <a:off x="10201276" y="304800"/>
          <a:ext cx="1619250" cy="485775"/>
        </a:xfrm>
        <a:prstGeom prst="roundRect">
          <a:avLst/>
        </a:prstGeom>
        <a:solidFill>
          <a:srgbClr val="0000FF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Link</a:t>
          </a:r>
          <a:r>
            <a:rPr lang="pt-BR" sz="1100" b="1" baseline="0"/>
            <a:t> da Curva</a:t>
          </a:r>
          <a:endParaRPr lang="pt-B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100853</xdr:colOff>
      <xdr:row>0</xdr:row>
      <xdr:rowOff>168089</xdr:rowOff>
    </xdr:from>
    <xdr:to>
      <xdr:col>1</xdr:col>
      <xdr:colOff>3182470</xdr:colOff>
      <xdr:row>3</xdr:row>
      <xdr:rowOff>123266</xdr:rowOff>
    </xdr:to>
    <xdr:sp macro="[0]!ZeragemCaix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0A9E5F-F68E-CD56-A820-66B68AE6B6A7}"/>
            </a:ext>
          </a:extLst>
        </xdr:cNvPr>
        <xdr:cNvSpPr/>
      </xdr:nvSpPr>
      <xdr:spPr>
        <a:xfrm>
          <a:off x="784412" y="168089"/>
          <a:ext cx="3081617" cy="593912"/>
        </a:xfrm>
        <a:prstGeom prst="roundRect">
          <a:avLst/>
        </a:prstGeom>
        <a:solidFill>
          <a:srgbClr val="0000FF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Zeragem</a:t>
          </a:r>
          <a:r>
            <a:rPr lang="pt-BR" sz="2000" b="1" baseline="0"/>
            <a:t> de Caixa</a:t>
          </a:r>
          <a:endParaRPr lang="pt-BR" sz="2000" b="1"/>
        </a:p>
      </xdr:txBody>
    </xdr:sp>
    <xdr:clientData/>
  </xdr:twoCellAnchor>
  <xdr:twoCellAnchor>
    <xdr:from>
      <xdr:col>0</xdr:col>
      <xdr:colOff>555855</xdr:colOff>
      <xdr:row>61</xdr:row>
      <xdr:rowOff>154500</xdr:rowOff>
    </xdr:from>
    <xdr:to>
      <xdr:col>14</xdr:col>
      <xdr:colOff>898570</xdr:colOff>
      <xdr:row>81</xdr:row>
      <xdr:rowOff>178594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9D87D6D-111D-213C-334F-929BD5BED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570566</xdr:colOff>
      <xdr:row>82</xdr:row>
      <xdr:rowOff>107389</xdr:rowOff>
    </xdr:from>
    <xdr:to>
      <xdr:col>14</xdr:col>
      <xdr:colOff>984250</xdr:colOff>
      <xdr:row>104</xdr:row>
      <xdr:rowOff>111125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73AC29F-6695-47A3-85AE-E97D6BAAD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248397</xdr:colOff>
      <xdr:row>82</xdr:row>
      <xdr:rowOff>133538</xdr:rowOff>
    </xdr:from>
    <xdr:to>
      <xdr:col>31</xdr:col>
      <xdr:colOff>614455</xdr:colOff>
      <xdr:row>104</xdr:row>
      <xdr:rowOff>190500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9FB113C-EE65-46AE-8F1B-47015E766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237190</xdr:colOff>
      <xdr:row>61</xdr:row>
      <xdr:rowOff>149412</xdr:rowOff>
    </xdr:from>
    <xdr:to>
      <xdr:col>31</xdr:col>
      <xdr:colOff>625662</xdr:colOff>
      <xdr:row>81</xdr:row>
      <xdr:rowOff>205440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3980378-28D1-4DD7-9536-BE95D24FD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581770</xdr:colOff>
      <xdr:row>105</xdr:row>
      <xdr:rowOff>81245</xdr:rowOff>
    </xdr:from>
    <xdr:to>
      <xdr:col>14</xdr:col>
      <xdr:colOff>1006662</xdr:colOff>
      <xdr:row>137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DF97E3C-B66B-47FD-BA75-FF62E7D60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471579</xdr:colOff>
      <xdr:row>106</xdr:row>
      <xdr:rowOff>161736</xdr:rowOff>
    </xdr:from>
    <xdr:to>
      <xdr:col>24</xdr:col>
      <xdr:colOff>966508</xdr:colOff>
      <xdr:row>146</xdr:row>
      <xdr:rowOff>149412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Gráfico 9">
              <a:extLst>
                <a:ext uri="{FF2B5EF4-FFF2-40B4-BE49-F238E27FC236}">
                  <a16:creationId xmlns:a16="http://schemas.microsoft.com/office/drawing/2014/main" id="{9A430E8F-FDF8-1E9F-BCCE-B49D1BB2E9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46754" y="22374036"/>
              <a:ext cx="11048629" cy="8369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0</xdr:col>
      <xdr:colOff>440532</xdr:colOff>
      <xdr:row>2</xdr:row>
      <xdr:rowOff>38522</xdr:rowOff>
    </xdr:from>
    <xdr:to>
      <xdr:col>1</xdr:col>
      <xdr:colOff>100853</xdr:colOff>
      <xdr:row>16</xdr:row>
      <xdr:rowOff>113109</xdr:rowOff>
    </xdr:to>
    <xdr:cxnSp macro="">
      <xdr:nvCxnSpPr>
        <xdr:cNvPr id="9" name="Conector: Angulado 8">
          <a:extLst>
            <a:ext uri="{FF2B5EF4-FFF2-40B4-BE49-F238E27FC236}">
              <a16:creationId xmlns:a16="http://schemas.microsoft.com/office/drawing/2014/main" id="{0BE16518-84CA-CCF5-BAD9-CB73FCA4BF94}"/>
            </a:ext>
          </a:extLst>
        </xdr:cNvPr>
        <xdr:cNvCxnSpPr>
          <a:stCxn id="15" idx="2"/>
          <a:endCxn id="2" idx="1"/>
        </xdr:cNvCxnSpPr>
      </xdr:nvCxnSpPr>
      <xdr:spPr>
        <a:xfrm rot="10800000" flipH="1">
          <a:off x="440532" y="467147"/>
          <a:ext cx="350884" cy="3074962"/>
        </a:xfrm>
        <a:prstGeom prst="bentConnector3">
          <a:avLst>
            <a:gd name="adj1" fmla="val -65150"/>
          </a:avLst>
        </a:prstGeom>
        <a:ln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440532</xdr:colOff>
      <xdr:row>16</xdr:row>
      <xdr:rowOff>11905</xdr:rowOff>
    </xdr:from>
    <xdr:to>
      <xdr:col>0</xdr:col>
      <xdr:colOff>631031</xdr:colOff>
      <xdr:row>17</xdr:row>
      <xdr:rowOff>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F7120A98-2529-8292-32E4-33FD3B49D1DE}"/>
            </a:ext>
          </a:extLst>
        </xdr:cNvPr>
        <xdr:cNvSpPr/>
      </xdr:nvSpPr>
      <xdr:spPr>
        <a:xfrm>
          <a:off x="440532" y="3440905"/>
          <a:ext cx="190499" cy="202408"/>
        </a:xfrm>
        <a:prstGeom prst="ellipse">
          <a:avLst/>
        </a:prstGeom>
        <a:solidFill>
          <a:srgbClr val="0000FF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179293</xdr:colOff>
      <xdr:row>18</xdr:row>
      <xdr:rowOff>145676</xdr:rowOff>
    </xdr:from>
    <xdr:to>
      <xdr:col>0</xdr:col>
      <xdr:colOff>2599764</xdr:colOff>
      <xdr:row>35</xdr:row>
      <xdr:rowOff>179294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971D577-C116-DA6B-547E-056280D34322}"/>
            </a:ext>
          </a:extLst>
        </xdr:cNvPr>
        <xdr:cNvSpPr/>
      </xdr:nvSpPr>
      <xdr:spPr>
        <a:xfrm>
          <a:off x="179293" y="4202205"/>
          <a:ext cx="2420471" cy="3765177"/>
        </a:xfrm>
        <a:prstGeom prst="roundRect">
          <a:avLst>
            <a:gd name="adj" fmla="val 9438"/>
          </a:avLst>
        </a:prstGeom>
        <a:solidFill>
          <a:srgbClr val="00009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/>
            <a:t>Para</a:t>
          </a:r>
          <a:r>
            <a:rPr lang="pt-BR" sz="2000" b="1" baseline="0"/>
            <a:t> Modelos de</a:t>
          </a:r>
          <a:br>
            <a:rPr lang="pt-BR" sz="2000" b="1"/>
          </a:br>
          <a:r>
            <a:rPr lang="pt-BR" sz="2000" b="1"/>
            <a:t>Economia</a:t>
          </a:r>
          <a:br>
            <a:rPr lang="pt-BR" sz="2000" b="1"/>
          </a:br>
          <a:r>
            <a:rPr lang="pt-BR" sz="2000" b="1"/>
            <a:t>Tributária</a:t>
          </a:r>
        </a:p>
      </xdr:txBody>
    </xdr:sp>
    <xdr:clientData/>
  </xdr:twoCellAnchor>
  <xdr:twoCellAnchor>
    <xdr:from>
      <xdr:col>0</xdr:col>
      <xdr:colOff>168087</xdr:colOff>
      <xdr:row>2</xdr:row>
      <xdr:rowOff>100854</xdr:rowOff>
    </xdr:from>
    <xdr:to>
      <xdr:col>0</xdr:col>
      <xdr:colOff>2566146</xdr:colOff>
      <xdr:row>15</xdr:row>
      <xdr:rowOff>78442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07CE82-BC24-4F8E-8653-83C6383BFA94}"/>
            </a:ext>
          </a:extLst>
        </xdr:cNvPr>
        <xdr:cNvSpPr/>
      </xdr:nvSpPr>
      <xdr:spPr>
        <a:xfrm>
          <a:off x="168087" y="638736"/>
          <a:ext cx="2398059" cy="2857500"/>
        </a:xfrm>
        <a:prstGeom prst="roundRect">
          <a:avLst>
            <a:gd name="adj" fmla="val 9438"/>
          </a:avLst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/>
            <a:t>Para</a:t>
          </a:r>
          <a:r>
            <a:rPr lang="pt-BR" sz="2000" b="1" baseline="0"/>
            <a:t> Modelos de</a:t>
          </a:r>
          <a:br>
            <a:rPr lang="pt-BR" sz="2000" b="1"/>
          </a:br>
          <a:r>
            <a:rPr lang="pt-BR" sz="2000" b="1"/>
            <a:t>Mercado</a:t>
          </a:r>
        </a:p>
      </xdr:txBody>
    </xdr:sp>
    <xdr:clientData/>
  </xdr:twoCellAnchor>
  <xdr:twoCellAnchor>
    <xdr:from>
      <xdr:col>10</xdr:col>
      <xdr:colOff>420218</xdr:colOff>
      <xdr:row>40</xdr:row>
      <xdr:rowOff>12325</xdr:rowOff>
    </xdr:from>
    <xdr:to>
      <xdr:col>24</xdr:col>
      <xdr:colOff>201706</xdr:colOff>
      <xdr:row>60</xdr:row>
      <xdr:rowOff>44823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BE969B3-79F8-3D2F-72E0-F67FA8F817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425824</xdr:colOff>
      <xdr:row>60</xdr:row>
      <xdr:rowOff>156883</xdr:rowOff>
    </xdr:from>
    <xdr:to>
      <xdr:col>24</xdr:col>
      <xdr:colOff>207312</xdr:colOff>
      <xdr:row>80</xdr:row>
      <xdr:rowOff>189380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E98AE3D-43F5-447F-86B1-358EECF1A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437030</xdr:colOff>
      <xdr:row>81</xdr:row>
      <xdr:rowOff>78442</xdr:rowOff>
    </xdr:from>
    <xdr:to>
      <xdr:col>24</xdr:col>
      <xdr:colOff>218518</xdr:colOff>
      <xdr:row>101</xdr:row>
      <xdr:rowOff>110939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66759D1-7CF1-4126-8CC5-EC08439D2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40</xdr:row>
      <xdr:rowOff>0</xdr:rowOff>
    </xdr:from>
    <xdr:to>
      <xdr:col>43</xdr:col>
      <xdr:colOff>565900</xdr:colOff>
      <xdr:row>60</xdr:row>
      <xdr:rowOff>32498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1BC43569-21C3-4AF0-9C04-AD81551EF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60</xdr:row>
      <xdr:rowOff>201706</xdr:rowOff>
    </xdr:from>
    <xdr:to>
      <xdr:col>43</xdr:col>
      <xdr:colOff>565900</xdr:colOff>
      <xdr:row>81</xdr:row>
      <xdr:rowOff>21292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AD2A906-036C-496D-BC95-06F8A62CC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0</xdr:colOff>
      <xdr:row>81</xdr:row>
      <xdr:rowOff>145677</xdr:rowOff>
    </xdr:from>
    <xdr:to>
      <xdr:col>43</xdr:col>
      <xdr:colOff>565900</xdr:colOff>
      <xdr:row>101</xdr:row>
      <xdr:rowOff>178174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D63D5BE-7A95-408E-B617-31A5FB693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61632</xdr:colOff>
      <xdr:row>15</xdr:row>
      <xdr:rowOff>94967</xdr:rowOff>
    </xdr:from>
    <xdr:to>
      <xdr:col>25</xdr:col>
      <xdr:colOff>1037945</xdr:colOff>
      <xdr:row>34</xdr:row>
      <xdr:rowOff>30815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7B0973F8-A445-AB70-FCFA-E2D6EB4DF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Emiss&#245;es/Nexoos%20II/Precifica&#231;&#227;o/C&#243;pia%20de%20Modelo%20Simulac&#807;a&#771;o%20-%20Nexoos%202%20v6.xlsx" TargetMode="External"/><Relationship Id="rId1" Type="http://schemas.openxmlformats.org/officeDocument/2006/relationships/externalLinkPath" Target="/Emiss&#245;es/Nexoos%20II/Precifica&#231;&#227;o/C&#243;pia%20de%20Modelo%20Simulac&#807;a&#771;o%20-%20Nexoos%202%20v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lanilha1"/>
      <sheetName val="Simulação"/>
      <sheetName val="PU"/>
      <sheetName val="Aux"/>
      <sheetName val="Carteira"/>
      <sheetName val="Despesas"/>
      <sheetName val="Ratings"/>
      <sheetName val="Premissas"/>
      <sheetName val="Fluxos"/>
      <sheetName val="AA"/>
      <sheetName val="A1"/>
      <sheetName val="A2"/>
      <sheetName val="A3"/>
      <sheetName val="B1"/>
      <sheetName val="B2"/>
      <sheetName val="B3"/>
      <sheetName val="B4"/>
      <sheetName val="B5"/>
      <sheetName val="B6"/>
      <sheetName val="C1"/>
      <sheetName val="C2"/>
      <sheetName val="C3"/>
      <sheetName val="D1"/>
      <sheetName val="D2"/>
      <sheetName val="D3"/>
      <sheetName val="E1"/>
      <sheetName val="E2"/>
      <sheetName val="E3"/>
      <sheetName val="Review"/>
      <sheetName val="Taxes Modelling"/>
      <sheetName val="Header"/>
      <sheetName val="AA_old"/>
      <sheetName val="A1_old"/>
      <sheetName val="A2_old"/>
      <sheetName val="B1_old"/>
      <sheetName val="A3_old"/>
      <sheetName val="B2_old"/>
      <sheetName val="B3_old"/>
      <sheetName val="B4_old"/>
      <sheetName val="B5_old"/>
      <sheetName val="C1_old"/>
      <sheetName val="B6_old"/>
      <sheetName val="C2_old"/>
      <sheetName val="C3_old"/>
      <sheetName val="D1_old"/>
      <sheetName val="D2_old"/>
      <sheetName val="D3_old"/>
      <sheetName val="E2_old"/>
      <sheetName val="E3_old"/>
    </sheetNames>
    <sheetDataSet>
      <sheetData sheetId="0" refreshError="1"/>
      <sheetData sheetId="1"/>
      <sheetData sheetId="2" refreshError="1"/>
      <sheetData sheetId="3">
        <row r="1">
          <cell r="A1">
            <v>38390</v>
          </cell>
        </row>
        <row r="2">
          <cell r="A2">
            <v>38391</v>
          </cell>
        </row>
        <row r="3">
          <cell r="A3">
            <v>38436</v>
          </cell>
        </row>
        <row r="4">
          <cell r="A4">
            <v>38463</v>
          </cell>
        </row>
        <row r="5">
          <cell r="A5">
            <v>38498</v>
          </cell>
        </row>
        <row r="6">
          <cell r="A6">
            <v>38602</v>
          </cell>
        </row>
        <row r="7">
          <cell r="A7">
            <v>38637</v>
          </cell>
        </row>
        <row r="8">
          <cell r="A8">
            <v>38658</v>
          </cell>
        </row>
        <row r="9">
          <cell r="A9">
            <v>38671</v>
          </cell>
        </row>
        <row r="10">
          <cell r="A10">
            <v>38775</v>
          </cell>
        </row>
        <row r="11">
          <cell r="A11">
            <v>38776</v>
          </cell>
        </row>
        <row r="12">
          <cell r="A12">
            <v>38821</v>
          </cell>
        </row>
        <row r="13">
          <cell r="A13">
            <v>38828</v>
          </cell>
        </row>
        <row r="14">
          <cell r="A14">
            <v>38838</v>
          </cell>
        </row>
        <row r="15">
          <cell r="A15">
            <v>38883</v>
          </cell>
        </row>
        <row r="16">
          <cell r="A16">
            <v>38967</v>
          </cell>
        </row>
        <row r="17">
          <cell r="A17">
            <v>39002</v>
          </cell>
        </row>
        <row r="18">
          <cell r="A18">
            <v>39023</v>
          </cell>
        </row>
        <row r="19">
          <cell r="A19">
            <v>39036</v>
          </cell>
        </row>
        <row r="20">
          <cell r="A20">
            <v>39076</v>
          </cell>
        </row>
        <row r="21">
          <cell r="A21">
            <v>39083</v>
          </cell>
        </row>
        <row r="22">
          <cell r="A22">
            <v>39132</v>
          </cell>
        </row>
        <row r="23">
          <cell r="A23">
            <v>39133</v>
          </cell>
        </row>
        <row r="24">
          <cell r="A24">
            <v>39178</v>
          </cell>
        </row>
        <row r="25">
          <cell r="A25">
            <v>39203</v>
          </cell>
        </row>
        <row r="26">
          <cell r="A26">
            <v>39240</v>
          </cell>
        </row>
        <row r="27">
          <cell r="A27">
            <v>39332</v>
          </cell>
        </row>
        <row r="28">
          <cell r="A28">
            <v>39367</v>
          </cell>
        </row>
        <row r="29">
          <cell r="A29">
            <v>39388</v>
          </cell>
        </row>
        <row r="30">
          <cell r="A30">
            <v>39401</v>
          </cell>
        </row>
        <row r="31">
          <cell r="A31">
            <v>39441</v>
          </cell>
        </row>
        <row r="32">
          <cell r="A32">
            <v>39448</v>
          </cell>
        </row>
        <row r="33">
          <cell r="A33">
            <v>39482</v>
          </cell>
        </row>
        <row r="34">
          <cell r="A34">
            <v>39483</v>
          </cell>
        </row>
        <row r="35">
          <cell r="A35">
            <v>39528</v>
          </cell>
        </row>
        <row r="36">
          <cell r="A36">
            <v>39559</v>
          </cell>
        </row>
        <row r="37">
          <cell r="A37">
            <v>39569</v>
          </cell>
        </row>
        <row r="38">
          <cell r="A38">
            <v>39590</v>
          </cell>
        </row>
        <row r="39">
          <cell r="A39">
            <v>39807</v>
          </cell>
        </row>
        <row r="40">
          <cell r="A40">
            <v>39814</v>
          </cell>
        </row>
        <row r="41">
          <cell r="A41">
            <v>39867</v>
          </cell>
        </row>
        <row r="42">
          <cell r="A42">
            <v>39868</v>
          </cell>
        </row>
        <row r="43">
          <cell r="A43">
            <v>39913</v>
          </cell>
        </row>
        <row r="44">
          <cell r="A44">
            <v>39924</v>
          </cell>
        </row>
        <row r="45">
          <cell r="A45">
            <v>39934</v>
          </cell>
        </row>
        <row r="46">
          <cell r="A46">
            <v>39975</v>
          </cell>
        </row>
        <row r="47">
          <cell r="A47">
            <v>40063</v>
          </cell>
        </row>
        <row r="48">
          <cell r="A48">
            <v>40098</v>
          </cell>
        </row>
        <row r="49">
          <cell r="A49">
            <v>40119</v>
          </cell>
        </row>
        <row r="50">
          <cell r="A50">
            <v>40132</v>
          </cell>
        </row>
        <row r="51">
          <cell r="A51">
            <v>40137</v>
          </cell>
        </row>
        <row r="52">
          <cell r="A52">
            <v>40172</v>
          </cell>
        </row>
        <row r="53">
          <cell r="A53">
            <v>40179</v>
          </cell>
        </row>
        <row r="54">
          <cell r="A54">
            <v>40224</v>
          </cell>
        </row>
        <row r="55">
          <cell r="A55">
            <v>40225</v>
          </cell>
        </row>
        <row r="56">
          <cell r="A56">
            <v>40270</v>
          </cell>
        </row>
        <row r="57">
          <cell r="A57">
            <v>40289</v>
          </cell>
        </row>
        <row r="58">
          <cell r="A58">
            <v>40332</v>
          </cell>
        </row>
        <row r="59">
          <cell r="A59">
            <v>40428</v>
          </cell>
        </row>
        <row r="60">
          <cell r="A60">
            <v>40463</v>
          </cell>
        </row>
        <row r="61">
          <cell r="A61">
            <v>40484</v>
          </cell>
        </row>
        <row r="62">
          <cell r="A62">
            <v>40497</v>
          </cell>
        </row>
        <row r="63">
          <cell r="A63">
            <v>40544</v>
          </cell>
        </row>
        <row r="64">
          <cell r="A64">
            <v>40609</v>
          </cell>
        </row>
        <row r="65">
          <cell r="A65">
            <v>40610</v>
          </cell>
        </row>
        <row r="66">
          <cell r="A66">
            <v>40654</v>
          </cell>
        </row>
        <row r="67">
          <cell r="A67">
            <v>40655</v>
          </cell>
        </row>
        <row r="68">
          <cell r="A68">
            <v>40717</v>
          </cell>
        </row>
        <row r="69">
          <cell r="A69">
            <v>40793</v>
          </cell>
        </row>
        <row r="70">
          <cell r="A70">
            <v>40828</v>
          </cell>
        </row>
        <row r="71">
          <cell r="A71">
            <v>40849</v>
          </cell>
        </row>
        <row r="72">
          <cell r="A72">
            <v>40862</v>
          </cell>
        </row>
        <row r="73">
          <cell r="A73">
            <v>40959</v>
          </cell>
        </row>
        <row r="74">
          <cell r="A74">
            <v>40960</v>
          </cell>
        </row>
        <row r="75">
          <cell r="A75">
            <v>41005</v>
          </cell>
        </row>
        <row r="76">
          <cell r="A76">
            <v>41030</v>
          </cell>
        </row>
        <row r="77">
          <cell r="A77">
            <v>41067</v>
          </cell>
        </row>
        <row r="78">
          <cell r="A78">
            <v>41159</v>
          </cell>
        </row>
        <row r="79">
          <cell r="A79">
            <v>41194</v>
          </cell>
        </row>
        <row r="80">
          <cell r="A80">
            <v>41215</v>
          </cell>
        </row>
        <row r="81">
          <cell r="A81">
            <v>41228</v>
          </cell>
        </row>
        <row r="82">
          <cell r="A82">
            <v>41268</v>
          </cell>
        </row>
        <row r="83">
          <cell r="A83">
            <v>41275</v>
          </cell>
        </row>
        <row r="84">
          <cell r="A84">
            <v>41316</v>
          </cell>
        </row>
        <row r="85">
          <cell r="A85">
            <v>41317</v>
          </cell>
        </row>
        <row r="86">
          <cell r="A86">
            <v>41362</v>
          </cell>
        </row>
        <row r="87">
          <cell r="A87">
            <v>41395</v>
          </cell>
        </row>
        <row r="88">
          <cell r="A88">
            <v>41424</v>
          </cell>
        </row>
        <row r="89">
          <cell r="A89">
            <v>41593</v>
          </cell>
        </row>
        <row r="90">
          <cell r="A90">
            <v>41633</v>
          </cell>
        </row>
        <row r="91">
          <cell r="A91">
            <v>41640</v>
          </cell>
        </row>
        <row r="92">
          <cell r="A92">
            <v>41701</v>
          </cell>
        </row>
        <row r="93">
          <cell r="A93">
            <v>41702</v>
          </cell>
        </row>
        <row r="94">
          <cell r="A94">
            <v>41747</v>
          </cell>
        </row>
        <row r="95">
          <cell r="A95">
            <v>41750</v>
          </cell>
        </row>
        <row r="96">
          <cell r="A96">
            <v>41760</v>
          </cell>
        </row>
        <row r="97">
          <cell r="A97">
            <v>41809</v>
          </cell>
        </row>
        <row r="98">
          <cell r="A98">
            <v>41998</v>
          </cell>
        </row>
        <row r="99">
          <cell r="A99">
            <v>42005</v>
          </cell>
        </row>
        <row r="100">
          <cell r="A100">
            <v>42051</v>
          </cell>
        </row>
        <row r="101">
          <cell r="A101">
            <v>42052</v>
          </cell>
        </row>
        <row r="102">
          <cell r="A102">
            <v>42097</v>
          </cell>
        </row>
        <row r="103">
          <cell r="A103">
            <v>42115</v>
          </cell>
        </row>
        <row r="104">
          <cell r="A104">
            <v>42125</v>
          </cell>
        </row>
        <row r="105">
          <cell r="A105">
            <v>42159</v>
          </cell>
        </row>
        <row r="106">
          <cell r="A106">
            <v>42254</v>
          </cell>
        </row>
        <row r="107">
          <cell r="A107">
            <v>42289</v>
          </cell>
        </row>
        <row r="108">
          <cell r="A108">
            <v>42310</v>
          </cell>
        </row>
        <row r="109">
          <cell r="A109">
            <v>42363</v>
          </cell>
        </row>
        <row r="110">
          <cell r="A110">
            <v>42370</v>
          </cell>
        </row>
        <row r="111">
          <cell r="A111">
            <v>42408</v>
          </cell>
        </row>
        <row r="112">
          <cell r="A112">
            <v>42409</v>
          </cell>
        </row>
        <row r="113">
          <cell r="A113">
            <v>42454</v>
          </cell>
        </row>
        <row r="114">
          <cell r="A114">
            <v>42481</v>
          </cell>
        </row>
        <row r="115">
          <cell r="A115">
            <v>42516</v>
          </cell>
        </row>
        <row r="116">
          <cell r="A116">
            <v>42620</v>
          </cell>
        </row>
        <row r="117">
          <cell r="A117">
            <v>42655</v>
          </cell>
        </row>
        <row r="118">
          <cell r="A118">
            <v>42676</v>
          </cell>
        </row>
        <row r="119">
          <cell r="A119">
            <v>42689</v>
          </cell>
        </row>
        <row r="120">
          <cell r="A120">
            <v>42793</v>
          </cell>
        </row>
        <row r="121">
          <cell r="A121">
            <v>42794</v>
          </cell>
        </row>
        <row r="122">
          <cell r="A122">
            <v>42839</v>
          </cell>
        </row>
        <row r="123">
          <cell r="A123">
            <v>42846</v>
          </cell>
        </row>
        <row r="124">
          <cell r="A124">
            <v>42856</v>
          </cell>
        </row>
        <row r="125">
          <cell r="A125">
            <v>42901</v>
          </cell>
        </row>
        <row r="126">
          <cell r="A126">
            <v>42985</v>
          </cell>
        </row>
        <row r="127">
          <cell r="A127">
            <v>43020</v>
          </cell>
        </row>
        <row r="128">
          <cell r="A128">
            <v>43041</v>
          </cell>
        </row>
        <row r="129">
          <cell r="A129">
            <v>43054</v>
          </cell>
        </row>
        <row r="130">
          <cell r="A130">
            <v>43094</v>
          </cell>
        </row>
        <row r="131">
          <cell r="A131">
            <v>43101</v>
          </cell>
        </row>
        <row r="132">
          <cell r="A132">
            <v>43143</v>
          </cell>
        </row>
        <row r="133">
          <cell r="A133">
            <v>43144</v>
          </cell>
        </row>
        <row r="134">
          <cell r="A134">
            <v>43189</v>
          </cell>
        </row>
        <row r="135">
          <cell r="A135">
            <v>43221</v>
          </cell>
        </row>
        <row r="136">
          <cell r="A136">
            <v>43251</v>
          </cell>
        </row>
        <row r="137">
          <cell r="A137">
            <v>43350</v>
          </cell>
        </row>
        <row r="138">
          <cell r="A138">
            <v>43385</v>
          </cell>
        </row>
        <row r="139">
          <cell r="A139">
            <v>43406</v>
          </cell>
        </row>
        <row r="140">
          <cell r="A140">
            <v>43419</v>
          </cell>
        </row>
        <row r="141">
          <cell r="A141">
            <v>43459</v>
          </cell>
        </row>
        <row r="142">
          <cell r="A142">
            <v>43466</v>
          </cell>
        </row>
        <row r="143">
          <cell r="A143">
            <v>43528</v>
          </cell>
        </row>
        <row r="144">
          <cell r="A144">
            <v>43529</v>
          </cell>
        </row>
        <row r="145">
          <cell r="A145">
            <v>43574</v>
          </cell>
        </row>
        <row r="146">
          <cell r="A146">
            <v>43586</v>
          </cell>
        </row>
        <row r="147">
          <cell r="A147">
            <v>43636</v>
          </cell>
        </row>
        <row r="148">
          <cell r="A148">
            <v>43784</v>
          </cell>
        </row>
        <row r="149">
          <cell r="A149">
            <v>43824</v>
          </cell>
        </row>
        <row r="150">
          <cell r="A150">
            <v>43831</v>
          </cell>
        </row>
        <row r="151">
          <cell r="A151">
            <v>43885</v>
          </cell>
        </row>
        <row r="152">
          <cell r="A152">
            <v>43886</v>
          </cell>
        </row>
        <row r="153">
          <cell r="A153">
            <v>43931</v>
          </cell>
        </row>
        <row r="154">
          <cell r="A154">
            <v>43942</v>
          </cell>
        </row>
        <row r="155">
          <cell r="A155">
            <v>43952</v>
          </cell>
        </row>
        <row r="156">
          <cell r="A156">
            <v>43993</v>
          </cell>
        </row>
        <row r="157">
          <cell r="A157">
            <v>44081</v>
          </cell>
        </row>
        <row r="158">
          <cell r="A158">
            <v>44116</v>
          </cell>
        </row>
        <row r="159">
          <cell r="A159">
            <v>44137</v>
          </cell>
        </row>
        <row r="160">
          <cell r="A160">
            <v>44190</v>
          </cell>
        </row>
        <row r="161">
          <cell r="A161">
            <v>44197</v>
          </cell>
        </row>
        <row r="162">
          <cell r="A162">
            <v>44242</v>
          </cell>
        </row>
        <row r="163">
          <cell r="A163">
            <v>44243</v>
          </cell>
        </row>
        <row r="164">
          <cell r="A164">
            <v>44288</v>
          </cell>
        </row>
        <row r="165">
          <cell r="A165">
            <v>44307</v>
          </cell>
        </row>
        <row r="166">
          <cell r="A166">
            <v>44350</v>
          </cell>
        </row>
        <row r="167">
          <cell r="A167">
            <v>44446</v>
          </cell>
        </row>
        <row r="168">
          <cell r="A168">
            <v>44481</v>
          </cell>
        </row>
        <row r="169">
          <cell r="A169">
            <v>44502</v>
          </cell>
        </row>
        <row r="170">
          <cell r="A170">
            <v>44515</v>
          </cell>
        </row>
        <row r="171">
          <cell r="A171">
            <v>44620</v>
          </cell>
        </row>
        <row r="172">
          <cell r="A172">
            <v>44621</v>
          </cell>
        </row>
        <row r="173">
          <cell r="A173">
            <v>44666</v>
          </cell>
        </row>
        <row r="174">
          <cell r="A174">
            <v>44672</v>
          </cell>
        </row>
        <row r="175">
          <cell r="A175">
            <v>44728</v>
          </cell>
        </row>
        <row r="176">
          <cell r="A176">
            <v>44811</v>
          </cell>
        </row>
        <row r="177">
          <cell r="A177">
            <v>44846</v>
          </cell>
        </row>
        <row r="178">
          <cell r="A178">
            <v>44867</v>
          </cell>
        </row>
        <row r="179">
          <cell r="A179">
            <v>44880</v>
          </cell>
        </row>
        <row r="180">
          <cell r="A180">
            <v>44977</v>
          </cell>
        </row>
        <row r="181">
          <cell r="A181">
            <v>44978</v>
          </cell>
        </row>
        <row r="182">
          <cell r="A182">
            <v>45023</v>
          </cell>
        </row>
        <row r="183">
          <cell r="A183">
            <v>45037</v>
          </cell>
        </row>
        <row r="184">
          <cell r="A184">
            <v>45047</v>
          </cell>
        </row>
        <row r="185">
          <cell r="A185">
            <v>45085</v>
          </cell>
        </row>
        <row r="186">
          <cell r="A186">
            <v>45176</v>
          </cell>
        </row>
        <row r="187">
          <cell r="A187">
            <v>45211</v>
          </cell>
        </row>
        <row r="188">
          <cell r="A188">
            <v>45232</v>
          </cell>
        </row>
        <row r="189">
          <cell r="A189">
            <v>45245</v>
          </cell>
        </row>
        <row r="190">
          <cell r="A190">
            <v>45285</v>
          </cell>
        </row>
        <row r="191">
          <cell r="A191">
            <v>45292</v>
          </cell>
        </row>
        <row r="192">
          <cell r="A192">
            <v>45334</v>
          </cell>
        </row>
        <row r="193">
          <cell r="A193">
            <v>45335</v>
          </cell>
        </row>
        <row r="194">
          <cell r="A194">
            <v>45380</v>
          </cell>
        </row>
        <row r="195">
          <cell r="A195">
            <v>45413</v>
          </cell>
        </row>
        <row r="196">
          <cell r="A196">
            <v>45442</v>
          </cell>
        </row>
        <row r="197">
          <cell r="A197">
            <v>45611</v>
          </cell>
        </row>
        <row r="198">
          <cell r="A198">
            <v>45651</v>
          </cell>
        </row>
        <row r="199">
          <cell r="A199">
            <v>45658</v>
          </cell>
        </row>
        <row r="200">
          <cell r="A200">
            <v>45719</v>
          </cell>
        </row>
        <row r="201">
          <cell r="A201">
            <v>45720</v>
          </cell>
        </row>
        <row r="202">
          <cell r="A202">
            <v>45765</v>
          </cell>
        </row>
        <row r="203">
          <cell r="A203">
            <v>45768</v>
          </cell>
        </row>
        <row r="204">
          <cell r="A204">
            <v>45778</v>
          </cell>
        </row>
        <row r="205">
          <cell r="A205">
            <v>45827</v>
          </cell>
        </row>
        <row r="206">
          <cell r="A206">
            <v>46016</v>
          </cell>
        </row>
        <row r="207">
          <cell r="A207">
            <v>46023</v>
          </cell>
        </row>
        <row r="208">
          <cell r="A208">
            <v>46069</v>
          </cell>
        </row>
        <row r="209">
          <cell r="A209">
            <v>46070</v>
          </cell>
        </row>
        <row r="210">
          <cell r="A210">
            <v>46115</v>
          </cell>
        </row>
        <row r="211">
          <cell r="A211">
            <v>46133</v>
          </cell>
        </row>
        <row r="212">
          <cell r="A212">
            <v>46143</v>
          </cell>
        </row>
        <row r="213">
          <cell r="A213">
            <v>46177</v>
          </cell>
        </row>
        <row r="214">
          <cell r="A214">
            <v>46272</v>
          </cell>
        </row>
        <row r="215">
          <cell r="A215">
            <v>46307</v>
          </cell>
        </row>
        <row r="216">
          <cell r="A216">
            <v>46328</v>
          </cell>
        </row>
        <row r="217">
          <cell r="A217">
            <v>46381</v>
          </cell>
        </row>
        <row r="218">
          <cell r="A218">
            <v>46388</v>
          </cell>
        </row>
        <row r="219">
          <cell r="A219">
            <v>46426</v>
          </cell>
        </row>
        <row r="220">
          <cell r="A220">
            <v>46427</v>
          </cell>
        </row>
        <row r="221">
          <cell r="A221">
            <v>46472</v>
          </cell>
        </row>
        <row r="222">
          <cell r="A222">
            <v>46498</v>
          </cell>
        </row>
        <row r="223">
          <cell r="A223">
            <v>46534</v>
          </cell>
        </row>
        <row r="224">
          <cell r="A224">
            <v>46637</v>
          </cell>
        </row>
        <row r="225">
          <cell r="A225">
            <v>46672</v>
          </cell>
        </row>
        <row r="226">
          <cell r="A226">
            <v>46693</v>
          </cell>
        </row>
        <row r="227">
          <cell r="A227">
            <v>46706</v>
          </cell>
        </row>
        <row r="228">
          <cell r="A228">
            <v>46811</v>
          </cell>
        </row>
        <row r="229">
          <cell r="A229">
            <v>46812</v>
          </cell>
        </row>
        <row r="230">
          <cell r="A230">
            <v>46857</v>
          </cell>
        </row>
        <row r="231">
          <cell r="A231">
            <v>46864</v>
          </cell>
        </row>
        <row r="232">
          <cell r="A232">
            <v>46874</v>
          </cell>
        </row>
        <row r="233">
          <cell r="A233">
            <v>46919</v>
          </cell>
        </row>
        <row r="234">
          <cell r="A234">
            <v>47003</v>
          </cell>
        </row>
        <row r="235">
          <cell r="A235">
            <v>47038</v>
          </cell>
        </row>
        <row r="236">
          <cell r="A236">
            <v>47059</v>
          </cell>
        </row>
        <row r="237">
          <cell r="A237">
            <v>47072</v>
          </cell>
        </row>
        <row r="238">
          <cell r="A238">
            <v>47112</v>
          </cell>
        </row>
        <row r="239">
          <cell r="A239">
            <v>47119</v>
          </cell>
        </row>
        <row r="240">
          <cell r="A240">
            <v>47161</v>
          </cell>
        </row>
        <row r="241">
          <cell r="A241">
            <v>47162</v>
          </cell>
        </row>
        <row r="242">
          <cell r="A242">
            <v>47207</v>
          </cell>
        </row>
        <row r="243">
          <cell r="A243">
            <v>47239</v>
          </cell>
        </row>
        <row r="244">
          <cell r="A244">
            <v>47269</v>
          </cell>
        </row>
        <row r="245">
          <cell r="A245">
            <v>47368</v>
          </cell>
        </row>
        <row r="246">
          <cell r="A246">
            <v>47403</v>
          </cell>
        </row>
        <row r="247">
          <cell r="A247">
            <v>47424</v>
          </cell>
        </row>
        <row r="248">
          <cell r="A248">
            <v>47437</v>
          </cell>
        </row>
        <row r="249">
          <cell r="A249">
            <v>47477</v>
          </cell>
        </row>
        <row r="250">
          <cell r="A250">
            <v>47484</v>
          </cell>
        </row>
        <row r="251">
          <cell r="A251">
            <v>47546</v>
          </cell>
        </row>
        <row r="252">
          <cell r="A252">
            <v>47547</v>
          </cell>
        </row>
        <row r="253">
          <cell r="A253">
            <v>47592</v>
          </cell>
        </row>
        <row r="254">
          <cell r="A254">
            <v>47604</v>
          </cell>
        </row>
        <row r="255">
          <cell r="A255">
            <v>47654</v>
          </cell>
        </row>
        <row r="256">
          <cell r="A256">
            <v>47802</v>
          </cell>
        </row>
        <row r="257">
          <cell r="A257">
            <v>47842</v>
          </cell>
        </row>
        <row r="258">
          <cell r="A258">
            <v>47849</v>
          </cell>
        </row>
        <row r="259">
          <cell r="A259">
            <v>47903</v>
          </cell>
        </row>
        <row r="260">
          <cell r="A260">
            <v>47904</v>
          </cell>
        </row>
        <row r="261">
          <cell r="A261">
            <v>47949</v>
          </cell>
        </row>
        <row r="262">
          <cell r="A262">
            <v>47959</v>
          </cell>
        </row>
        <row r="263">
          <cell r="A263">
            <v>47969</v>
          </cell>
        </row>
        <row r="264">
          <cell r="A264">
            <v>48011</v>
          </cell>
        </row>
        <row r="265">
          <cell r="A265">
            <v>48207</v>
          </cell>
        </row>
        <row r="266">
          <cell r="A266">
            <v>48214</v>
          </cell>
        </row>
        <row r="267">
          <cell r="A267">
            <v>48253</v>
          </cell>
        </row>
        <row r="268">
          <cell r="A268">
            <v>48254</v>
          </cell>
        </row>
        <row r="269">
          <cell r="A269">
            <v>48299</v>
          </cell>
        </row>
        <row r="270">
          <cell r="A270">
            <v>48325</v>
          </cell>
        </row>
        <row r="271">
          <cell r="A271">
            <v>48361</v>
          </cell>
        </row>
        <row r="272">
          <cell r="A272">
            <v>48464</v>
          </cell>
        </row>
        <row r="273">
          <cell r="A273">
            <v>48499</v>
          </cell>
        </row>
        <row r="274">
          <cell r="A274">
            <v>48520</v>
          </cell>
        </row>
        <row r="275">
          <cell r="A275">
            <v>48533</v>
          </cell>
        </row>
        <row r="276">
          <cell r="A276">
            <v>48638</v>
          </cell>
        </row>
        <row r="277">
          <cell r="A277">
            <v>48639</v>
          </cell>
        </row>
        <row r="278">
          <cell r="A278">
            <v>48684</v>
          </cell>
        </row>
        <row r="279">
          <cell r="A279">
            <v>48690</v>
          </cell>
        </row>
        <row r="280">
          <cell r="A280">
            <v>48746</v>
          </cell>
        </row>
        <row r="281">
          <cell r="A281">
            <v>48829</v>
          </cell>
        </row>
        <row r="282">
          <cell r="A282">
            <v>48864</v>
          </cell>
        </row>
        <row r="283">
          <cell r="A283">
            <v>48885</v>
          </cell>
        </row>
        <row r="284">
          <cell r="A284">
            <v>48898</v>
          </cell>
        </row>
        <row r="285">
          <cell r="A285">
            <v>48995</v>
          </cell>
        </row>
        <row r="286">
          <cell r="A286">
            <v>48996</v>
          </cell>
        </row>
        <row r="287">
          <cell r="A287">
            <v>49041</v>
          </cell>
        </row>
        <row r="288">
          <cell r="A288">
            <v>49055</v>
          </cell>
        </row>
        <row r="289">
          <cell r="A289">
            <v>49065</v>
          </cell>
        </row>
        <row r="290">
          <cell r="A290">
            <v>49103</v>
          </cell>
        </row>
        <row r="291">
          <cell r="A291">
            <v>49194</v>
          </cell>
        </row>
        <row r="292">
          <cell r="A292">
            <v>49229</v>
          </cell>
        </row>
        <row r="293">
          <cell r="A293">
            <v>49250</v>
          </cell>
        </row>
        <row r="294">
          <cell r="A294">
            <v>49263</v>
          </cell>
        </row>
        <row r="295">
          <cell r="A295">
            <v>49303</v>
          </cell>
        </row>
        <row r="296">
          <cell r="A296">
            <v>49310</v>
          </cell>
        </row>
        <row r="297">
          <cell r="A297">
            <v>49345</v>
          </cell>
        </row>
        <row r="298">
          <cell r="A298">
            <v>49346</v>
          </cell>
        </row>
        <row r="299">
          <cell r="A299">
            <v>49391</v>
          </cell>
        </row>
        <row r="300">
          <cell r="A300">
            <v>49430</v>
          </cell>
        </row>
        <row r="301">
          <cell r="A301">
            <v>49453</v>
          </cell>
        </row>
        <row r="302">
          <cell r="A302">
            <v>49559</v>
          </cell>
        </row>
        <row r="303">
          <cell r="A303">
            <v>49594</v>
          </cell>
        </row>
        <row r="304">
          <cell r="A304">
            <v>49615</v>
          </cell>
        </row>
        <row r="305">
          <cell r="A305">
            <v>49628</v>
          </cell>
        </row>
        <row r="306">
          <cell r="A306">
            <v>49668</v>
          </cell>
        </row>
        <row r="307">
          <cell r="A307">
            <v>49675</v>
          </cell>
        </row>
        <row r="308">
          <cell r="A308">
            <v>49730</v>
          </cell>
        </row>
        <row r="309">
          <cell r="A309">
            <v>49731</v>
          </cell>
        </row>
        <row r="310">
          <cell r="A310">
            <v>49776</v>
          </cell>
        </row>
        <row r="311">
          <cell r="A311">
            <v>49786</v>
          </cell>
        </row>
        <row r="312">
          <cell r="A312">
            <v>49796</v>
          </cell>
        </row>
        <row r="313">
          <cell r="A313">
            <v>49838</v>
          </cell>
        </row>
        <row r="314">
          <cell r="A314">
            <v>50034</v>
          </cell>
        </row>
        <row r="315">
          <cell r="A315">
            <v>50041</v>
          </cell>
        </row>
        <row r="316">
          <cell r="A316">
            <v>50087</v>
          </cell>
        </row>
        <row r="317">
          <cell r="A317">
            <v>50088</v>
          </cell>
        </row>
        <row r="318">
          <cell r="A318">
            <v>50133</v>
          </cell>
        </row>
        <row r="319">
          <cell r="A319">
            <v>50151</v>
          </cell>
        </row>
        <row r="320">
          <cell r="A320">
            <v>50161</v>
          </cell>
        </row>
        <row r="321">
          <cell r="A321">
            <v>50195</v>
          </cell>
        </row>
        <row r="322">
          <cell r="A322">
            <v>50290</v>
          </cell>
        </row>
        <row r="323">
          <cell r="A323">
            <v>50325</v>
          </cell>
        </row>
        <row r="324">
          <cell r="A324">
            <v>50346</v>
          </cell>
        </row>
        <row r="325">
          <cell r="A325">
            <v>50399</v>
          </cell>
        </row>
        <row r="326">
          <cell r="A326">
            <v>50406</v>
          </cell>
        </row>
        <row r="327">
          <cell r="A327">
            <v>50472</v>
          </cell>
        </row>
        <row r="328">
          <cell r="A328">
            <v>50473</v>
          </cell>
        </row>
        <row r="329">
          <cell r="A329">
            <v>50516</v>
          </cell>
        </row>
        <row r="330">
          <cell r="A330">
            <v>50518</v>
          </cell>
        </row>
        <row r="331">
          <cell r="A331">
            <v>50580</v>
          </cell>
        </row>
        <row r="332">
          <cell r="A332">
            <v>50655</v>
          </cell>
        </row>
        <row r="333">
          <cell r="A333">
            <v>50690</v>
          </cell>
        </row>
        <row r="334">
          <cell r="A334">
            <v>50711</v>
          </cell>
        </row>
        <row r="335">
          <cell r="A335">
            <v>50724</v>
          </cell>
        </row>
        <row r="336">
          <cell r="A336">
            <v>50822</v>
          </cell>
        </row>
        <row r="337">
          <cell r="A337">
            <v>50823</v>
          </cell>
        </row>
        <row r="338">
          <cell r="A338">
            <v>50868</v>
          </cell>
        </row>
        <row r="339">
          <cell r="A339">
            <v>50881</v>
          </cell>
        </row>
        <row r="340">
          <cell r="A340">
            <v>50930</v>
          </cell>
        </row>
        <row r="341">
          <cell r="A341">
            <v>51020</v>
          </cell>
        </row>
        <row r="342">
          <cell r="A342">
            <v>51055</v>
          </cell>
        </row>
        <row r="343">
          <cell r="A343">
            <v>51076</v>
          </cell>
        </row>
        <row r="344">
          <cell r="A344">
            <v>51089</v>
          </cell>
        </row>
        <row r="345">
          <cell r="A345">
            <v>51179</v>
          </cell>
        </row>
        <row r="346">
          <cell r="A346">
            <v>51180</v>
          </cell>
        </row>
        <row r="347">
          <cell r="A347">
            <v>51225</v>
          </cell>
        </row>
        <row r="348">
          <cell r="A348">
            <v>51257</v>
          </cell>
        </row>
        <row r="349">
          <cell r="A349">
            <v>51287</v>
          </cell>
        </row>
        <row r="350">
          <cell r="A350">
            <v>51386</v>
          </cell>
        </row>
        <row r="351">
          <cell r="A351">
            <v>51421</v>
          </cell>
        </row>
        <row r="352">
          <cell r="A352">
            <v>51442</v>
          </cell>
        </row>
        <row r="353">
          <cell r="A353">
            <v>51455</v>
          </cell>
        </row>
        <row r="354">
          <cell r="A354">
            <v>51495</v>
          </cell>
        </row>
        <row r="355">
          <cell r="A355">
            <v>51502</v>
          </cell>
        </row>
        <row r="356">
          <cell r="A356">
            <v>51564</v>
          </cell>
        </row>
        <row r="357">
          <cell r="A357">
            <v>51565</v>
          </cell>
        </row>
        <row r="358">
          <cell r="A358">
            <v>51610</v>
          </cell>
        </row>
        <row r="359">
          <cell r="A359">
            <v>51622</v>
          </cell>
        </row>
        <row r="360">
          <cell r="A360">
            <v>51672</v>
          </cell>
        </row>
        <row r="361">
          <cell r="A361">
            <v>51820</v>
          </cell>
        </row>
        <row r="362">
          <cell r="A362">
            <v>51860</v>
          </cell>
        </row>
        <row r="363">
          <cell r="A363">
            <v>51867</v>
          </cell>
        </row>
        <row r="364">
          <cell r="A364">
            <v>51914</v>
          </cell>
        </row>
        <row r="365">
          <cell r="A365">
            <v>51915</v>
          </cell>
        </row>
        <row r="366">
          <cell r="A366">
            <v>51960</v>
          </cell>
        </row>
        <row r="367">
          <cell r="A367">
            <v>51977</v>
          </cell>
        </row>
        <row r="368">
          <cell r="A368">
            <v>51987</v>
          </cell>
        </row>
        <row r="369">
          <cell r="A369">
            <v>52022</v>
          </cell>
        </row>
        <row r="370">
          <cell r="A370">
            <v>52225</v>
          </cell>
        </row>
        <row r="371">
          <cell r="A371">
            <v>52232</v>
          </cell>
        </row>
        <row r="372">
          <cell r="A372">
            <v>52271</v>
          </cell>
        </row>
        <row r="373">
          <cell r="A373">
            <v>52272</v>
          </cell>
        </row>
        <row r="374">
          <cell r="A374">
            <v>52317</v>
          </cell>
        </row>
        <row r="375">
          <cell r="A375">
            <v>52342</v>
          </cell>
        </row>
        <row r="376">
          <cell r="A376">
            <v>52352</v>
          </cell>
        </row>
        <row r="377">
          <cell r="A377">
            <v>52379</v>
          </cell>
        </row>
        <row r="378">
          <cell r="A378">
            <v>52481</v>
          </cell>
        </row>
        <row r="379">
          <cell r="A379">
            <v>52516</v>
          </cell>
        </row>
        <row r="380">
          <cell r="A380">
            <v>52537</v>
          </cell>
        </row>
        <row r="381">
          <cell r="A381">
            <v>52590</v>
          </cell>
        </row>
        <row r="382">
          <cell r="A382">
            <v>52597</v>
          </cell>
        </row>
        <row r="383">
          <cell r="A383">
            <v>52656</v>
          </cell>
        </row>
        <row r="384">
          <cell r="A384">
            <v>52657</v>
          </cell>
        </row>
        <row r="385">
          <cell r="A385">
            <v>52702</v>
          </cell>
        </row>
        <row r="386">
          <cell r="A386">
            <v>52708</v>
          </cell>
        </row>
        <row r="387">
          <cell r="A387">
            <v>52764</v>
          </cell>
        </row>
        <row r="388">
          <cell r="A388">
            <v>52847</v>
          </cell>
        </row>
        <row r="389">
          <cell r="A389">
            <v>52882</v>
          </cell>
        </row>
        <row r="390">
          <cell r="A390">
            <v>52903</v>
          </cell>
        </row>
        <row r="391">
          <cell r="A391">
            <v>52916</v>
          </cell>
        </row>
        <row r="392">
          <cell r="A392">
            <v>53013</v>
          </cell>
        </row>
        <row r="393">
          <cell r="A393">
            <v>53014</v>
          </cell>
        </row>
        <row r="394">
          <cell r="A394">
            <v>53059</v>
          </cell>
        </row>
        <row r="395">
          <cell r="A395">
            <v>53073</v>
          </cell>
        </row>
        <row r="396">
          <cell r="A396">
            <v>53083</v>
          </cell>
        </row>
        <row r="397">
          <cell r="A397">
            <v>53121</v>
          </cell>
        </row>
        <row r="398">
          <cell r="A398">
            <v>53212</v>
          </cell>
        </row>
        <row r="399">
          <cell r="A399">
            <v>53247</v>
          </cell>
        </row>
        <row r="400">
          <cell r="A400">
            <v>53268</v>
          </cell>
        </row>
        <row r="401">
          <cell r="A401">
            <v>53281</v>
          </cell>
        </row>
        <row r="402">
          <cell r="A402">
            <v>53321</v>
          </cell>
        </row>
        <row r="403">
          <cell r="A403">
            <v>53328</v>
          </cell>
        </row>
        <row r="404">
          <cell r="A404">
            <v>53363</v>
          </cell>
        </row>
        <row r="405">
          <cell r="A405">
            <v>53364</v>
          </cell>
        </row>
        <row r="406">
          <cell r="A406">
            <v>53409</v>
          </cell>
        </row>
        <row r="407">
          <cell r="A407">
            <v>53448</v>
          </cell>
        </row>
        <row r="408">
          <cell r="A408">
            <v>53471</v>
          </cell>
        </row>
        <row r="409">
          <cell r="A409">
            <v>53577</v>
          </cell>
        </row>
        <row r="410">
          <cell r="A410">
            <v>53612</v>
          </cell>
        </row>
        <row r="411">
          <cell r="A411">
            <v>53633</v>
          </cell>
        </row>
        <row r="412">
          <cell r="A412">
            <v>53646</v>
          </cell>
        </row>
        <row r="413">
          <cell r="A413">
            <v>53686</v>
          </cell>
        </row>
        <row r="414">
          <cell r="A414">
            <v>53693</v>
          </cell>
        </row>
        <row r="415">
          <cell r="A415">
            <v>53748</v>
          </cell>
        </row>
        <row r="416">
          <cell r="A416">
            <v>53749</v>
          </cell>
        </row>
        <row r="417">
          <cell r="A417">
            <v>53794</v>
          </cell>
        </row>
        <row r="418">
          <cell r="A418">
            <v>53813</v>
          </cell>
        </row>
        <row r="419">
          <cell r="A419">
            <v>53856</v>
          </cell>
        </row>
        <row r="420">
          <cell r="A420">
            <v>54011</v>
          </cell>
        </row>
        <row r="421">
          <cell r="A421">
            <v>54051</v>
          </cell>
        </row>
        <row r="422">
          <cell r="A422">
            <v>54058</v>
          </cell>
        </row>
        <row r="423">
          <cell r="A423">
            <v>54105</v>
          </cell>
        </row>
        <row r="424">
          <cell r="A424">
            <v>54106</v>
          </cell>
        </row>
        <row r="425">
          <cell r="A425">
            <v>54151</v>
          </cell>
        </row>
        <row r="426">
          <cell r="A426">
            <v>54169</v>
          </cell>
        </row>
        <row r="427">
          <cell r="A427">
            <v>54179</v>
          </cell>
        </row>
        <row r="428">
          <cell r="A428">
            <v>54213</v>
          </cell>
        </row>
        <row r="429">
          <cell r="A429">
            <v>54308</v>
          </cell>
        </row>
        <row r="430">
          <cell r="A430">
            <v>54343</v>
          </cell>
        </row>
        <row r="431">
          <cell r="A431">
            <v>54364</v>
          </cell>
        </row>
        <row r="432">
          <cell r="A432">
            <v>54417</v>
          </cell>
        </row>
        <row r="433">
          <cell r="A433">
            <v>54424</v>
          </cell>
        </row>
        <row r="434">
          <cell r="A434">
            <v>54462</v>
          </cell>
        </row>
        <row r="435">
          <cell r="A435">
            <v>54463</v>
          </cell>
        </row>
        <row r="436">
          <cell r="A436">
            <v>54534</v>
          </cell>
        </row>
        <row r="437">
          <cell r="A437">
            <v>54536</v>
          </cell>
        </row>
        <row r="438">
          <cell r="A438">
            <v>54598</v>
          </cell>
        </row>
        <row r="439">
          <cell r="A439">
            <v>54673</v>
          </cell>
        </row>
        <row r="440">
          <cell r="A440">
            <v>54708</v>
          </cell>
        </row>
        <row r="441">
          <cell r="A441">
            <v>54729</v>
          </cell>
        </row>
        <row r="442">
          <cell r="A442">
            <v>54742</v>
          </cell>
        </row>
        <row r="443">
          <cell r="A443">
            <v>54840</v>
          </cell>
        </row>
        <row r="444">
          <cell r="A444">
            <v>54841</v>
          </cell>
        </row>
        <row r="445">
          <cell r="A445">
            <v>54886</v>
          </cell>
        </row>
        <row r="446">
          <cell r="A446">
            <v>54899</v>
          </cell>
        </row>
        <row r="447">
          <cell r="A447">
            <v>54948</v>
          </cell>
        </row>
        <row r="448">
          <cell r="A448">
            <v>55038</v>
          </cell>
        </row>
        <row r="449">
          <cell r="A449">
            <v>55073</v>
          </cell>
        </row>
        <row r="450">
          <cell r="A450">
            <v>55094</v>
          </cell>
        </row>
        <row r="451">
          <cell r="A451">
            <v>55107</v>
          </cell>
        </row>
        <row r="452">
          <cell r="A452">
            <v>55197</v>
          </cell>
        </row>
        <row r="453">
          <cell r="A453">
            <v>55198</v>
          </cell>
        </row>
        <row r="454">
          <cell r="A454">
            <v>55243</v>
          </cell>
        </row>
        <row r="455">
          <cell r="A455">
            <v>55264</v>
          </cell>
        </row>
        <row r="456">
          <cell r="A456">
            <v>55274</v>
          </cell>
        </row>
        <row r="457">
          <cell r="A457">
            <v>55305</v>
          </cell>
        </row>
        <row r="458">
          <cell r="A458">
            <v>55403</v>
          </cell>
        </row>
        <row r="459">
          <cell r="A459">
            <v>55438</v>
          </cell>
        </row>
        <row r="460">
          <cell r="A460">
            <v>55459</v>
          </cell>
        </row>
        <row r="461">
          <cell r="A461">
            <v>55472</v>
          </cell>
        </row>
        <row r="462">
          <cell r="A462">
            <v>55512</v>
          </cell>
        </row>
        <row r="463">
          <cell r="A463">
            <v>55519</v>
          </cell>
        </row>
        <row r="464">
          <cell r="A464">
            <v>55582</v>
          </cell>
        </row>
        <row r="465">
          <cell r="A465">
            <v>55583</v>
          </cell>
        </row>
        <row r="466">
          <cell r="A466">
            <v>55628</v>
          </cell>
        </row>
        <row r="467">
          <cell r="A467">
            <v>55640</v>
          </cell>
        </row>
        <row r="468">
          <cell r="A468">
            <v>55690</v>
          </cell>
        </row>
        <row r="469">
          <cell r="A469">
            <v>55838</v>
          </cell>
        </row>
        <row r="470">
          <cell r="A470">
            <v>55878</v>
          </cell>
        </row>
        <row r="471">
          <cell r="A471">
            <v>55885</v>
          </cell>
        </row>
        <row r="472">
          <cell r="A472">
            <v>55932</v>
          </cell>
        </row>
        <row r="473">
          <cell r="A473">
            <v>55933</v>
          </cell>
        </row>
        <row r="474">
          <cell r="A474">
            <v>55978</v>
          </cell>
        </row>
        <row r="475">
          <cell r="A475">
            <v>55995</v>
          </cell>
        </row>
        <row r="476">
          <cell r="A476">
            <v>56005</v>
          </cell>
        </row>
        <row r="477">
          <cell r="A477">
            <v>56040</v>
          </cell>
        </row>
        <row r="478">
          <cell r="A478">
            <v>56243</v>
          </cell>
        </row>
        <row r="479">
          <cell r="A479">
            <v>56250</v>
          </cell>
        </row>
        <row r="480">
          <cell r="A480">
            <v>56289</v>
          </cell>
        </row>
        <row r="481">
          <cell r="A481">
            <v>56290</v>
          </cell>
        </row>
        <row r="482">
          <cell r="A482">
            <v>56335</v>
          </cell>
        </row>
        <row r="483">
          <cell r="A483">
            <v>56360</v>
          </cell>
        </row>
        <row r="484">
          <cell r="A484">
            <v>56370</v>
          </cell>
        </row>
        <row r="485">
          <cell r="A485">
            <v>56397</v>
          </cell>
        </row>
        <row r="486">
          <cell r="A486">
            <v>56499</v>
          </cell>
        </row>
        <row r="487">
          <cell r="A487">
            <v>56534</v>
          </cell>
        </row>
        <row r="488">
          <cell r="A488">
            <v>56555</v>
          </cell>
        </row>
        <row r="489">
          <cell r="A489">
            <v>56608</v>
          </cell>
        </row>
        <row r="490">
          <cell r="A490">
            <v>56615</v>
          </cell>
        </row>
        <row r="491">
          <cell r="A491">
            <v>56674</v>
          </cell>
        </row>
        <row r="492">
          <cell r="A492">
            <v>56675</v>
          </cell>
        </row>
        <row r="493">
          <cell r="A493">
            <v>56720</v>
          </cell>
        </row>
        <row r="494">
          <cell r="A494">
            <v>56725</v>
          </cell>
        </row>
        <row r="495">
          <cell r="A495">
            <v>56782</v>
          </cell>
        </row>
        <row r="496">
          <cell r="A496">
            <v>56864</v>
          </cell>
        </row>
        <row r="497">
          <cell r="A497">
            <v>56899</v>
          </cell>
        </row>
        <row r="498">
          <cell r="A498">
            <v>56920</v>
          </cell>
        </row>
        <row r="499">
          <cell r="A499">
            <v>56933</v>
          </cell>
        </row>
        <row r="500">
          <cell r="A500">
            <v>57024</v>
          </cell>
        </row>
        <row r="501">
          <cell r="A501">
            <v>57025</v>
          </cell>
        </row>
        <row r="502">
          <cell r="A502">
            <v>57070</v>
          </cell>
        </row>
        <row r="503">
          <cell r="A503">
            <v>57091</v>
          </cell>
        </row>
        <row r="504">
          <cell r="A504">
            <v>57101</v>
          </cell>
        </row>
        <row r="505">
          <cell r="A505">
            <v>57132</v>
          </cell>
        </row>
        <row r="506">
          <cell r="A506">
            <v>57230</v>
          </cell>
        </row>
        <row r="507">
          <cell r="A507">
            <v>57265</v>
          </cell>
        </row>
        <row r="508">
          <cell r="A508">
            <v>57286</v>
          </cell>
        </row>
        <row r="509">
          <cell r="A509">
            <v>57299</v>
          </cell>
        </row>
        <row r="510">
          <cell r="A510">
            <v>57339</v>
          </cell>
        </row>
        <row r="511">
          <cell r="A511">
            <v>57346</v>
          </cell>
        </row>
        <row r="512">
          <cell r="A512">
            <v>57409</v>
          </cell>
        </row>
        <row r="513">
          <cell r="A513">
            <v>57410</v>
          </cell>
        </row>
        <row r="514">
          <cell r="A514">
            <v>57455</v>
          </cell>
        </row>
        <row r="515">
          <cell r="A515">
            <v>57466</v>
          </cell>
        </row>
        <row r="516">
          <cell r="A516">
            <v>57517</v>
          </cell>
        </row>
        <row r="517">
          <cell r="A517">
            <v>57595</v>
          </cell>
        </row>
        <row r="518">
          <cell r="A518">
            <v>57630</v>
          </cell>
        </row>
        <row r="519">
          <cell r="A519">
            <v>57651</v>
          </cell>
        </row>
        <row r="520">
          <cell r="A520">
            <v>57664</v>
          </cell>
        </row>
        <row r="521">
          <cell r="A521">
            <v>57704</v>
          </cell>
        </row>
        <row r="522">
          <cell r="A522">
            <v>57711</v>
          </cell>
        </row>
        <row r="523">
          <cell r="A523">
            <v>57766</v>
          </cell>
        </row>
        <row r="524">
          <cell r="A524">
            <v>57767</v>
          </cell>
        </row>
        <row r="525">
          <cell r="A525">
            <v>57812</v>
          </cell>
        </row>
        <row r="526">
          <cell r="A526">
            <v>57831</v>
          </cell>
        </row>
        <row r="527">
          <cell r="A527">
            <v>57874</v>
          </cell>
        </row>
        <row r="528">
          <cell r="A528">
            <v>58029</v>
          </cell>
        </row>
        <row r="529">
          <cell r="A529">
            <v>58069</v>
          </cell>
        </row>
        <row r="530">
          <cell r="A530">
            <v>58076</v>
          </cell>
        </row>
        <row r="531">
          <cell r="A531">
            <v>58116</v>
          </cell>
        </row>
        <row r="532">
          <cell r="A532">
            <v>58117</v>
          </cell>
        </row>
        <row r="533">
          <cell r="A533">
            <v>58162</v>
          </cell>
        </row>
        <row r="534">
          <cell r="A534">
            <v>58186</v>
          </cell>
        </row>
        <row r="535">
          <cell r="A535">
            <v>58196</v>
          </cell>
        </row>
        <row r="536">
          <cell r="A536">
            <v>58224</v>
          </cell>
        </row>
        <row r="537">
          <cell r="A537">
            <v>58434</v>
          </cell>
        </row>
        <row r="538">
          <cell r="A538">
            <v>58441</v>
          </cell>
        </row>
        <row r="539">
          <cell r="A539">
            <v>58501</v>
          </cell>
        </row>
        <row r="540">
          <cell r="A540">
            <v>58502</v>
          </cell>
        </row>
        <row r="541">
          <cell r="A541">
            <v>58547</v>
          </cell>
        </row>
        <row r="542">
          <cell r="A542">
            <v>58552</v>
          </cell>
        </row>
        <row r="543">
          <cell r="A543">
            <v>58609</v>
          </cell>
        </row>
        <row r="544">
          <cell r="A544">
            <v>58691</v>
          </cell>
        </row>
        <row r="545">
          <cell r="A545">
            <v>58726</v>
          </cell>
        </row>
        <row r="546">
          <cell r="A546">
            <v>58747</v>
          </cell>
        </row>
        <row r="547">
          <cell r="A547">
            <v>58760</v>
          </cell>
        </row>
        <row r="548">
          <cell r="A548">
            <v>58858</v>
          </cell>
        </row>
        <row r="549">
          <cell r="A549">
            <v>58859</v>
          </cell>
        </row>
        <row r="550">
          <cell r="A550">
            <v>58904</v>
          </cell>
        </row>
        <row r="551">
          <cell r="A551">
            <v>58917</v>
          </cell>
        </row>
        <row r="552">
          <cell r="A552">
            <v>58966</v>
          </cell>
        </row>
        <row r="553">
          <cell r="A553">
            <v>59056</v>
          </cell>
        </row>
        <row r="554">
          <cell r="A554">
            <v>59091</v>
          </cell>
        </row>
        <row r="555">
          <cell r="A555">
            <v>59112</v>
          </cell>
        </row>
        <row r="556">
          <cell r="A556">
            <v>59125</v>
          </cell>
        </row>
        <row r="557">
          <cell r="A557">
            <v>59208</v>
          </cell>
        </row>
        <row r="558">
          <cell r="A558">
            <v>59209</v>
          </cell>
        </row>
        <row r="559">
          <cell r="A559">
            <v>59254</v>
          </cell>
        </row>
        <row r="560">
          <cell r="A560">
            <v>59282</v>
          </cell>
        </row>
        <row r="561">
          <cell r="A561">
            <v>59292</v>
          </cell>
        </row>
        <row r="562">
          <cell r="A562">
            <v>59316</v>
          </cell>
        </row>
        <row r="563">
          <cell r="A563">
            <v>59421</v>
          </cell>
        </row>
        <row r="564">
          <cell r="A564">
            <v>59456</v>
          </cell>
        </row>
        <row r="565">
          <cell r="A565">
            <v>59477</v>
          </cell>
        </row>
        <row r="566">
          <cell r="A566">
            <v>59490</v>
          </cell>
        </row>
        <row r="567">
          <cell r="A567">
            <v>59530</v>
          </cell>
        </row>
        <row r="568">
          <cell r="A568">
            <v>59537</v>
          </cell>
        </row>
        <row r="569">
          <cell r="A569">
            <v>59593</v>
          </cell>
        </row>
        <row r="570">
          <cell r="A570">
            <v>59594</v>
          </cell>
        </row>
        <row r="571">
          <cell r="A571">
            <v>59639</v>
          </cell>
        </row>
        <row r="572">
          <cell r="A572">
            <v>59657</v>
          </cell>
        </row>
        <row r="573">
          <cell r="A573">
            <v>59701</v>
          </cell>
        </row>
        <row r="574">
          <cell r="A574">
            <v>59786</v>
          </cell>
        </row>
        <row r="575">
          <cell r="A575">
            <v>59821</v>
          </cell>
        </row>
        <row r="576">
          <cell r="A576">
            <v>59842</v>
          </cell>
        </row>
        <row r="577">
          <cell r="A577">
            <v>59855</v>
          </cell>
        </row>
        <row r="578">
          <cell r="A578">
            <v>59895</v>
          </cell>
        </row>
        <row r="579">
          <cell r="A579">
            <v>59902</v>
          </cell>
        </row>
        <row r="580">
          <cell r="A580">
            <v>59950</v>
          </cell>
        </row>
        <row r="581">
          <cell r="A581">
            <v>59951</v>
          </cell>
        </row>
        <row r="582">
          <cell r="A582">
            <v>59996</v>
          </cell>
        </row>
        <row r="583">
          <cell r="A583">
            <v>60013</v>
          </cell>
        </row>
        <row r="584">
          <cell r="A584">
            <v>60023</v>
          </cell>
        </row>
        <row r="585">
          <cell r="A585">
            <v>60058</v>
          </cell>
        </row>
        <row r="586">
          <cell r="A586">
            <v>60261</v>
          </cell>
        </row>
        <row r="587">
          <cell r="A587">
            <v>60268</v>
          </cell>
        </row>
        <row r="588">
          <cell r="A588">
            <v>60307</v>
          </cell>
        </row>
        <row r="589">
          <cell r="A589">
            <v>60308</v>
          </cell>
        </row>
        <row r="590">
          <cell r="A590">
            <v>60353</v>
          </cell>
        </row>
        <row r="591">
          <cell r="A591">
            <v>60378</v>
          </cell>
        </row>
        <row r="592">
          <cell r="A592">
            <v>60388</v>
          </cell>
        </row>
        <row r="593">
          <cell r="A593">
            <v>60415</v>
          </cell>
        </row>
        <row r="594">
          <cell r="A594">
            <v>60517</v>
          </cell>
        </row>
        <row r="595">
          <cell r="A595">
            <v>60552</v>
          </cell>
        </row>
        <row r="596">
          <cell r="A596">
            <v>60573</v>
          </cell>
        </row>
        <row r="597">
          <cell r="A597">
            <v>60626</v>
          </cell>
        </row>
        <row r="598">
          <cell r="A598">
            <v>60633</v>
          </cell>
        </row>
        <row r="599">
          <cell r="A599">
            <v>60685</v>
          </cell>
        </row>
        <row r="600">
          <cell r="A600">
            <v>60686</v>
          </cell>
        </row>
        <row r="601">
          <cell r="A601">
            <v>60731</v>
          </cell>
        </row>
        <row r="602">
          <cell r="A602">
            <v>60743</v>
          </cell>
        </row>
        <row r="603">
          <cell r="A603">
            <v>60793</v>
          </cell>
        </row>
        <row r="604">
          <cell r="A604">
            <v>60882</v>
          </cell>
        </row>
        <row r="605">
          <cell r="A605">
            <v>60917</v>
          </cell>
        </row>
        <row r="606">
          <cell r="A606">
            <v>60938</v>
          </cell>
        </row>
        <row r="607">
          <cell r="A607">
            <v>60951</v>
          </cell>
        </row>
        <row r="608">
          <cell r="A608">
            <v>61042</v>
          </cell>
        </row>
        <row r="609">
          <cell r="A609">
            <v>61043</v>
          </cell>
        </row>
        <row r="610">
          <cell r="A610">
            <v>61088</v>
          </cell>
        </row>
        <row r="611">
          <cell r="A611">
            <v>61108</v>
          </cell>
        </row>
        <row r="612">
          <cell r="A612">
            <v>61150</v>
          </cell>
        </row>
        <row r="613">
          <cell r="A613">
            <v>61247</v>
          </cell>
        </row>
        <row r="614">
          <cell r="A614">
            <v>61282</v>
          </cell>
        </row>
        <row r="615">
          <cell r="A615">
            <v>61303</v>
          </cell>
        </row>
        <row r="616">
          <cell r="A616">
            <v>61316</v>
          </cell>
        </row>
        <row r="617">
          <cell r="A617">
            <v>61427</v>
          </cell>
        </row>
        <row r="618">
          <cell r="A618">
            <v>61428</v>
          </cell>
        </row>
        <row r="619">
          <cell r="A619">
            <v>61473</v>
          </cell>
        </row>
        <row r="620">
          <cell r="A620">
            <v>61484</v>
          </cell>
        </row>
        <row r="621">
          <cell r="A621">
            <v>61535</v>
          </cell>
        </row>
        <row r="622">
          <cell r="A622">
            <v>61613</v>
          </cell>
        </row>
        <row r="623">
          <cell r="A623">
            <v>61648</v>
          </cell>
        </row>
        <row r="624">
          <cell r="A624">
            <v>61669</v>
          </cell>
        </row>
        <row r="625">
          <cell r="A625">
            <v>61682</v>
          </cell>
        </row>
        <row r="626">
          <cell r="A626">
            <v>61722</v>
          </cell>
        </row>
        <row r="627">
          <cell r="A627">
            <v>61729</v>
          </cell>
        </row>
        <row r="628">
          <cell r="A628">
            <v>61784</v>
          </cell>
        </row>
        <row r="629">
          <cell r="A629">
            <v>61785</v>
          </cell>
        </row>
        <row r="630">
          <cell r="A630">
            <v>61830</v>
          </cell>
        </row>
        <row r="631">
          <cell r="A631">
            <v>61849</v>
          </cell>
        </row>
        <row r="632">
          <cell r="A632">
            <v>61892</v>
          </cell>
        </row>
        <row r="633">
          <cell r="A633">
            <v>62047</v>
          </cell>
        </row>
        <row r="634">
          <cell r="A634">
            <v>62087</v>
          </cell>
        </row>
        <row r="635">
          <cell r="A635">
            <v>62094</v>
          </cell>
        </row>
        <row r="636">
          <cell r="A636">
            <v>62149</v>
          </cell>
        </row>
        <row r="637">
          <cell r="A637">
            <v>62150</v>
          </cell>
        </row>
        <row r="638">
          <cell r="A638">
            <v>62204</v>
          </cell>
        </row>
        <row r="639">
          <cell r="A639">
            <v>62214</v>
          </cell>
        </row>
        <row r="640">
          <cell r="A640">
            <v>62257</v>
          </cell>
        </row>
        <row r="641">
          <cell r="A641">
            <v>62452</v>
          </cell>
        </row>
        <row r="642">
          <cell r="A642">
            <v>62459</v>
          </cell>
        </row>
        <row r="643">
          <cell r="A643">
            <v>62519</v>
          </cell>
        </row>
        <row r="644">
          <cell r="A644">
            <v>62520</v>
          </cell>
        </row>
        <row r="645">
          <cell r="A645">
            <v>62565</v>
          </cell>
        </row>
        <row r="646">
          <cell r="A646">
            <v>62569</v>
          </cell>
        </row>
        <row r="647">
          <cell r="A647">
            <v>62579</v>
          </cell>
        </row>
        <row r="648">
          <cell r="A648">
            <v>62627</v>
          </cell>
        </row>
        <row r="649">
          <cell r="A649">
            <v>62708</v>
          </cell>
        </row>
        <row r="650">
          <cell r="A650">
            <v>62743</v>
          </cell>
        </row>
        <row r="651">
          <cell r="A651">
            <v>62764</v>
          </cell>
        </row>
        <row r="652">
          <cell r="A652">
            <v>62817</v>
          </cell>
        </row>
        <row r="653">
          <cell r="A653">
            <v>62824</v>
          </cell>
        </row>
        <row r="654">
          <cell r="A654">
            <v>62876</v>
          </cell>
        </row>
        <row r="655">
          <cell r="A655">
            <v>62877</v>
          </cell>
        </row>
        <row r="656">
          <cell r="A656">
            <v>62922</v>
          </cell>
        </row>
        <row r="657">
          <cell r="A657">
            <v>62935</v>
          </cell>
        </row>
        <row r="658">
          <cell r="A658">
            <v>62984</v>
          </cell>
        </row>
        <row r="659">
          <cell r="A659">
            <v>63074</v>
          </cell>
        </row>
        <row r="660">
          <cell r="A660">
            <v>63109</v>
          </cell>
        </row>
        <row r="661">
          <cell r="A661">
            <v>63130</v>
          </cell>
        </row>
        <row r="662">
          <cell r="A662">
            <v>63143</v>
          </cell>
        </row>
        <row r="663">
          <cell r="A663">
            <v>63226</v>
          </cell>
        </row>
        <row r="664">
          <cell r="A664">
            <v>63227</v>
          </cell>
        </row>
        <row r="665">
          <cell r="A665">
            <v>63272</v>
          </cell>
        </row>
        <row r="666">
          <cell r="A666">
            <v>63300</v>
          </cell>
        </row>
        <row r="667">
          <cell r="A667">
            <v>63310</v>
          </cell>
        </row>
        <row r="668">
          <cell r="A668">
            <v>63334</v>
          </cell>
        </row>
        <row r="669">
          <cell r="A669">
            <v>63439</v>
          </cell>
        </row>
        <row r="670">
          <cell r="A670">
            <v>63474</v>
          </cell>
        </row>
        <row r="671">
          <cell r="A671">
            <v>63495</v>
          </cell>
        </row>
        <row r="672">
          <cell r="A672">
            <v>63508</v>
          </cell>
        </row>
        <row r="673">
          <cell r="A673">
            <v>63548</v>
          </cell>
        </row>
        <row r="674">
          <cell r="A674">
            <v>63555</v>
          </cell>
        </row>
        <row r="675">
          <cell r="A675">
            <v>63611</v>
          </cell>
        </row>
        <row r="676">
          <cell r="A676">
            <v>63612</v>
          </cell>
        </row>
        <row r="677">
          <cell r="A677">
            <v>63657</v>
          </cell>
        </row>
        <row r="678">
          <cell r="A678">
            <v>63675</v>
          </cell>
        </row>
        <row r="679">
          <cell r="A679">
            <v>63719</v>
          </cell>
        </row>
        <row r="680">
          <cell r="A680">
            <v>63804</v>
          </cell>
        </row>
        <row r="681">
          <cell r="A681">
            <v>63839</v>
          </cell>
        </row>
        <row r="682">
          <cell r="A682">
            <v>63860</v>
          </cell>
        </row>
        <row r="683">
          <cell r="A683">
            <v>63873</v>
          </cell>
        </row>
        <row r="684">
          <cell r="A684">
            <v>63913</v>
          </cell>
        </row>
        <row r="685">
          <cell r="A685">
            <v>63920</v>
          </cell>
        </row>
        <row r="686">
          <cell r="A686">
            <v>63968</v>
          </cell>
        </row>
        <row r="687">
          <cell r="A687">
            <v>63969</v>
          </cell>
        </row>
        <row r="688">
          <cell r="A688">
            <v>64014</v>
          </cell>
        </row>
        <row r="689">
          <cell r="A689">
            <v>64040</v>
          </cell>
        </row>
        <row r="690">
          <cell r="A690">
            <v>64076</v>
          </cell>
        </row>
        <row r="691">
          <cell r="A691">
            <v>64238</v>
          </cell>
        </row>
        <row r="692">
          <cell r="A692">
            <v>64278</v>
          </cell>
        </row>
        <row r="693">
          <cell r="A693">
            <v>64285</v>
          </cell>
        </row>
        <row r="694">
          <cell r="A694">
            <v>64346</v>
          </cell>
        </row>
        <row r="695">
          <cell r="A695">
            <v>64347</v>
          </cell>
        </row>
        <row r="696">
          <cell r="A696">
            <v>64392</v>
          </cell>
        </row>
        <row r="697">
          <cell r="A697">
            <v>64396</v>
          </cell>
        </row>
        <row r="698">
          <cell r="A698">
            <v>64406</v>
          </cell>
        </row>
        <row r="699">
          <cell r="A699">
            <v>64454</v>
          </cell>
        </row>
        <row r="700">
          <cell r="A700">
            <v>64535</v>
          </cell>
        </row>
        <row r="701">
          <cell r="A701">
            <v>64570</v>
          </cell>
        </row>
        <row r="702">
          <cell r="A702">
            <v>64591</v>
          </cell>
        </row>
        <row r="703">
          <cell r="A703">
            <v>64644</v>
          </cell>
        </row>
        <row r="704">
          <cell r="A704">
            <v>64651</v>
          </cell>
        </row>
        <row r="705">
          <cell r="A705">
            <v>64703</v>
          </cell>
        </row>
        <row r="706">
          <cell r="A706">
            <v>64704</v>
          </cell>
        </row>
        <row r="707">
          <cell r="A707">
            <v>64749</v>
          </cell>
        </row>
        <row r="708">
          <cell r="A708">
            <v>64761</v>
          </cell>
        </row>
        <row r="709">
          <cell r="A709">
            <v>64811</v>
          </cell>
        </row>
        <row r="710">
          <cell r="A710">
            <v>64900</v>
          </cell>
        </row>
        <row r="711">
          <cell r="A711">
            <v>64935</v>
          </cell>
        </row>
        <row r="712">
          <cell r="A712">
            <v>64956</v>
          </cell>
        </row>
        <row r="713">
          <cell r="A713">
            <v>64969</v>
          </cell>
        </row>
        <row r="714">
          <cell r="A714">
            <v>65060</v>
          </cell>
        </row>
        <row r="715">
          <cell r="A715">
            <v>65061</v>
          </cell>
        </row>
        <row r="716">
          <cell r="A716">
            <v>65106</v>
          </cell>
        </row>
        <row r="717">
          <cell r="A717">
            <v>65126</v>
          </cell>
        </row>
        <row r="718">
          <cell r="A718">
            <v>65168</v>
          </cell>
        </row>
        <row r="719">
          <cell r="A719">
            <v>65265</v>
          </cell>
        </row>
        <row r="720">
          <cell r="A720">
            <v>65300</v>
          </cell>
        </row>
        <row r="721">
          <cell r="A721">
            <v>65321</v>
          </cell>
        </row>
        <row r="722">
          <cell r="A722">
            <v>65334</v>
          </cell>
        </row>
      </sheetData>
      <sheetData sheetId="4" refreshError="1"/>
      <sheetData sheetId="5" refreshError="1"/>
      <sheetData sheetId="6" refreshError="1"/>
      <sheetData sheetId="7">
        <row r="7">
          <cell r="A7" t="str">
            <v>A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Vitor Eduardo Preto Martins" id="{3E488196-E670-4AE0-B43E-A9C33185FA50}" userId="f89745635d9b7ab1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Eduardo Preto Martins" refreshedDate="46289.595881712965" createdVersion="8" refreshedVersion="8" minRefreshableVersion="3" recordCount="61" xr:uid="{E388E812-F894-4231-890D-35FB3EBBD12C}">
  <cacheSource type="worksheet">
    <worksheetSource name="Tabela2"/>
  </cacheSource>
  <cacheFields count="10">
    <cacheField name="Periodo" numFmtId="0">
      <sharedItems containsSemiMixedTypes="0" containsString="0" containsNumber="1" containsInteger="1" minValue="0" maxValue="60" count="6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</sharedItems>
    </cacheField>
    <cacheField name="DATAREF" numFmtId="14">
      <sharedItems containsSemiMixedTypes="0" containsNonDate="0" containsDate="1" containsString="0" minDate="2026-08-19T00:00:00" maxDate="2031-08-01T00:00:00"/>
    </cacheField>
    <cacheField name="Rentabilidade dos ativos2" numFmtId="10">
      <sharedItems containsSemiMixedTypes="0" containsString="0" containsNumber="1" minValue="-2.3825938212418407E-3" maxValue="2.9512991114667653E-2"/>
    </cacheField>
    <cacheField name="Rentabilidade da cota junior" numFmtId="10">
      <sharedItems containsSemiMixedTypes="0" containsString="0" containsNumber="1" minValue="-1.946111724280819E-2" maxValue="4.1898166232778422E-2"/>
    </cacheField>
    <cacheField name="Patrimônio Líquido" numFmtId="4">
      <sharedItems containsSemiMixedTypes="0" containsString="0" containsNumber="1" minValue="10" maxValue="26.269086013133876"/>
    </cacheField>
    <cacheField name="Sênior" numFmtId="4">
      <sharedItems containsSemiMixedTypes="0" containsString="0" containsNumber="1" minValue="7.549516567451065E-17" maxValue="2.9101810618141002"/>
    </cacheField>
    <cacheField name="Meza" numFmtId="4">
      <sharedItems containsSemiMixedTypes="0" containsString="0" containsNumber="1" minValue="-1.4990512616457949E-15" maxValue="3.4992751111551241"/>
    </cacheField>
    <cacheField name="Junior" numFmtId="4">
      <sharedItems containsSemiMixedTypes="0" containsString="0" containsNumber="1" minValue="4.8305564492542743" maxValue="26.269086013133876"/>
    </cacheField>
    <cacheField name="Volume Operado" numFmtId="4">
      <sharedItems containsSemiMixedTypes="0" containsString="0" containsNumber="1" minValue="0" maxValue="8"/>
    </cacheField>
    <cacheField name="Caixa" numFmtId="4">
      <sharedItems containsSemiMixedTypes="0" containsString="0" containsNumber="1" minValue="0.19999999999999907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d v="2026-08-19T00:00:00"/>
    <n v="0"/>
    <n v="0"/>
    <n v="10"/>
    <n v="2.5"/>
    <n v="2.5"/>
    <n v="5"/>
    <n v="0"/>
    <n v="10"/>
  </r>
  <r>
    <x v="1"/>
    <d v="2026-08-31T00:00:00"/>
    <n v="1.4647969954770801E-3"/>
    <n v="-2.6185839059443827E-3"/>
    <n v="10.014647969954771"/>
    <n v="2.5134324847493752"/>
    <n v="2.5143084047351172"/>
    <n v="4.986907080470278"/>
    <n v="3.2"/>
    <n v="6.8146479699547688"/>
  </r>
  <r>
    <x v="2"/>
    <d v="2026-09-30T00:00:00"/>
    <n v="1.065331618897325E-3"/>
    <n v="-1.2127114630990476E-2"/>
    <n v="10.025316891089288"/>
    <n v="2.5478640760800357"/>
    <n v="2.5510225283579357"/>
    <n v="4.9264302866513168"/>
    <n v="3.2"/>
    <n v="3.6253168910892888"/>
  </r>
  <r>
    <x v="3"/>
    <d v="2026-10-31T00:00:00"/>
    <n v="-2.3825938212418407E-3"/>
    <n v="-1.946111724280819E-2"/>
    <n v="10.001430633008589"/>
    <n v="2.5826844764254795"/>
    <n v="2.5881897073288336"/>
    <n v="4.8305564492542743"/>
    <n v="3.2"/>
    <n v="0.40143063300858811"/>
  </r>
  <r>
    <x v="4"/>
    <d v="2026-11-30T00:00:00"/>
    <n v="2.5218606649065167E-2"/>
    <n v="3.8423356475738579E-2"/>
    <n v="10.253652778070341"/>
    <n v="2.6148924537885994"/>
    <n v="2.6225976826015929"/>
    <n v="5.0161626416801495"/>
    <n v="3.6536527780703412"/>
    <n v="0.19999999999999907"/>
  </r>
  <r>
    <x v="5"/>
    <d v="2026-12-31T00:00:00"/>
    <n v="2.4575641065732512E-2"/>
    <n v="3.4830610598155953E-2"/>
    <n v="10.505642868356849"/>
    <n v="2.6522380911753785"/>
    <n v="2.6625261278319439"/>
    <n v="5.1908786493495276"/>
    <n v="3.4519900902865084"/>
    <n v="0.19999999999999907"/>
  </r>
  <r>
    <x v="6"/>
    <d v="2027-01-31T00:00:00"/>
    <n v="2.3986579426556798E-2"/>
    <n v="3.4682706838812027E-2"/>
    <n v="10.75763730544573"/>
    <n v="2.6870017967507649"/>
    <n v="2.6997231369141996"/>
    <n v="5.3709123717807659"/>
    <n v="3.4519944370888802"/>
    <n v="0.19999999999999907"/>
  </r>
  <r>
    <x v="7"/>
    <d v="2027-02-28T00:00:00"/>
    <n v="2.7092222044484693E-2"/>
    <n v="4.1898166232778422E-2"/>
    <n v="11.049085603998899"/>
    <n v="2.7190762464480409"/>
    <n v="2.7340656063955362"/>
    <n v="5.5959437511553221"/>
    <n v="3.9451010766235091"/>
    <n v="0.19999999999999907"/>
  </r>
  <r>
    <x v="8"/>
    <d v="2027-03-31T00:00:00"/>
    <n v="2.4790767177681916E-2"/>
    <n v="3.5102777645314109E-2"/>
    <n v="11.323000912733912"/>
    <n v="2.7564796588441327"/>
    <n v="2.7741443335219671"/>
    <n v="5.792376920367813"/>
    <n v="3.7259053990215225"/>
    <n v="0.19999999999999907"/>
  </r>
  <r>
    <x v="9"/>
    <d v="2027-04-30T00:00:00"/>
    <n v="2.4191469373711527E-2"/>
    <n v="3.3699636209867379E-2"/>
    <n v="11.596920942532822"/>
    <n v="2.7944647753070022"/>
    <n v="2.8148782518511815"/>
    <n v="5.9875779153746391"/>
    <n v="3.7259144668877893"/>
    <n v="0.19999999999999907"/>
  </r>
  <r>
    <x v="10"/>
    <d v="2027-05-31T00:00:00"/>
    <n v="2.7317872686310807E-2"/>
    <n v="4.0137558866504275E-2"/>
    <n v="11.913724152394146"/>
    <n v="2.8313531663276641"/>
    <n v="2.8544663096457104"/>
    <n v="6.2279046764207706"/>
    <n v="4.2619042864848318"/>
    <n v="0.19999999999999907"/>
  </r>
  <r>
    <x v="11"/>
    <d v="2027-06-30T00:00:00"/>
    <n v="2.4991695237664535E-2"/>
    <n v="3.4783630963725498E-2"/>
    <n v="12.211468315556385"/>
    <n v="2.8704620503902687"/>
    <n v="2.8964724508034645"/>
    <n v="6.4445338143626509"/>
    <n v="4.0236495621837634"/>
    <n v="0.19999999999999907"/>
  </r>
  <r>
    <x v="12"/>
    <d v="2027-07-31T00:00:00"/>
    <n v="2.4382759236579066E-2"/>
    <n v="3.3413643991757169E-2"/>
    <n v="12.509217607419711"/>
    <n v="2.9101810618141002"/>
    <n v="2.939167372677006"/>
    <n v="6.6598691729286053"/>
    <n v="4.0236637587511161"/>
    <n v="0.19999999999999907"/>
  </r>
  <r>
    <x v="13"/>
    <d v="2027-08-31T00:00:00"/>
    <n v="2.7773232679600968E-2"/>
    <n v="4.0130024213691495E-2"/>
    <n v="12.575504748196762"/>
    <n v="2.6676659733295915"/>
    <n v="2.9807088907689221"/>
    <n v="6.9271298840982478"/>
    <n v="4.3281914272618831"/>
    <n v="0.19999999999999907"/>
  </r>
  <r>
    <x v="14"/>
    <d v="2027-09-30T00:00:00"/>
    <n v="2.5978864848275274E-2"/>
    <n v="3.5437609235685175E-2"/>
    <n v="12.622600890136715"/>
    <n v="2.4251508848450829"/>
    <n v="3.0248391992358732"/>
    <n v="7.1726108060557578"/>
    <n v="4.0707457041237136"/>
    <n v="0.19999999999999907"/>
  </r>
  <r>
    <x v="15"/>
    <d v="2027-10-31T00:00:00"/>
    <n v="2.5879289301875774E-2"/>
    <n v="3.5048687072331886E-2"/>
    <n v="12.67441661800342"/>
    <n v="2.1826357963605747"/>
    <n v="3.0677794239540126"/>
    <n v="7.4240013976888335"/>
    <n v="4.075479486617823"/>
    <n v="0.19999999999999907"/>
  </r>
  <r>
    <x v="16"/>
    <d v="2027-11-30T00:00:00"/>
    <n v="2.7861417943824796E-2"/>
    <n v="3.7752418385272213E-2"/>
    <n v="12.755844340069533"/>
    <n v="1.9401207078760663"/>
    <n v="3.1114482276462394"/>
    <n v="7.7042754045472277"/>
    <n v="4.4096191493279946"/>
    <n v="0.19999999999999907"/>
  </r>
  <r>
    <x v="17"/>
    <d v="2027-12-31T00:00:00"/>
    <n v="2.59294946993609E-2"/>
    <n v="3.2946749978003176E-2"/>
    <n v="12.815666171301931"/>
    <n v="1.6976056193915581"/>
    <n v="3.1599543118478484"/>
    <n v="7.9581062400625235"/>
    <n v="4.1305675353561133"/>
    <n v="0.19999999999999907"/>
  </r>
  <r>
    <x v="18"/>
    <d v="2028-01-31T00:00:00"/>
    <n v="2.5836554604858897E-2"/>
    <n v="3.3059862973408904E-2"/>
    <n v="12.881446388648696"/>
    <n v="1.4550905309070497"/>
    <n v="3.2051557158548261"/>
    <n v="8.2212001418868201"/>
    <n v="4.1412597039645869"/>
    <n v="0.19999999999999907"/>
  </r>
  <r>
    <x v="19"/>
    <d v="2028-02-29T00:00:00"/>
    <n v="2.7958786176154993E-2"/>
    <n v="3.5829727290713542E-2"/>
    <n v="12.979466839581621"/>
    <n v="1.2125754424225412"/>
    <n v="3.2511278961860786"/>
    <n v="8.5157635009730015"/>
    <n v="4.5076396002609203"/>
    <n v="0.19999999999999907"/>
  </r>
  <r>
    <x v="20"/>
    <d v="2028-03-31T00:00:00"/>
    <n v="2.5877670126932761E-2"/>
    <n v="3.1351461889912224E-2"/>
    <n v="13.054947256733801"/>
    <n v="0.97006035393803303"/>
    <n v="3.3021417669585045"/>
    <n v="8.7827451358372617"/>
    <n v="4.2060479525082943"/>
    <n v="0.19999999999999907"/>
  </r>
  <r>
    <x v="21"/>
    <d v="2028-04-30T00:00:00"/>
    <n v="2.579572923525264E-2"/>
    <n v="3.1748137126508036E-2"/>
    <n v="13.13665888640968"/>
    <n v="0.72754526545352483"/>
    <n v="3.3475326881991601"/>
    <n v="9.0615809327569963"/>
    <n v="4.2229713336404657"/>
    <n v="0.19999999999999907"/>
  </r>
  <r>
    <x v="22"/>
    <d v="2028-05-31T00:00:00"/>
    <n v="2.8059100042086227E-2"/>
    <n v="3.3967989486991312E-2"/>
    <n v="13.252431793095369"/>
    <n v="0.48503017696901651"/>
    <n v="3.3980169975099468"/>
    <n v="9.3693846186164063"/>
    <n v="4.6234125069466092"/>
    <n v="0.19999999999999907"/>
  </r>
  <r>
    <x v="23"/>
    <d v="2028-06-30T00:00:00"/>
    <n v="2.5833166825579568E-2"/>
    <n v="3.0322620925222532E-2"/>
    <n v="13.345376735270522"/>
    <n v="0.2425150884845082"/>
    <n v="3.449372730076691"/>
    <n v="9.653488916709323"/>
    <n v="4.2989928946834448"/>
    <n v="0.19999999999999907"/>
  </r>
  <r>
    <x v="24"/>
    <d v="2028-07-31T00:00:00"/>
    <n v="2.5760993543198163E-2"/>
    <n v="3.0101940800062676E-2"/>
    <n v="13.443352779749294"/>
    <n v="7.549516567451065E-17"/>
    <n v="3.4992751111551241"/>
    <n v="9.9440776685941685"/>
    <n v="4.3209473781192376"/>
    <n v="0.19999999999999907"/>
  </r>
  <r>
    <x v="25"/>
    <d v="2028-08-31T00:00:00"/>
    <n v="2.8248471535063491E-2"/>
    <n v="3.2622708787753529E-2"/>
    <n v="13.476149270431716"/>
    <n v="7.6618122175788737E-17"/>
    <n v="3.2076688518921972"/>
    <n v="10.268480418539518"/>
    <n v="4.6562089976290295"/>
    <n v="0.19999999999999907"/>
  </r>
  <r>
    <x v="26"/>
    <d v="2028-09-30T00:00:00"/>
    <n v="2.6079297578972538E-2"/>
    <n v="2.9697052871660246E-2"/>
    <n v="13.489486617069762"/>
    <n v="7.7662758687507139E-17"/>
    <n v="2.9160625926292698"/>
    <n v="10.573424024440493"/>
    <n v="4.312330241321491"/>
    <n v="0.19999999999999907"/>
  </r>
  <r>
    <x v="27"/>
    <d v="2028-10-31T00:00:00"/>
    <n v="2.619212927020409E-2"/>
    <n v="2.9412996307739192E-2"/>
    <n v="13.508876439597863"/>
    <n v="7.8722838564770462E-17"/>
    <n v="2.6244563333663429"/>
    <n v="10.884420106231522"/>
    <n v="4.3403372006473395"/>
    <n v="0.19999999999999907"/>
  </r>
  <r>
    <x v="28"/>
    <d v="2028-11-30T00:00:00"/>
    <n v="2.8310843919380657E-2"/>
    <n v="3.1475443499561662E-2"/>
    <n v="13.559862130414121"/>
    <n v="7.9847214860733327E-17"/>
    <n v="2.3328500741034155"/>
    <n v="11.227012056310706"/>
    <n v="4.707194688445286"/>
    <n v="0.19999999999999907"/>
  </r>
  <r>
    <x v="29"/>
    <d v="2028-12-31T00:00:00"/>
    <n v="2.5994805361747364E-2"/>
    <n v="2.8375672394661322E-2"/>
    <n v="13.58682988723198"/>
    <n v="8.0938963047417531E-17"/>
    <n v="2.0412438148404881"/>
    <n v="11.545586072391492"/>
    <n v="4.3392979981393518"/>
    <n v="0.19999999999999907"/>
  </r>
  <r>
    <x v="30"/>
    <d v="2029-01-31T00:00:00"/>
    <n v="2.6120361798132263E-2"/>
    <n v="2.8049200759250992E-2"/>
    <n v="13.619068089596775"/>
    <n v="8.209695423161118E-17"/>
    <n v="1.7496375555775612"/>
    <n v="11.869430534019212"/>
    <n v="4.3725754030121324"/>
    <n v="0.19999999999999907"/>
  </r>
  <r>
    <x v="31"/>
    <d v="2029-02-28T00:00:00"/>
    <n v="2.8395574566832504E-2"/>
    <n v="3.0534367428343145E-2"/>
    <n v="13.689887383424786"/>
    <n v="8.3169318590248878E-17"/>
    <n v="1.4580312963146342"/>
    <n v="12.231856087110151"/>
    <n v="4.7780139822732961"/>
    <n v="0.19999999999999907"/>
  </r>
  <r>
    <x v="32"/>
    <d v="2029-03-31T00:00:00"/>
    <n v="2.5910671653754935E-2"/>
    <n v="2.7183228162414252E-2"/>
    <n v="13.730782459027589"/>
    <n v="8.4361235604012002E-17"/>
    <n v="1.1664250370517071"/>
    <n v="12.564357421975881"/>
    <n v="4.3801930737421548"/>
    <n v="0.19999999999999907"/>
  </r>
  <r>
    <x v="33"/>
    <d v="2029-04-30T00:00:00"/>
    <n v="2.6039864240542832E-2"/>
    <n v="2.7165429506536443E-2"/>
    <n v="13.780492365606275"/>
    <n v="8.5465662700490827E-17"/>
    <n v="0.87481877778877981"/>
    <n v="12.905673587817494"/>
    <n v="4.4222853095908201"/>
    <n v="0.19999999999999907"/>
  </r>
  <r>
    <x v="34"/>
    <d v="2029-05-31T00:00:00"/>
    <n v="2.8502407648075323E-2"/>
    <n v="2.9355359176919116E-2"/>
    <n v="13.867736789933808"/>
    <n v="8.6745580712108867E-17"/>
    <n v="0.58321251852585299"/>
    <n v="13.284524271407955"/>
    <n v="4.8652584066008275"/>
    <n v="0.19999999999999907"/>
  </r>
  <r>
    <x v="35"/>
    <d v="2029-06-30T00:00:00"/>
    <n v="2.5824438381254922E-2"/>
    <n v="2.6317612654278122E-2"/>
    <n v="13.925747494742151"/>
    <n v="8.7936340169038506E-17"/>
    <n v="0.29160625926292583"/>
    <n v="13.634141235479227"/>
    <n v="4.4382037785504975"/>
    <n v="0.19999999999999907"/>
  </r>
  <r>
    <x v="36"/>
    <d v="2029-07-31T00:00:00"/>
    <n v="2.5976760815726863E-2"/>
    <n v="2.6219952078550879E-2"/>
    <n v="13.991627765305683"/>
    <n v="8.9144803172549937E-17"/>
    <n v="-1.0480505352461477E-15"/>
    <n v="13.991627765305685"/>
    <n v="4.4881655801543516"/>
    <n v="0.19999999999999907"/>
  </r>
  <r>
    <x v="37"/>
    <d v="2029-08-31T00:00:00"/>
    <n v="2.8368342435438398E-2"/>
    <n v="2.8368342435438398E-2"/>
    <n v="14.388547052981064"/>
    <n v="9.0482826561668444E-17"/>
    <n v="-1.0647701841253281E-15"/>
    <n v="14.388547052981066"/>
    <n v="5.2621776942762102"/>
    <n v="0.19999999999999907"/>
  </r>
  <r>
    <x v="38"/>
    <d v="2029-09-30T00:00:00"/>
    <n v="2.5004994500317235E-2"/>
    <n v="2.5004994500317235E-2"/>
    <n v="14.748332592908412"/>
    <n v="9.167072754428395E-17"/>
    <n v="-1.0796263817408656E-15"/>
    <n v="14.748332592908413"/>
    <n v="4.7979893184778444"/>
    <n v="0.19999999999999907"/>
  </r>
  <r>
    <x v="39"/>
    <d v="2029-10-31T00:00:00"/>
    <n v="2.4689768576414028E-2"/>
    <n v="2.4689768576414028E-2"/>
    <n v="15.112465511515305"/>
    <n v="9.2991143755921177E-17"/>
    <n v="-1.0961528436389362E-15"/>
    <n v="15.112465511515307"/>
    <n v="4.852298498761245"/>
    <n v="0.19999999999999907"/>
  </r>
  <r>
    <x v="40"/>
    <d v="2029-11-30T00:00:00"/>
    <n v="2.8548601576533938E-2"/>
    <n v="2.8548601576533938E-2"/>
    <n v="15.543905268242664"/>
    <n v="9.4331329893925501E-17"/>
    <n v="-1.1129411434575047E-15"/>
    <n v="15.543905268242666"/>
    <n v="5.6936174510035693"/>
    <n v="0.19999999999999907"/>
  </r>
  <r>
    <x v="41"/>
    <d v="2029-12-31T00:00:00"/>
    <n v="2.5159506581138746E-2"/>
    <n v="2.5159506581138746E-2"/>
    <n v="15.934982255135614"/>
    <n v="9.5632044615062406E-17"/>
    <n v="-1.1292486580510333E-15"/>
    <n v="15.934982255135616"/>
    <n v="5.1890663053707939"/>
    <n v="0.19999999999999907"/>
  </r>
  <r>
    <x v="42"/>
    <d v="2030-01-31T00:00:00"/>
    <n v="2.4838493987175969E-2"/>
    <n v="2.4838493987175969E-2"/>
    <n v="16.330783216065555"/>
    <n v="9.707227580739554E-17"/>
    <n v="-1.1473208406013141E-15"/>
    <n v="16.330783216065559"/>
    <n v="5.2480994596911863"/>
    <n v="0.19999999999999907"/>
  </r>
  <r>
    <x v="43"/>
    <d v="2030-02-28T00:00:00"/>
    <n v="2.8716266971739346E-2"/>
    <n v="2.8716266971739346E-2"/>
    <n v="16.799742346755696"/>
    <n v="9.835025961949478E-17"/>
    <n v="-1.1633710954214949E-15"/>
    <n v="16.799742346755696"/>
    <n v="6.162576581693707"/>
    <n v="0.19999999999999907"/>
  </r>
  <r>
    <x v="44"/>
    <d v="2030-03-31T00:00:00"/>
    <n v="2.5303244662176816E-2"/>
    <n v="2.5303244662176816E-2"/>
    <n v="17.224830337617185"/>
    <n v="9.9708667122988314E-17"/>
    <n v="-1.1804444940950411E-15"/>
    <n v="17.224830337617185"/>
    <n v="5.6141542962322841"/>
    <n v="0.19999999999999907"/>
  </r>
  <r>
    <x v="45"/>
    <d v="2030-04-30T00:00:00"/>
    <n v="2.4976976404897266E-2"/>
    <n v="2.4976976404897266E-2"/>
    <n v="17.655054518538208"/>
    <n v="1.0108737526233307E-16"/>
    <n v="-1.1977866870273079E-15"/>
    <n v="17.655054518538208"/>
    <n v="5.6783236406122084"/>
    <n v="0.19999999999999907"/>
  </r>
  <r>
    <x v="46"/>
    <d v="2030-05-31T00:00:00"/>
    <n v="2.8872407622708041E-2"/>
    <n v="2.8872407622708041E-2"/>
    <n v="18.164798449198575"/>
    <n v="1.0261317188706299E-16"/>
    <n v="-1.2169961454962134E-15"/>
    <n v="18.164798449198575"/>
    <n v="6.6723205123540756"/>
    <n v="0.19999999999999907"/>
  </r>
  <r>
    <x v="47"/>
    <d v="2030-06-30T00:00:00"/>
    <n v="2.5436838045004961E-2"/>
    <n v="2.5436838045004961E-2"/>
    <n v="18.626853485470996"/>
    <n v="1.0396712400559261E-16"/>
    <n v="-1.2340569680017399E-15"/>
    <n v="18.626853485470996"/>
    <n v="6.0762093325047042"/>
    <n v="0.19999999999999907"/>
  </r>
  <r>
    <x v="48"/>
    <d v="2030-07-31T00:00:00"/>
    <n v="2.5105497048635739E-2"/>
    <n v="2.5105497048635739E-2"/>
    <n v="19.09448990067586"/>
    <n v="1.0547136962288109E-16"/>
    <n v="-1.2530271435675517E-15"/>
    <n v="19.09448990067586"/>
    <n v="6.1459600558170715"/>
    <n v="0.19999999999999907"/>
  </r>
  <r>
    <x v="49"/>
    <d v="2030-08-31T00:00:00"/>
    <n v="2.9017320110315881E-2"/>
    <n v="2.9017320110315881E-2"/>
    <n v="19.648560826466962"/>
    <n v="1.0699737937858135E-16"/>
    <n v="-1.2722889325437074E-15"/>
    <n v="19.648560826466962"/>
    <n v="7.226391438145181"/>
    <n v="0.19999999999999907"/>
  </r>
  <r>
    <x v="50"/>
    <d v="2030-09-30T00:00:00"/>
    <n v="2.5560986947828157E-2"/>
    <n v="2.5560986947828157E-2"/>
    <n v="20.150797433295892"/>
    <n v="1.0841075447135156E-16"/>
    <n v="-1.2901436317668791E-15"/>
    <n v="20.150797433295892"/>
    <n v="6.5784459393336308"/>
    <n v="0.19999999999999907"/>
  </r>
  <r>
    <x v="51"/>
    <d v="2030-10-31T00:00:00"/>
    <n v="2.520986752336829E-2"/>
    <n v="2.520986752336829E-2"/>
    <n v="20.658796367079511"/>
    <n v="1.1004891571932871E-16"/>
    <n v="-1.31085602024987E-15"/>
    <n v="20.658796367079511"/>
    <n v="6.6539589896006941"/>
    <n v="0.19999999999999907"/>
  </r>
  <r>
    <x v="52"/>
    <d v="2030-11-30T00:00:00"/>
    <n v="2.9137753901272267E-2"/>
    <n v="2.9137753901272267E-2"/>
    <n v="21.260747291519973"/>
    <n v="1.1157314865010411E-16"/>
    <n v="-1.3301444776379062E-15"/>
    <n v="21.260747291519973"/>
    <n v="7.8283423625856443"/>
    <n v="0.19999999999999907"/>
  </r>
  <r>
    <x v="53"/>
    <d v="2030-12-31T00:00:00"/>
    <n v="2.5662683917272666E-2"/>
    <n v="2.5662683917272666E-2"/>
    <n v="21.806355129107263"/>
    <n v="1.1311849297495432E-16"/>
    <n v="-1.3497167530674838E-15"/>
    <n v="21.806355129107263"/>
    <n v="7.1240537769209205"/>
    <n v="0.19999999999999907"/>
  </r>
  <r>
    <x v="54"/>
    <d v="2031-01-31T00:00:00"/>
    <n v="2.5321709497768463E-2"/>
    <n v="2.5321709497768463E-2"/>
    <n v="22.358529318891691"/>
    <n v="1.1482874430363334E-16"/>
    <n v="-1.3713969284877052E-15"/>
    <n v="22.358529318891691"/>
    <n v="7.2061331793851195"/>
    <n v="0.19999999999999907"/>
  </r>
  <r>
    <x v="55"/>
    <d v="2031-02-28T00:00:00"/>
    <n v="2.9512991114667653E-2"/>
    <n v="2.9512991114667653E-2"/>
    <n v="23.018396396017174"/>
    <n v="1.1634641212763698E-16"/>
    <n v="-1.3906525600932122E-15"/>
    <n v="23.018396396017174"/>
    <n v="8"/>
    <n v="0.68820943971113113"/>
  </r>
  <r>
    <x v="56"/>
    <d v="2031-03-31T00:00:00"/>
    <n v="2.586724921905903E-2"/>
    <n v="2.586724921905903E-2"/>
    <n v="23.613818992216043"/>
    <n v="1.1795786855665622E-16"/>
    <n v="-1.411115175538811E-15"/>
    <n v="23.613818992216043"/>
    <n v="8"/>
    <n v="0.40768581283091565"/>
  </r>
  <r>
    <x v="57"/>
    <d v="2031-04-30T00:00:00"/>
    <n v="2.5423784017922113E-2"/>
    <n v="2.5423784017922113E-2"/>
    <n v="24.214171626112453"/>
    <n v="1.196673939198122E-16"/>
    <n v="-1.4328413107242386E-15"/>
    <n v="24.214171626112453"/>
    <n v="8"/>
    <n v="0.21417162611244525"/>
  </r>
  <r>
    <x v="58"/>
    <d v="2031-05-31T00:00:00"/>
    <n v="2.7963717593706638E-2"/>
    <n v="2.7963717593706638E-2"/>
    <n v="24.891289883230606"/>
    <n v="1.2140169488296023E-16"/>
    <n v="-1.4549019508163372E-15"/>
    <n v="24.891289883230606"/>
    <n v="8"/>
    <n v="0.89128988323059677"/>
  </r>
  <r>
    <x v="59"/>
    <d v="2031-06-30T00:00:00"/>
    <n v="2.7517309774300447E-2"/>
    <n v="2.7517309774300447E-2"/>
    <n v="25.576231217629374"/>
    <n v="1.2300712913889751E-16"/>
    <n v="-1.4753407789386333E-15"/>
    <n v="25.576231217629374"/>
    <n v="8"/>
    <n v="1.5762312176293647"/>
  </r>
  <r>
    <x v="60"/>
    <d v="2031-07-31T00:00:00"/>
    <n v="2.7089792456479245E-2"/>
    <n v="2.7089792456479245E-2"/>
    <n v="26.269086013133876"/>
    <n v="1.2486792400541674E-16"/>
    <n v="-1.4990512616457949E-15"/>
    <n v="26.269086013133876"/>
    <n v="8"/>
    <n v="2.26908601313387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CC73C9-5C7F-4623-BB8F-54280E48CBE2}" name="Tabela dinâ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L104:O166" firstHeaderRow="0" firstDataRow="1" firstDataCol="1"/>
  <pivotFields count="10">
    <pivotField axis="axisRow" showAll="0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numFmtId="14" showAll="0"/>
    <pivotField numFmtId="10" showAll="0"/>
    <pivotField numFmtId="10" showAll="0"/>
    <pivotField numFmtId="4" showAll="0"/>
    <pivotField dataField="1" numFmtId="4" showAll="0"/>
    <pivotField dataField="1" numFmtId="4" showAll="0"/>
    <pivotField dataField="1" numFmtId="4" showAll="0"/>
    <pivotField numFmtId="4" showAll="0"/>
    <pivotField numFmtId="4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áx. de Sênior" fld="5" subtotal="max" baseField="0" baseItem="0" numFmtId="4"/>
    <dataField name="Máx. de Meza" fld="6" subtotal="max" baseField="0" baseItem="0" numFmtId="4"/>
    <dataField name="Máx. de Junior" fld="7" subtotal="max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DB00-1A78-495C-AF77-54186050BF37}" name="Tabela1" displayName="Tabela1" ref="A1:O5003" totalsRowShown="0" headerRowDxfId="17">
  <autoFilter ref="A1:O5003" xr:uid="{F740DB00-1A78-495C-AF77-54186050BF37}"/>
  <tableColumns count="15">
    <tableColumn id="1" xr3:uid="{6110DD53-9E26-428C-9775-8C080A485A8A}" name="Papel"/>
    <tableColumn id="2" xr3:uid="{E6C2EF83-4827-48BF-A7F4-1F0E2FE677F6}" name="PDD"/>
    <tableColumn id="3" xr3:uid="{9F4042D3-294B-4149-9E58-878E2F54F18A}" name="PERFORMADO"/>
    <tableColumn id="6" xr3:uid="{232F2F14-3FF3-47A2-83FF-74696C855380}" name="Data de Cessão" dataDxfId="16">
      <calculatedColumnFormula>Inputs!B3</calculatedColumnFormula>
    </tableColumn>
    <tableColumn id="7" xr3:uid="{DA3A639F-D9DB-47E7-BF1C-23847ABC1D43}" name="Venc.">
      <calculatedColumnFormula>D2+90</calculatedColumnFormula>
    </tableColumn>
    <tableColumn id="9" xr3:uid="{E66015AF-965A-4567-BC73-89F9CA1DDDF9}" name="Valor de Cessão" dataDxfId="15">
      <calculatedColumnFormula>Caixa!D$10</calculatedColumnFormula>
    </tableColumn>
    <tableColumn id="10" xr3:uid="{75753CB5-7E9D-41BD-B4D8-54ACFDFEE1F0}" name="Deságio ">
      <calculatedColumnFormula>H2-F2</calculatedColumnFormula>
    </tableColumn>
    <tableColumn id="11" xr3:uid="{07A67A89-32F8-4581-9C9E-7D227C806E55}" name="Nominal">
      <calculatedColumnFormula>(F2/(1-I2))</calculatedColumnFormula>
    </tableColumn>
    <tableColumn id="12" xr3:uid="{445CF12D-6788-4062-87AF-B6F8C77C7057}" name="Tx. Deságio"/>
    <tableColumn id="13" xr3:uid="{C2BD6F92-1CBD-4AB6-BBA3-007BD9034504}" name="Tx.aa">
      <calculatedColumnFormula>(H2/F2)^(1/O2)-1</calculatedColumnFormula>
    </tableColumn>
    <tableColumn id="14" xr3:uid="{4806E8BC-ED49-430A-9298-6395AB3E5E66}" name="Tx.am">
      <calculatedColumnFormula>(1+J2)^(1/12)-1</calculatedColumnFormula>
    </tableColumn>
    <tableColumn id="15" xr3:uid="{E0086259-1CF9-4339-B246-52263F4F09F7}" name="Tx.dia"/>
    <tableColumn id="16" xr3:uid="{9F302E66-9246-44FA-A5E2-F06BC156C6AC}" name="DIAS">
      <calculatedColumnFormula>(E2-D2)</calculatedColumnFormula>
    </tableColumn>
    <tableColumn id="17" xr3:uid="{F081D2CB-C1E8-434E-97F6-E76D591CB278}" name="MESES">
      <calculatedColumnFormula>M2/30</calculatedColumnFormula>
    </tableColumn>
    <tableColumn id="18" xr3:uid="{A624A0EC-049B-4C0E-A3FC-A076D5C73CF8}" name="ANO">
      <calculatedColumnFormula>N2/12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BC903A-0F59-43E0-8CCA-61FFEFDFF140}" name="Tabela2" displayName="Tabela2" ref="A41:J102" totalsRowShown="0" headerRowDxfId="11" dataDxfId="10">
  <autoFilter ref="A41:J102" xr:uid="{07BC903A-0F59-43E0-8CCA-61FFEFDFF140}"/>
  <tableColumns count="10">
    <tableColumn id="1" xr3:uid="{B0ED52E1-73B5-4A82-A712-E60E9BA65AA6}" name="Periodo" dataDxfId="9">
      <calculatedColumnFormula>A41+1</calculatedColumnFormula>
    </tableColumn>
    <tableColumn id="2" xr3:uid="{F356116D-0738-4724-90C6-9B0DD1A339E1}" name="DATAREF" dataDxfId="8" dataCellStyle="Porcentagem">
      <calculatedColumnFormula>_xlfn.XLOOKUP(Tabela2[[#This Row],[Periodo]],Caixa!$C$2:$BK$2,Caixa!$C$3:$BK$3)</calculatedColumnFormula>
    </tableColumn>
    <tableColumn id="3" xr3:uid="{5A69FD03-42A0-43EF-BDF2-C0194A026B72}" name="Rentabilidade dos ativos2" dataDxfId="7" dataCellStyle="Porcentagem">
      <calculatedColumnFormula>_xlfn.XLOOKUP($A42,Caixa!$C$53:$BK$53,Caixa!$C$54:$BK$54)</calculatedColumnFormula>
    </tableColumn>
    <tableColumn id="4" xr3:uid="{411C62C0-5FDC-4FA7-8A62-ED7CBDE990D4}" name="Rentabilidade da cota junior" dataDxfId="6" dataCellStyle="Porcentagem">
      <calculatedColumnFormula>_xlfn.XLOOKUP($A42,Caixa!$C$53:$BK$53,Caixa!$C$55:$BK$55)</calculatedColumnFormula>
    </tableColumn>
    <tableColumn id="5" xr3:uid="{B492B1B4-C4B5-492E-B598-B0009248FFDA}" name="Patrimônio Líquido" dataDxfId="5">
      <calculatedColumnFormula>_xlfn.XLOOKUP($A42,Caixa!$C$53:$BK$53,Caixa!$C$56:$BK$56)/$F$40</calculatedColumnFormula>
    </tableColumn>
    <tableColumn id="6" xr3:uid="{93FE17EF-430F-4A72-93CD-F5D1E024249B}" name="Sênior" dataDxfId="4">
      <calculatedColumnFormula>_xlfn.XLOOKUP($A42,Caixa!$C$53:$BK$53,Caixa!$C$57:$BK$57)/$F$40</calculatedColumnFormula>
    </tableColumn>
    <tableColumn id="7" xr3:uid="{7DE9529D-EC69-487F-8A37-AF73EA741114}" name="Meza" dataDxfId="3">
      <calculatedColumnFormula>_xlfn.XLOOKUP($A42,Caixa!$C$53:$BK$53,Caixa!$C$58:$BK$58)/$F$40</calculatedColumnFormula>
    </tableColumn>
    <tableColumn id="8" xr3:uid="{7B896A6A-07D4-4B1A-84F4-8CE1942D4770}" name="Junior" dataDxfId="2">
      <calculatedColumnFormula>_xlfn.XLOOKUP($A42,Caixa!$C$53:$BK$53,Caixa!$C$59:$BK$59)/$F$40</calculatedColumnFormula>
    </tableColumn>
    <tableColumn id="9" xr3:uid="{C653C33D-27FD-457B-A516-D580260FAD1D}" name="Volume Operado" dataDxfId="1">
      <calculatedColumnFormula>_xlfn.XLOOKUP($A42,Caixa!$C$53:$BK$53,Caixa!$C$60:$BK$60)/$F$40</calculatedColumnFormula>
    </tableColumn>
    <tableColumn id="10" xr3:uid="{F289CDD9-70F7-4512-9492-4B7074FA4FBF}" name="Caixa" dataDxfId="0">
      <calculatedColumnFormula>_xlfn.XLOOKUP($A42,Caixa!$C$53:$BK$53,Caixa!$C$61:$BK$61)/$F$40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ecsFinanceiras">
  <a:themeElements>
    <a:clrScheme name="Azul Quente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Secs Financeiras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6-09-24T22:14:40.76" personId="{3E488196-E670-4AE0-B43E-A9C33185FA50}" id="{A2B3006D-6D42-45EF-8858-8DC062054B61}">
    <text xml:space="preserve">O ajuste do caixa ao limite de acordo com mínimo pode ser feito de duas formas:
1 - AJUSTE TOTAL DA PROJEÇÃO : 
Ao clicar no botão azul todos os períodos pós prazo de recebimento dos títulos é ajustado ao valor mínimo de caixa, garantindo a compra máxima de ativos respeitando valor minimo de caixa e volume máximo mensal.
2 - AJUSTE PONTUAL MÊS-A-MÊS :
Ao selecionar qualquer coluna da projeção, pressione CTRL+H para ajustar o caixa do período especifico. Segurar a o comando faz com que a projeção ajuste mês-a-mês em cadeia.
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7F16-F72E-4E3A-A0BB-DE5713989505}">
  <sheetPr codeName="Planilha1"/>
  <dimension ref="A1:K62"/>
  <sheetViews>
    <sheetView workbookViewId="0"/>
  </sheetViews>
  <sheetFormatPr defaultRowHeight="16.5" x14ac:dyDescent="0.3"/>
  <cols>
    <col min="3" max="3" width="10.375" bestFit="1" customWidth="1"/>
    <col min="10" max="10" width="10.375" bestFit="1" customWidth="1"/>
    <col min="11" max="11" width="9.75" bestFit="1" customWidth="1"/>
  </cols>
  <sheetData>
    <row r="1" spans="1:11" ht="17.25" customHeight="1" thickBot="1" x14ac:dyDescent="0.35">
      <c r="A1" s="12" t="s">
        <v>0</v>
      </c>
      <c r="B1" s="13"/>
      <c r="C1" s="13"/>
      <c r="D1" s="13"/>
      <c r="E1" s="13"/>
      <c r="F1" s="13"/>
      <c r="G1" s="13"/>
    </row>
    <row r="2" spans="1:11" ht="33.75" thickBot="1" x14ac:dyDescent="0.35">
      <c r="A2" s="4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I2" s="14" t="s">
        <v>8</v>
      </c>
      <c r="K2" s="1" t="e">
        <f>SUM(K3:K62)/Prazo/100</f>
        <v>#REF!</v>
      </c>
    </row>
    <row r="3" spans="1:11" ht="17.25" thickBot="1" x14ac:dyDescent="0.35">
      <c r="A3" s="6"/>
      <c r="B3" s="2" t="s">
        <v>9</v>
      </c>
      <c r="C3" s="3">
        <v>44105</v>
      </c>
      <c r="D3" s="11">
        <v>1.91</v>
      </c>
      <c r="E3" s="11">
        <v>1.9</v>
      </c>
      <c r="F3" s="11">
        <v>1.91</v>
      </c>
      <c r="G3" s="11">
        <v>1.91</v>
      </c>
      <c r="I3" s="15">
        <v>0</v>
      </c>
      <c r="J3" s="16">
        <f>C3</f>
        <v>44105</v>
      </c>
      <c r="K3">
        <f>IF(J3="-",0,VLOOKUP(J3,C:G,5,1))</f>
        <v>1.91</v>
      </c>
    </row>
    <row r="4" spans="1:11" ht="17.25" thickBot="1" x14ac:dyDescent="0.35">
      <c r="A4" s="6"/>
      <c r="B4" s="2" t="s">
        <v>9</v>
      </c>
      <c r="C4" s="3">
        <v>44138</v>
      </c>
      <c r="D4" s="11">
        <v>1.91</v>
      </c>
      <c r="E4" s="11">
        <v>1.9</v>
      </c>
      <c r="F4" s="11">
        <v>1.93</v>
      </c>
      <c r="G4" s="11">
        <v>1.92</v>
      </c>
      <c r="I4" t="e">
        <f t="shared" ref="I4:I35" si="0">IF(I3&lt;Prazo-1,I3+1,"-")</f>
        <v>#REF!</v>
      </c>
      <c r="J4" s="16" t="e">
        <f>IF(I4="-","-",EDATE(J3,1))</f>
        <v>#REF!</v>
      </c>
      <c r="K4" t="e">
        <f t="shared" ref="K4:K62" si="1">IF(J4="-",0,VLOOKUP(J4,C:G,5,1))</f>
        <v>#REF!</v>
      </c>
    </row>
    <row r="5" spans="1:11" ht="17.25" thickBot="1" x14ac:dyDescent="0.35">
      <c r="A5" s="6"/>
      <c r="B5" s="2" t="s">
        <v>9</v>
      </c>
      <c r="C5" s="3">
        <v>44166</v>
      </c>
      <c r="D5" s="11">
        <v>1.95</v>
      </c>
      <c r="E5" s="11">
        <v>1.94</v>
      </c>
      <c r="F5" s="11">
        <v>1.96</v>
      </c>
      <c r="G5" s="11">
        <v>1.95</v>
      </c>
      <c r="I5" t="e">
        <f t="shared" si="0"/>
        <v>#REF!</v>
      </c>
      <c r="J5" s="16" t="e">
        <f t="shared" ref="J5:J62" si="2">IF(I5="-","-",EDATE(J4,1))</f>
        <v>#REF!</v>
      </c>
      <c r="K5" t="e">
        <f t="shared" si="1"/>
        <v>#REF!</v>
      </c>
    </row>
    <row r="6" spans="1:11" ht="17.25" thickBot="1" x14ac:dyDescent="0.35">
      <c r="A6" s="6"/>
      <c r="B6" s="2" t="s">
        <v>9</v>
      </c>
      <c r="C6" s="3">
        <v>44200</v>
      </c>
      <c r="D6" s="11">
        <v>1.95</v>
      </c>
      <c r="E6" s="11">
        <v>1.95</v>
      </c>
      <c r="F6" s="11">
        <v>1.98</v>
      </c>
      <c r="G6" s="11">
        <v>1.96</v>
      </c>
      <c r="I6" t="e">
        <f t="shared" si="0"/>
        <v>#REF!</v>
      </c>
      <c r="J6" s="16" t="e">
        <f t="shared" si="2"/>
        <v>#REF!</v>
      </c>
      <c r="K6" t="e">
        <f t="shared" si="1"/>
        <v>#REF!</v>
      </c>
    </row>
    <row r="7" spans="1:11" ht="17.25" thickBot="1" x14ac:dyDescent="0.35">
      <c r="A7" s="6"/>
      <c r="B7" s="2" t="s">
        <v>9</v>
      </c>
      <c r="C7" s="3">
        <v>44228</v>
      </c>
      <c r="D7" s="11">
        <v>1.99</v>
      </c>
      <c r="E7" s="11">
        <v>1.99</v>
      </c>
      <c r="F7" s="11">
        <v>2</v>
      </c>
      <c r="G7" s="11">
        <v>1.99</v>
      </c>
      <c r="I7" t="e">
        <f t="shared" si="0"/>
        <v>#REF!</v>
      </c>
      <c r="J7" s="16" t="e">
        <f t="shared" si="2"/>
        <v>#REF!</v>
      </c>
      <c r="K7" t="e">
        <f t="shared" si="1"/>
        <v>#REF!</v>
      </c>
    </row>
    <row r="8" spans="1:11" ht="17.25" thickBot="1" x14ac:dyDescent="0.35">
      <c r="A8" s="6"/>
      <c r="B8" s="2" t="s">
        <v>9</v>
      </c>
      <c r="C8" s="3">
        <v>44256</v>
      </c>
      <c r="D8" s="11">
        <v>2.0499999999999998</v>
      </c>
      <c r="E8" s="11">
        <v>2.04</v>
      </c>
      <c r="F8" s="11">
        <v>2.0699999999999998</v>
      </c>
      <c r="G8" s="11">
        <v>2.0499999999999998</v>
      </c>
      <c r="I8" t="e">
        <f t="shared" si="0"/>
        <v>#REF!</v>
      </c>
      <c r="J8" s="16" t="e">
        <f t="shared" si="2"/>
        <v>#REF!</v>
      </c>
      <c r="K8" t="e">
        <f t="shared" si="1"/>
        <v>#REF!</v>
      </c>
    </row>
    <row r="9" spans="1:11" ht="17.25" thickBot="1" x14ac:dyDescent="0.35">
      <c r="A9" s="6"/>
      <c r="B9" s="2" t="s">
        <v>9</v>
      </c>
      <c r="C9" s="3">
        <v>44287</v>
      </c>
      <c r="D9" s="11">
        <v>2.1</v>
      </c>
      <c r="E9" s="11">
        <v>2.1</v>
      </c>
      <c r="F9" s="11">
        <v>2.13</v>
      </c>
      <c r="G9" s="11">
        <v>2.11</v>
      </c>
      <c r="I9" t="e">
        <f t="shared" si="0"/>
        <v>#REF!</v>
      </c>
      <c r="J9" s="16" t="e">
        <f t="shared" si="2"/>
        <v>#REF!</v>
      </c>
      <c r="K9" t="e">
        <f t="shared" si="1"/>
        <v>#REF!</v>
      </c>
    </row>
    <row r="10" spans="1:11" ht="17.25" thickBot="1" x14ac:dyDescent="0.35">
      <c r="A10" s="6"/>
      <c r="B10" s="2" t="s">
        <v>9</v>
      </c>
      <c r="C10" s="3">
        <v>44319</v>
      </c>
      <c r="D10" s="11">
        <v>2.15</v>
      </c>
      <c r="E10" s="11">
        <v>2.15</v>
      </c>
      <c r="F10" s="11">
        <v>2.17</v>
      </c>
      <c r="G10" s="11">
        <v>2.17</v>
      </c>
      <c r="I10" t="e">
        <f t="shared" si="0"/>
        <v>#REF!</v>
      </c>
      <c r="J10" s="16" t="e">
        <f t="shared" si="2"/>
        <v>#REF!</v>
      </c>
      <c r="K10" t="e">
        <f t="shared" si="1"/>
        <v>#REF!</v>
      </c>
    </row>
    <row r="11" spans="1:11" ht="17.25" thickBot="1" x14ac:dyDescent="0.35">
      <c r="A11" s="6"/>
      <c r="B11" s="2" t="s">
        <v>9</v>
      </c>
      <c r="C11" s="3">
        <v>44348</v>
      </c>
      <c r="D11" s="11">
        <v>2.21</v>
      </c>
      <c r="E11" s="11">
        <v>2.19</v>
      </c>
      <c r="F11" s="11">
        <v>2.23</v>
      </c>
      <c r="G11" s="11">
        <v>2.2200000000000002</v>
      </c>
      <c r="I11" t="e">
        <f t="shared" si="0"/>
        <v>#REF!</v>
      </c>
      <c r="J11" s="16" t="e">
        <f t="shared" si="2"/>
        <v>#REF!</v>
      </c>
      <c r="K11" t="e">
        <f t="shared" si="1"/>
        <v>#REF!</v>
      </c>
    </row>
    <row r="12" spans="1:11" ht="17.25" thickBot="1" x14ac:dyDescent="0.35">
      <c r="A12" s="6"/>
      <c r="B12" s="2" t="s">
        <v>9</v>
      </c>
      <c r="C12" s="3">
        <v>44378</v>
      </c>
      <c r="D12" s="11">
        <v>2.2400000000000002</v>
      </c>
      <c r="E12" s="11">
        <v>2.2400000000000002</v>
      </c>
      <c r="F12" s="11">
        <v>2.31</v>
      </c>
      <c r="G12" s="11">
        <v>2.2799999999999998</v>
      </c>
      <c r="I12" t="e">
        <f t="shared" si="0"/>
        <v>#REF!</v>
      </c>
      <c r="J12" s="16" t="e">
        <f t="shared" si="2"/>
        <v>#REF!</v>
      </c>
      <c r="K12" t="e">
        <f t="shared" si="1"/>
        <v>#REF!</v>
      </c>
    </row>
    <row r="13" spans="1:11" ht="17.25" thickBot="1" x14ac:dyDescent="0.35">
      <c r="A13" s="6"/>
      <c r="B13" s="2" t="s">
        <v>9</v>
      </c>
      <c r="C13" s="3">
        <v>44410</v>
      </c>
      <c r="D13" s="11">
        <v>2.35</v>
      </c>
      <c r="E13" s="11">
        <v>2.35</v>
      </c>
      <c r="F13" s="11">
        <v>2.37</v>
      </c>
      <c r="G13" s="11">
        <v>2.36</v>
      </c>
      <c r="I13" t="e">
        <f t="shared" si="0"/>
        <v>#REF!</v>
      </c>
      <c r="J13" s="16" t="e">
        <f t="shared" si="2"/>
        <v>#REF!</v>
      </c>
      <c r="K13" t="e">
        <f t="shared" si="1"/>
        <v>#REF!</v>
      </c>
    </row>
    <row r="14" spans="1:11" ht="17.25" thickBot="1" x14ac:dyDescent="0.35">
      <c r="A14" s="6"/>
      <c r="B14" s="2" t="s">
        <v>9</v>
      </c>
      <c r="C14" s="3">
        <v>44440</v>
      </c>
      <c r="D14" s="11">
        <v>2.46</v>
      </c>
      <c r="E14" s="11">
        <v>2.46</v>
      </c>
      <c r="F14" s="11">
        <v>2.48</v>
      </c>
      <c r="G14" s="11">
        <v>2.4700000000000002</v>
      </c>
      <c r="I14" t="e">
        <f t="shared" si="0"/>
        <v>#REF!</v>
      </c>
      <c r="J14" s="16" t="e">
        <f t="shared" si="2"/>
        <v>#REF!</v>
      </c>
      <c r="K14" t="e">
        <f t="shared" si="1"/>
        <v>#REF!</v>
      </c>
    </row>
    <row r="15" spans="1:11" ht="17.25" thickBot="1" x14ac:dyDescent="0.35">
      <c r="A15" s="6"/>
      <c r="B15" s="2" t="s">
        <v>9</v>
      </c>
      <c r="C15" s="3">
        <v>44470</v>
      </c>
      <c r="D15" s="11">
        <v>2.5299999999999998</v>
      </c>
      <c r="E15" s="11">
        <v>2.52</v>
      </c>
      <c r="F15" s="11">
        <v>2.59</v>
      </c>
      <c r="G15" s="11">
        <v>2.56</v>
      </c>
      <c r="I15" t="e">
        <f t="shared" si="0"/>
        <v>#REF!</v>
      </c>
      <c r="J15" s="16" t="e">
        <f t="shared" si="2"/>
        <v>#REF!</v>
      </c>
      <c r="K15" t="e">
        <f t="shared" si="1"/>
        <v>#REF!</v>
      </c>
    </row>
    <row r="16" spans="1:11" ht="17.25" thickBot="1" x14ac:dyDescent="0.35">
      <c r="A16" s="6"/>
      <c r="B16" s="2" t="s">
        <v>9</v>
      </c>
      <c r="C16" s="3">
        <v>44564</v>
      </c>
      <c r="D16" s="11">
        <v>2.76</v>
      </c>
      <c r="E16" s="11">
        <v>2.75</v>
      </c>
      <c r="F16" s="11">
        <v>2.86</v>
      </c>
      <c r="G16" s="11">
        <v>2.8</v>
      </c>
      <c r="I16" t="e">
        <f t="shared" si="0"/>
        <v>#REF!</v>
      </c>
      <c r="J16" s="16" t="e">
        <f t="shared" si="2"/>
        <v>#REF!</v>
      </c>
      <c r="K16" t="e">
        <f t="shared" si="1"/>
        <v>#REF!</v>
      </c>
    </row>
    <row r="17" spans="1:11" ht="17.25" thickBot="1" x14ac:dyDescent="0.35">
      <c r="A17" s="6"/>
      <c r="B17" s="2" t="s">
        <v>9</v>
      </c>
      <c r="C17" s="3">
        <v>44652</v>
      </c>
      <c r="D17" s="11">
        <v>3.08</v>
      </c>
      <c r="E17" s="11">
        <v>3.08</v>
      </c>
      <c r="F17" s="11">
        <v>3.17</v>
      </c>
      <c r="G17" s="11">
        <v>3.12</v>
      </c>
      <c r="I17" t="e">
        <f t="shared" si="0"/>
        <v>#REF!</v>
      </c>
      <c r="J17" s="16" t="e">
        <f t="shared" si="2"/>
        <v>#REF!</v>
      </c>
      <c r="K17" t="e">
        <f t="shared" si="1"/>
        <v>#REF!</v>
      </c>
    </row>
    <row r="18" spans="1:11" ht="17.25" thickBot="1" x14ac:dyDescent="0.35">
      <c r="A18" s="6"/>
      <c r="B18" s="2" t="s">
        <v>9</v>
      </c>
      <c r="C18" s="3">
        <v>44743</v>
      </c>
      <c r="D18" s="11">
        <v>3.36</v>
      </c>
      <c r="E18" s="11">
        <v>3.36</v>
      </c>
      <c r="F18" s="11">
        <v>3.47</v>
      </c>
      <c r="G18" s="11">
        <v>3.43</v>
      </c>
      <c r="I18" t="e">
        <f t="shared" si="0"/>
        <v>#REF!</v>
      </c>
      <c r="J18" s="16" t="e">
        <f t="shared" si="2"/>
        <v>#REF!</v>
      </c>
      <c r="K18" t="e">
        <f t="shared" si="1"/>
        <v>#REF!</v>
      </c>
    </row>
    <row r="19" spans="1:11" ht="17.25" thickBot="1" x14ac:dyDescent="0.35">
      <c r="A19" s="6"/>
      <c r="B19" s="2" t="s">
        <v>9</v>
      </c>
      <c r="C19" s="3">
        <v>44837</v>
      </c>
      <c r="D19" s="11">
        <v>3.68</v>
      </c>
      <c r="E19" s="11">
        <v>3.68</v>
      </c>
      <c r="F19" s="11">
        <v>3.79</v>
      </c>
      <c r="G19" s="11">
        <v>3.74</v>
      </c>
      <c r="I19" t="e">
        <f t="shared" si="0"/>
        <v>#REF!</v>
      </c>
      <c r="J19" s="16" t="e">
        <f t="shared" si="2"/>
        <v>#REF!</v>
      </c>
      <c r="K19" t="e">
        <f t="shared" si="1"/>
        <v>#REF!</v>
      </c>
    </row>
    <row r="20" spans="1:11" ht="17.25" thickBot="1" x14ac:dyDescent="0.35">
      <c r="A20" s="6"/>
      <c r="B20" s="2" t="s">
        <v>9</v>
      </c>
      <c r="C20" s="3">
        <v>44928</v>
      </c>
      <c r="D20" s="11">
        <v>3.93</v>
      </c>
      <c r="E20" s="11">
        <v>3.93</v>
      </c>
      <c r="F20" s="11">
        <v>4.05</v>
      </c>
      <c r="G20" s="11">
        <v>4</v>
      </c>
      <c r="I20" t="e">
        <f t="shared" si="0"/>
        <v>#REF!</v>
      </c>
      <c r="J20" s="16" t="e">
        <f t="shared" si="2"/>
        <v>#REF!</v>
      </c>
      <c r="K20" t="e">
        <f t="shared" si="1"/>
        <v>#REF!</v>
      </c>
    </row>
    <row r="21" spans="1:11" ht="17.25" thickBot="1" x14ac:dyDescent="0.35">
      <c r="A21" s="6"/>
      <c r="B21" s="2" t="s">
        <v>9</v>
      </c>
      <c r="C21" s="3">
        <v>45019</v>
      </c>
      <c r="D21" s="11">
        <v>4.28</v>
      </c>
      <c r="E21" s="11">
        <v>4.26</v>
      </c>
      <c r="F21" s="11">
        <v>4.34</v>
      </c>
      <c r="G21" s="11">
        <v>4.3099999999999996</v>
      </c>
      <c r="I21" t="e">
        <f t="shared" si="0"/>
        <v>#REF!</v>
      </c>
      <c r="J21" s="16" t="e">
        <f t="shared" si="2"/>
        <v>#REF!</v>
      </c>
      <c r="K21" t="e">
        <f t="shared" si="1"/>
        <v>#REF!</v>
      </c>
    </row>
    <row r="22" spans="1:11" ht="17.25" thickBot="1" x14ac:dyDescent="0.35">
      <c r="A22" s="6"/>
      <c r="B22" s="2" t="s">
        <v>9</v>
      </c>
      <c r="C22" s="3">
        <v>45110</v>
      </c>
      <c r="D22" s="11">
        <v>4.51</v>
      </c>
      <c r="E22" s="11">
        <v>4.5</v>
      </c>
      <c r="F22" s="11">
        <v>4.6100000000000003</v>
      </c>
      <c r="G22" s="11">
        <v>4.58</v>
      </c>
      <c r="I22" t="e">
        <f t="shared" si="0"/>
        <v>#REF!</v>
      </c>
      <c r="J22" s="16" t="e">
        <f t="shared" si="2"/>
        <v>#REF!</v>
      </c>
      <c r="K22" t="e">
        <f t="shared" si="1"/>
        <v>#REF!</v>
      </c>
    </row>
    <row r="23" spans="1:11" ht="17.25" thickBot="1" x14ac:dyDescent="0.35">
      <c r="A23" s="6"/>
      <c r="B23" s="2" t="s">
        <v>9</v>
      </c>
      <c r="C23" s="3">
        <v>45201</v>
      </c>
      <c r="D23" s="11">
        <v>4.8099999999999996</v>
      </c>
      <c r="E23" s="11">
        <v>4.8</v>
      </c>
      <c r="F23" s="11">
        <v>4.88</v>
      </c>
      <c r="G23" s="11">
        <v>4.8600000000000003</v>
      </c>
      <c r="I23" t="e">
        <f t="shared" si="0"/>
        <v>#REF!</v>
      </c>
      <c r="J23" s="16" t="e">
        <f t="shared" si="2"/>
        <v>#REF!</v>
      </c>
      <c r="K23" t="e">
        <f t="shared" si="1"/>
        <v>#REF!</v>
      </c>
    </row>
    <row r="24" spans="1:11" ht="17.25" thickBot="1" x14ac:dyDescent="0.35">
      <c r="A24" s="6"/>
      <c r="B24" s="2" t="s">
        <v>9</v>
      </c>
      <c r="C24" s="3">
        <v>45293</v>
      </c>
      <c r="D24" s="11">
        <v>4.9800000000000004</v>
      </c>
      <c r="E24" s="11">
        <v>4.9800000000000004</v>
      </c>
      <c r="F24" s="11">
        <v>5.1100000000000003</v>
      </c>
      <c r="G24" s="11">
        <v>5.0599999999999996</v>
      </c>
      <c r="I24" t="e">
        <f t="shared" si="0"/>
        <v>#REF!</v>
      </c>
      <c r="J24" s="16" t="e">
        <f t="shared" si="2"/>
        <v>#REF!</v>
      </c>
      <c r="K24" t="e">
        <f t="shared" si="1"/>
        <v>#REF!</v>
      </c>
    </row>
    <row r="25" spans="1:11" ht="17.25" thickBot="1" x14ac:dyDescent="0.35">
      <c r="A25" s="6"/>
      <c r="B25" s="2" t="s">
        <v>9</v>
      </c>
      <c r="C25" s="3">
        <v>45383</v>
      </c>
      <c r="D25" s="11">
        <v>5.24</v>
      </c>
      <c r="E25" s="11">
        <v>5.24</v>
      </c>
      <c r="F25" s="11">
        <v>5.3</v>
      </c>
      <c r="G25" s="11">
        <v>5.28</v>
      </c>
      <c r="I25" t="e">
        <f t="shared" si="0"/>
        <v>#REF!</v>
      </c>
      <c r="J25" s="16" t="e">
        <f t="shared" si="2"/>
        <v>#REF!</v>
      </c>
      <c r="K25" t="e">
        <f t="shared" si="1"/>
        <v>#REF!</v>
      </c>
    </row>
    <row r="26" spans="1:11" ht="17.25" thickBot="1" x14ac:dyDescent="0.35">
      <c r="A26" s="6"/>
      <c r="B26" s="2" t="s">
        <v>9</v>
      </c>
      <c r="C26" s="3">
        <v>45474</v>
      </c>
      <c r="D26" s="11">
        <v>5.4</v>
      </c>
      <c r="E26" s="11">
        <v>5.39</v>
      </c>
      <c r="F26" s="11">
        <v>5.51</v>
      </c>
      <c r="G26" s="11">
        <v>5.46</v>
      </c>
      <c r="I26" t="e">
        <f t="shared" si="0"/>
        <v>#REF!</v>
      </c>
      <c r="J26" s="16" t="e">
        <f t="shared" si="2"/>
        <v>#REF!</v>
      </c>
      <c r="K26" t="e">
        <f t="shared" si="1"/>
        <v>#REF!</v>
      </c>
    </row>
    <row r="27" spans="1:11" ht="17.25" thickBot="1" x14ac:dyDescent="0.35">
      <c r="A27" s="6"/>
      <c r="B27" s="2" t="s">
        <v>9</v>
      </c>
      <c r="C27" s="3">
        <v>45566</v>
      </c>
      <c r="D27" s="11">
        <v>5.63</v>
      </c>
      <c r="E27" s="11">
        <v>5.63</v>
      </c>
      <c r="F27" s="11">
        <v>5.67</v>
      </c>
      <c r="G27" s="11">
        <v>5.63</v>
      </c>
      <c r="I27" t="e">
        <f t="shared" si="0"/>
        <v>#REF!</v>
      </c>
      <c r="J27" s="16" t="e">
        <f t="shared" si="2"/>
        <v>#REF!</v>
      </c>
      <c r="K27" t="e">
        <f t="shared" si="1"/>
        <v>#REF!</v>
      </c>
    </row>
    <row r="28" spans="1:11" ht="17.25" thickBot="1" x14ac:dyDescent="0.35">
      <c r="A28" s="6"/>
      <c r="B28" s="2" t="s">
        <v>9</v>
      </c>
      <c r="C28" s="3">
        <v>45659</v>
      </c>
      <c r="D28" s="11">
        <v>5.74</v>
      </c>
      <c r="E28" s="11">
        <v>5.73</v>
      </c>
      <c r="F28" s="11">
        <v>5.86</v>
      </c>
      <c r="G28" s="11">
        <v>5.8</v>
      </c>
      <c r="I28" t="e">
        <f t="shared" si="0"/>
        <v>#REF!</v>
      </c>
      <c r="J28" s="16" t="e">
        <f t="shared" si="2"/>
        <v>#REF!</v>
      </c>
      <c r="K28" t="e">
        <f t="shared" si="1"/>
        <v>#REF!</v>
      </c>
    </row>
    <row r="29" spans="1:11" ht="17.25" thickBot="1" x14ac:dyDescent="0.35">
      <c r="A29" s="6"/>
      <c r="B29" s="2" t="s">
        <v>9</v>
      </c>
      <c r="C29" s="3">
        <v>45748</v>
      </c>
      <c r="D29" s="11">
        <v>5.96</v>
      </c>
      <c r="E29" s="11">
        <v>5.96</v>
      </c>
      <c r="F29" s="11">
        <v>5.96</v>
      </c>
      <c r="G29" s="11">
        <v>5.96</v>
      </c>
      <c r="I29" t="e">
        <f t="shared" si="0"/>
        <v>#REF!</v>
      </c>
      <c r="J29" s="16" t="e">
        <f t="shared" si="2"/>
        <v>#REF!</v>
      </c>
      <c r="K29" t="e">
        <f t="shared" si="1"/>
        <v>#REF!</v>
      </c>
    </row>
    <row r="30" spans="1:11" ht="17.25" thickBot="1" x14ac:dyDescent="0.35">
      <c r="A30" s="6"/>
      <c r="B30" s="2" t="s">
        <v>9</v>
      </c>
      <c r="C30" s="3">
        <v>45839</v>
      </c>
      <c r="D30" s="11">
        <v>6.09</v>
      </c>
      <c r="E30" s="11">
        <v>6.09</v>
      </c>
      <c r="F30" s="11">
        <v>6.12</v>
      </c>
      <c r="G30" s="11">
        <v>6.1</v>
      </c>
      <c r="I30" t="e">
        <f t="shared" si="0"/>
        <v>#REF!</v>
      </c>
      <c r="J30" s="16" t="e">
        <f t="shared" si="2"/>
        <v>#REF!</v>
      </c>
      <c r="K30" t="e">
        <f t="shared" si="1"/>
        <v>#REF!</v>
      </c>
    </row>
    <row r="31" spans="1:11" ht="17.25" thickBot="1" x14ac:dyDescent="0.35">
      <c r="A31" s="6"/>
      <c r="B31" s="2" t="s">
        <v>9</v>
      </c>
      <c r="C31" s="3">
        <v>46024</v>
      </c>
      <c r="D31" s="11">
        <v>6.27</v>
      </c>
      <c r="E31" s="11">
        <v>6.26</v>
      </c>
      <c r="F31" s="11">
        <v>6.38</v>
      </c>
      <c r="G31" s="11">
        <v>6.31</v>
      </c>
      <c r="I31" t="e">
        <f t="shared" si="0"/>
        <v>#REF!</v>
      </c>
      <c r="J31" s="16" t="e">
        <f t="shared" si="2"/>
        <v>#REF!</v>
      </c>
      <c r="K31" t="e">
        <f t="shared" si="1"/>
        <v>#REF!</v>
      </c>
    </row>
    <row r="32" spans="1:11" ht="17.25" thickBot="1" x14ac:dyDescent="0.35">
      <c r="A32" s="6"/>
      <c r="B32" s="2" t="s">
        <v>9</v>
      </c>
      <c r="C32" s="3">
        <v>46204</v>
      </c>
      <c r="D32" s="11">
        <v>6.52</v>
      </c>
      <c r="E32" s="11">
        <v>6.52</v>
      </c>
      <c r="F32" s="11">
        <v>6.52</v>
      </c>
      <c r="G32" s="11">
        <v>6.52</v>
      </c>
      <c r="I32" t="e">
        <f t="shared" si="0"/>
        <v>#REF!</v>
      </c>
      <c r="J32" s="16" t="e">
        <f t="shared" si="2"/>
        <v>#REF!</v>
      </c>
      <c r="K32" t="e">
        <f t="shared" si="1"/>
        <v>#REF!</v>
      </c>
    </row>
    <row r="33" spans="1:11" ht="17.25" thickBot="1" x14ac:dyDescent="0.35">
      <c r="A33" s="6"/>
      <c r="B33" s="2" t="s">
        <v>9</v>
      </c>
      <c r="C33" s="3">
        <v>46391</v>
      </c>
      <c r="D33" s="11">
        <v>6.7</v>
      </c>
      <c r="E33" s="11">
        <v>6.7</v>
      </c>
      <c r="F33" s="11">
        <v>6.81</v>
      </c>
      <c r="G33" s="11">
        <v>6.75</v>
      </c>
      <c r="I33" t="e">
        <f t="shared" si="0"/>
        <v>#REF!</v>
      </c>
      <c r="J33" s="16" t="e">
        <f t="shared" si="2"/>
        <v>#REF!</v>
      </c>
      <c r="K33" t="e">
        <f t="shared" si="1"/>
        <v>#REF!</v>
      </c>
    </row>
    <row r="34" spans="1:11" ht="17.25" thickBot="1" x14ac:dyDescent="0.35">
      <c r="A34" s="6"/>
      <c r="B34" s="2" t="s">
        <v>9</v>
      </c>
      <c r="C34" s="3">
        <v>46755</v>
      </c>
      <c r="D34" s="11">
        <v>7.05</v>
      </c>
      <c r="E34" s="11">
        <v>7.03</v>
      </c>
      <c r="F34" s="11">
        <v>7.12</v>
      </c>
      <c r="G34" s="11">
        <v>7.06</v>
      </c>
      <c r="I34" t="e">
        <f t="shared" si="0"/>
        <v>#REF!</v>
      </c>
      <c r="J34" s="16" t="e">
        <f t="shared" si="2"/>
        <v>#REF!</v>
      </c>
      <c r="K34" t="e">
        <f t="shared" si="1"/>
        <v>#REF!</v>
      </c>
    </row>
    <row r="35" spans="1:11" ht="17.25" thickBot="1" x14ac:dyDescent="0.35">
      <c r="A35" s="6"/>
      <c r="B35" s="2" t="s">
        <v>9</v>
      </c>
      <c r="C35" s="3">
        <v>47120</v>
      </c>
      <c r="D35" s="11">
        <v>7.26</v>
      </c>
      <c r="E35" s="11">
        <v>7.25</v>
      </c>
      <c r="F35" s="11">
        <v>7.34</v>
      </c>
      <c r="G35" s="11">
        <v>7.3</v>
      </c>
      <c r="I35" t="e">
        <f t="shared" si="0"/>
        <v>#REF!</v>
      </c>
      <c r="J35" s="16" t="e">
        <f t="shared" si="2"/>
        <v>#REF!</v>
      </c>
      <c r="K35" t="e">
        <f t="shared" si="1"/>
        <v>#REF!</v>
      </c>
    </row>
    <row r="36" spans="1:11" ht="17.25" thickBot="1" x14ac:dyDescent="0.35">
      <c r="A36" s="6"/>
      <c r="B36" s="2" t="s">
        <v>9</v>
      </c>
      <c r="C36" s="3">
        <v>47485</v>
      </c>
      <c r="D36" s="11">
        <v>7.46</v>
      </c>
      <c r="E36" s="11">
        <v>7.46</v>
      </c>
      <c r="F36" s="11">
        <v>7.46</v>
      </c>
      <c r="G36" s="11">
        <v>7.46</v>
      </c>
      <c r="I36" t="e">
        <f t="shared" ref="I36:I62" si="3">IF(I35&lt;Prazo-1,I35+1,"-")</f>
        <v>#REF!</v>
      </c>
      <c r="J36" s="16" t="e">
        <f t="shared" si="2"/>
        <v>#REF!</v>
      </c>
      <c r="K36" t="e">
        <f t="shared" si="1"/>
        <v>#REF!</v>
      </c>
    </row>
    <row r="37" spans="1:11" ht="17.25" thickBot="1" x14ac:dyDescent="0.35">
      <c r="A37" s="6"/>
      <c r="B37" s="2" t="s">
        <v>9</v>
      </c>
      <c r="C37" s="3">
        <v>47850</v>
      </c>
      <c r="D37" s="11">
        <v>7.6</v>
      </c>
      <c r="E37" s="11">
        <v>7.58</v>
      </c>
      <c r="F37" s="11">
        <v>7.66</v>
      </c>
      <c r="G37" s="11">
        <v>7.63</v>
      </c>
      <c r="I37" t="e">
        <f t="shared" si="3"/>
        <v>#REF!</v>
      </c>
      <c r="J37" s="16" t="e">
        <f t="shared" si="2"/>
        <v>#REF!</v>
      </c>
      <c r="K37" t="e">
        <f t="shared" si="1"/>
        <v>#REF!</v>
      </c>
    </row>
    <row r="38" spans="1:11" ht="17.25" thickBot="1" x14ac:dyDescent="0.35">
      <c r="A38" s="7"/>
      <c r="B38" s="2" t="s">
        <v>9</v>
      </c>
      <c r="C38" s="3">
        <v>48582</v>
      </c>
      <c r="D38" s="2"/>
      <c r="E38" s="2"/>
      <c r="F38" s="2"/>
      <c r="G38" s="2"/>
      <c r="I38" t="e">
        <f t="shared" si="3"/>
        <v>#REF!</v>
      </c>
      <c r="J38" s="16" t="e">
        <f t="shared" si="2"/>
        <v>#REF!</v>
      </c>
      <c r="K38" t="e">
        <f t="shared" si="1"/>
        <v>#REF!</v>
      </c>
    </row>
    <row r="39" spans="1:11" x14ac:dyDescent="0.3">
      <c r="A39" s="8"/>
      <c r="B39" s="9" t="s">
        <v>9</v>
      </c>
      <c r="C39" s="10">
        <v>49311</v>
      </c>
      <c r="D39" s="9"/>
      <c r="E39" s="9"/>
      <c r="F39" s="9"/>
      <c r="G39" s="9"/>
      <c r="I39" t="e">
        <f t="shared" si="3"/>
        <v>#REF!</v>
      </c>
      <c r="J39" s="16" t="e">
        <f t="shared" si="2"/>
        <v>#REF!</v>
      </c>
      <c r="K39" t="e">
        <f t="shared" si="1"/>
        <v>#REF!</v>
      </c>
    </row>
    <row r="40" spans="1:11" x14ac:dyDescent="0.3">
      <c r="I40" t="e">
        <f t="shared" si="3"/>
        <v>#REF!</v>
      </c>
      <c r="J40" s="16" t="e">
        <f t="shared" si="2"/>
        <v>#REF!</v>
      </c>
      <c r="K40" t="e">
        <f t="shared" si="1"/>
        <v>#REF!</v>
      </c>
    </row>
    <row r="41" spans="1:11" x14ac:dyDescent="0.3">
      <c r="I41" t="e">
        <f t="shared" si="3"/>
        <v>#REF!</v>
      </c>
      <c r="J41" s="16" t="e">
        <f t="shared" si="2"/>
        <v>#REF!</v>
      </c>
      <c r="K41" t="e">
        <f t="shared" si="1"/>
        <v>#REF!</v>
      </c>
    </row>
    <row r="42" spans="1:11" x14ac:dyDescent="0.3">
      <c r="I42" t="e">
        <f t="shared" si="3"/>
        <v>#REF!</v>
      </c>
      <c r="J42" s="16" t="e">
        <f t="shared" si="2"/>
        <v>#REF!</v>
      </c>
      <c r="K42" t="e">
        <f t="shared" si="1"/>
        <v>#REF!</v>
      </c>
    </row>
    <row r="43" spans="1:11" x14ac:dyDescent="0.3">
      <c r="I43" t="e">
        <f t="shared" si="3"/>
        <v>#REF!</v>
      </c>
      <c r="J43" s="16" t="e">
        <f t="shared" si="2"/>
        <v>#REF!</v>
      </c>
      <c r="K43" t="e">
        <f t="shared" si="1"/>
        <v>#REF!</v>
      </c>
    </row>
    <row r="44" spans="1:11" x14ac:dyDescent="0.3">
      <c r="I44" t="e">
        <f t="shared" si="3"/>
        <v>#REF!</v>
      </c>
      <c r="J44" s="16" t="e">
        <f t="shared" si="2"/>
        <v>#REF!</v>
      </c>
      <c r="K44" t="e">
        <f t="shared" si="1"/>
        <v>#REF!</v>
      </c>
    </row>
    <row r="45" spans="1:11" x14ac:dyDescent="0.3">
      <c r="I45" t="e">
        <f t="shared" si="3"/>
        <v>#REF!</v>
      </c>
      <c r="J45" s="16" t="e">
        <f t="shared" si="2"/>
        <v>#REF!</v>
      </c>
      <c r="K45" t="e">
        <f t="shared" si="1"/>
        <v>#REF!</v>
      </c>
    </row>
    <row r="46" spans="1:11" x14ac:dyDescent="0.3">
      <c r="I46" t="e">
        <f t="shared" si="3"/>
        <v>#REF!</v>
      </c>
      <c r="J46" s="16" t="e">
        <f t="shared" si="2"/>
        <v>#REF!</v>
      </c>
      <c r="K46" t="e">
        <f t="shared" si="1"/>
        <v>#REF!</v>
      </c>
    </row>
    <row r="47" spans="1:11" x14ac:dyDescent="0.3">
      <c r="I47" t="e">
        <f t="shared" si="3"/>
        <v>#REF!</v>
      </c>
      <c r="J47" s="16" t="e">
        <f t="shared" si="2"/>
        <v>#REF!</v>
      </c>
      <c r="K47" t="e">
        <f t="shared" si="1"/>
        <v>#REF!</v>
      </c>
    </row>
    <row r="48" spans="1:11" x14ac:dyDescent="0.3">
      <c r="I48" t="e">
        <f t="shared" si="3"/>
        <v>#REF!</v>
      </c>
      <c r="J48" s="16" t="e">
        <f t="shared" si="2"/>
        <v>#REF!</v>
      </c>
      <c r="K48" t="e">
        <f t="shared" si="1"/>
        <v>#REF!</v>
      </c>
    </row>
    <row r="49" spans="9:11" x14ac:dyDescent="0.3">
      <c r="I49" t="e">
        <f t="shared" si="3"/>
        <v>#REF!</v>
      </c>
      <c r="J49" s="16" t="e">
        <f t="shared" si="2"/>
        <v>#REF!</v>
      </c>
      <c r="K49" t="e">
        <f t="shared" si="1"/>
        <v>#REF!</v>
      </c>
    </row>
    <row r="50" spans="9:11" x14ac:dyDescent="0.3">
      <c r="I50" t="e">
        <f t="shared" si="3"/>
        <v>#REF!</v>
      </c>
      <c r="J50" s="16" t="e">
        <f t="shared" si="2"/>
        <v>#REF!</v>
      </c>
      <c r="K50" t="e">
        <f t="shared" si="1"/>
        <v>#REF!</v>
      </c>
    </row>
    <row r="51" spans="9:11" x14ac:dyDescent="0.3">
      <c r="I51" t="e">
        <f t="shared" si="3"/>
        <v>#REF!</v>
      </c>
      <c r="J51" s="16" t="e">
        <f t="shared" si="2"/>
        <v>#REF!</v>
      </c>
      <c r="K51" t="e">
        <f t="shared" si="1"/>
        <v>#REF!</v>
      </c>
    </row>
    <row r="52" spans="9:11" x14ac:dyDescent="0.3">
      <c r="I52" t="e">
        <f t="shared" si="3"/>
        <v>#REF!</v>
      </c>
      <c r="J52" s="16" t="e">
        <f t="shared" si="2"/>
        <v>#REF!</v>
      </c>
      <c r="K52" t="e">
        <f t="shared" si="1"/>
        <v>#REF!</v>
      </c>
    </row>
    <row r="53" spans="9:11" x14ac:dyDescent="0.3">
      <c r="I53" t="e">
        <f t="shared" si="3"/>
        <v>#REF!</v>
      </c>
      <c r="J53" s="16" t="e">
        <f t="shared" si="2"/>
        <v>#REF!</v>
      </c>
      <c r="K53" t="e">
        <f t="shared" si="1"/>
        <v>#REF!</v>
      </c>
    </row>
    <row r="54" spans="9:11" x14ac:dyDescent="0.3">
      <c r="I54" t="e">
        <f t="shared" si="3"/>
        <v>#REF!</v>
      </c>
      <c r="J54" s="16" t="e">
        <f t="shared" si="2"/>
        <v>#REF!</v>
      </c>
      <c r="K54" t="e">
        <f t="shared" si="1"/>
        <v>#REF!</v>
      </c>
    </row>
    <row r="55" spans="9:11" x14ac:dyDescent="0.3">
      <c r="I55" t="e">
        <f t="shared" si="3"/>
        <v>#REF!</v>
      </c>
      <c r="J55" s="16" t="e">
        <f t="shared" si="2"/>
        <v>#REF!</v>
      </c>
      <c r="K55" t="e">
        <f t="shared" si="1"/>
        <v>#REF!</v>
      </c>
    </row>
    <row r="56" spans="9:11" x14ac:dyDescent="0.3">
      <c r="I56" t="e">
        <f t="shared" si="3"/>
        <v>#REF!</v>
      </c>
      <c r="J56" s="16" t="e">
        <f t="shared" si="2"/>
        <v>#REF!</v>
      </c>
      <c r="K56" t="e">
        <f t="shared" si="1"/>
        <v>#REF!</v>
      </c>
    </row>
    <row r="57" spans="9:11" x14ac:dyDescent="0.3">
      <c r="I57" t="e">
        <f t="shared" si="3"/>
        <v>#REF!</v>
      </c>
      <c r="J57" s="16" t="e">
        <f t="shared" si="2"/>
        <v>#REF!</v>
      </c>
      <c r="K57" t="e">
        <f t="shared" si="1"/>
        <v>#REF!</v>
      </c>
    </row>
    <row r="58" spans="9:11" x14ac:dyDescent="0.3">
      <c r="I58" t="e">
        <f t="shared" si="3"/>
        <v>#REF!</v>
      </c>
      <c r="J58" s="16" t="e">
        <f t="shared" si="2"/>
        <v>#REF!</v>
      </c>
      <c r="K58" t="e">
        <f t="shared" si="1"/>
        <v>#REF!</v>
      </c>
    </row>
    <row r="59" spans="9:11" x14ac:dyDescent="0.3">
      <c r="I59" t="e">
        <f t="shared" si="3"/>
        <v>#REF!</v>
      </c>
      <c r="J59" s="16" t="e">
        <f t="shared" si="2"/>
        <v>#REF!</v>
      </c>
      <c r="K59" t="e">
        <f t="shared" si="1"/>
        <v>#REF!</v>
      </c>
    </row>
    <row r="60" spans="9:11" x14ac:dyDescent="0.3">
      <c r="I60" t="e">
        <f t="shared" si="3"/>
        <v>#REF!</v>
      </c>
      <c r="J60" s="16" t="e">
        <f t="shared" si="2"/>
        <v>#REF!</v>
      </c>
      <c r="K60" t="e">
        <f t="shared" si="1"/>
        <v>#REF!</v>
      </c>
    </row>
    <row r="61" spans="9:11" x14ac:dyDescent="0.3">
      <c r="I61" t="e">
        <f t="shared" si="3"/>
        <v>#REF!</v>
      </c>
      <c r="J61" s="16" t="e">
        <f t="shared" si="2"/>
        <v>#REF!</v>
      </c>
      <c r="K61" t="e">
        <f t="shared" si="1"/>
        <v>#REF!</v>
      </c>
    </row>
    <row r="62" spans="9:11" x14ac:dyDescent="0.3">
      <c r="I62" t="e">
        <f t="shared" si="3"/>
        <v>#REF!</v>
      </c>
      <c r="J62" s="16" t="e">
        <f t="shared" si="2"/>
        <v>#REF!</v>
      </c>
      <c r="K62" t="e">
        <f t="shared" si="1"/>
        <v>#REF!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AAAF-CB0F-499C-95EF-84098EC4661E}">
  <sheetPr codeName="Planilha3">
    <tabColor rgb="FFFF0000"/>
  </sheetPr>
  <dimension ref="B1:O31"/>
  <sheetViews>
    <sheetView showGridLines="0" workbookViewId="0">
      <selection activeCell="E44" sqref="E44"/>
    </sheetView>
  </sheetViews>
  <sheetFormatPr defaultRowHeight="16.5" x14ac:dyDescent="0.3"/>
  <cols>
    <col min="1" max="1" width="3.25" customWidth="1"/>
    <col min="2" max="2" width="45.125" bestFit="1" customWidth="1"/>
    <col min="3" max="3" width="15.5" bestFit="1" customWidth="1"/>
    <col min="4" max="4" width="15.75" customWidth="1"/>
    <col min="5" max="5" width="21.25" bestFit="1" customWidth="1"/>
    <col min="7" max="7" width="44.625" bestFit="1" customWidth="1"/>
    <col min="8" max="8" width="9.375" customWidth="1"/>
    <col min="9" max="9" width="13.25" bestFit="1" customWidth="1"/>
    <col min="10" max="10" width="20.75" bestFit="1" customWidth="1"/>
    <col min="12" max="12" width="37.25" customWidth="1"/>
    <col min="13" max="13" width="8.375" customWidth="1"/>
    <col min="14" max="14" width="15.75" customWidth="1"/>
    <col min="15" max="15" width="23.5" customWidth="1"/>
  </cols>
  <sheetData>
    <row r="1" spans="2:7" ht="13.9" customHeight="1" x14ac:dyDescent="0.3"/>
    <row r="2" spans="2:7" x14ac:dyDescent="0.3">
      <c r="B2" s="20" t="s">
        <v>89</v>
      </c>
    </row>
    <row r="3" spans="2:7" x14ac:dyDescent="0.3">
      <c r="B3" s="254">
        <v>46253</v>
      </c>
    </row>
    <row r="4" spans="2:7" x14ac:dyDescent="0.3">
      <c r="B4" s="19"/>
      <c r="C4" s="107"/>
    </row>
    <row r="5" spans="2:7" x14ac:dyDescent="0.3">
      <c r="B5" s="292" t="s">
        <v>163</v>
      </c>
      <c r="C5" s="287" t="s">
        <v>201</v>
      </c>
      <c r="D5" s="120" t="s">
        <v>206</v>
      </c>
      <c r="E5" s="121"/>
    </row>
    <row r="6" spans="2:7" x14ac:dyDescent="0.3">
      <c r="B6" s="293" t="s">
        <v>162</v>
      </c>
      <c r="C6" s="297" t="s">
        <v>202</v>
      </c>
      <c r="D6" t="s">
        <v>204</v>
      </c>
      <c r="E6" s="284"/>
    </row>
    <row r="7" spans="2:7" x14ac:dyDescent="0.3">
      <c r="B7" s="294" t="s">
        <v>164</v>
      </c>
      <c r="C7" s="184" t="s">
        <v>203</v>
      </c>
      <c r="D7" t="s">
        <v>205</v>
      </c>
      <c r="E7" s="284"/>
    </row>
    <row r="8" spans="2:7" x14ac:dyDescent="0.3">
      <c r="B8" s="295" t="s">
        <v>165</v>
      </c>
      <c r="C8" s="296"/>
      <c r="D8" s="28"/>
      <c r="E8" s="29"/>
    </row>
    <row r="9" spans="2:7" x14ac:dyDescent="0.3">
      <c r="G9" s="114"/>
    </row>
    <row r="10" spans="2:7" x14ac:dyDescent="0.3">
      <c r="B10" s="288" t="s">
        <v>73</v>
      </c>
      <c r="C10" s="120"/>
      <c r="D10" s="120"/>
      <c r="E10" s="121"/>
    </row>
    <row r="11" spans="2:7" x14ac:dyDescent="0.3">
      <c r="B11" s="184" t="s">
        <v>67</v>
      </c>
      <c r="C11" s="251">
        <f>E20+J20+O20</f>
        <v>10000000</v>
      </c>
      <c r="D11" s="282" t="s">
        <v>200</v>
      </c>
      <c r="E11" s="290">
        <v>0.02</v>
      </c>
    </row>
    <row r="12" spans="2:7" x14ac:dyDescent="0.3">
      <c r="B12" s="184" t="s">
        <v>148</v>
      </c>
      <c r="C12" s="251">
        <v>200000</v>
      </c>
      <c r="D12" s="283" t="s">
        <v>199</v>
      </c>
      <c r="E12" s="291">
        <v>0.03</v>
      </c>
    </row>
    <row r="13" spans="2:7" x14ac:dyDescent="0.3">
      <c r="B13" s="184" t="s">
        <v>157</v>
      </c>
      <c r="C13" s="252">
        <v>8000000</v>
      </c>
      <c r="D13" s="283"/>
      <c r="E13" s="284"/>
    </row>
    <row r="14" spans="2:7" x14ac:dyDescent="0.3">
      <c r="B14" s="253" t="s">
        <v>182</v>
      </c>
      <c r="C14" s="188"/>
      <c r="D14" s="283"/>
      <c r="E14" s="284"/>
    </row>
    <row r="15" spans="2:7" x14ac:dyDescent="0.3">
      <c r="B15" s="184" t="s">
        <v>155</v>
      </c>
      <c r="C15" s="189">
        <v>3</v>
      </c>
      <c r="D15" s="285"/>
      <c r="E15" s="284"/>
    </row>
    <row r="16" spans="2:7" x14ac:dyDescent="0.3">
      <c r="B16" s="144" t="s">
        <v>156</v>
      </c>
      <c r="C16" s="190">
        <v>1</v>
      </c>
      <c r="D16" s="286"/>
      <c r="E16" s="29"/>
    </row>
    <row r="17" spans="2:15" x14ac:dyDescent="0.3">
      <c r="B17" s="19" t="s">
        <v>108</v>
      </c>
    </row>
    <row r="18" spans="2:15" x14ac:dyDescent="0.3">
      <c r="B18" s="247" t="s">
        <v>68</v>
      </c>
      <c r="C18" s="19"/>
      <c r="D18" s="19"/>
      <c r="E18" s="19"/>
      <c r="G18" s="247" t="s">
        <v>134</v>
      </c>
      <c r="H18" s="19"/>
      <c r="I18" s="19"/>
      <c r="J18" s="19"/>
      <c r="L18" s="247" t="s">
        <v>113</v>
      </c>
      <c r="M18" s="19"/>
      <c r="N18" s="19"/>
      <c r="O18" s="19"/>
    </row>
    <row r="19" spans="2:15" x14ac:dyDescent="0.3">
      <c r="B19" s="244" t="s">
        <v>70</v>
      </c>
      <c r="C19" s="20" t="s">
        <v>195</v>
      </c>
      <c r="D19" s="20" t="s">
        <v>196</v>
      </c>
      <c r="E19" s="244" t="s">
        <v>69</v>
      </c>
      <c r="G19" s="244" t="s">
        <v>70</v>
      </c>
      <c r="H19" s="20" t="s">
        <v>195</v>
      </c>
      <c r="I19" s="20" t="s">
        <v>196</v>
      </c>
      <c r="J19" s="244" t="s">
        <v>69</v>
      </c>
      <c r="L19" s="244" t="s">
        <v>70</v>
      </c>
      <c r="M19" s="20" t="s">
        <v>195</v>
      </c>
      <c r="N19" s="20" t="s">
        <v>196</v>
      </c>
      <c r="O19" s="244" t="s">
        <v>69</v>
      </c>
    </row>
    <row r="20" spans="2:15" x14ac:dyDescent="0.3">
      <c r="B20" s="186">
        <f>B3</f>
        <v>46253</v>
      </c>
      <c r="C20" s="36">
        <f>IFERROR(E20/D20,0)</f>
        <v>2500</v>
      </c>
      <c r="D20" s="281">
        <f>Classes!T9</f>
        <v>1000</v>
      </c>
      <c r="E20" s="187">
        <v>2500000</v>
      </c>
      <c r="G20" s="186">
        <f>B3</f>
        <v>46253</v>
      </c>
      <c r="H20" s="36">
        <f>IFERROR(J20/I20,0)</f>
        <v>2500</v>
      </c>
      <c r="I20" s="281">
        <f>Classes!AI9</f>
        <v>1000</v>
      </c>
      <c r="J20" s="187">
        <v>2500000</v>
      </c>
      <c r="L20" s="186">
        <f>B3</f>
        <v>46253</v>
      </c>
      <c r="M20" s="36">
        <f t="shared" ref="M20:M31" si="0">IFERROR(O20/N20,0)</f>
        <v>5000</v>
      </c>
      <c r="N20" s="281">
        <f>Classes!AX9</f>
        <v>1000</v>
      </c>
      <c r="O20" s="187">
        <v>5000000</v>
      </c>
    </row>
    <row r="21" spans="2:15" x14ac:dyDescent="0.3">
      <c r="B21" s="186"/>
      <c r="C21" s="36">
        <f t="shared" ref="C21:C31" si="1">IFERROR(E21/D21,0)</f>
        <v>0</v>
      </c>
      <c r="D21" s="281">
        <f>_xlfn.XLOOKUP(B21,Classes!$Q$11:$Q$70,Classes!$T$11:$T$70,0,1)</f>
        <v>0</v>
      </c>
      <c r="E21" s="187"/>
      <c r="G21" s="186"/>
      <c r="H21" s="36">
        <f t="shared" ref="H21:H31" si="2">IFERROR(J21/I21,0)</f>
        <v>0</v>
      </c>
      <c r="I21" s="281">
        <f>_xlfn.XLOOKUP(G21,Classes!$AF$11:$AF$70,Classes!$AI$11:$AI$70,0,1)</f>
        <v>0</v>
      </c>
      <c r="J21" s="187"/>
      <c r="L21" s="186"/>
      <c r="M21" s="36">
        <f t="shared" si="0"/>
        <v>0</v>
      </c>
      <c r="N21" s="281">
        <f>_xlfn.XLOOKUP(L21,Classes!$AU$11:$AU$70,Classes!$AX$11:$AX$70,0,1)</f>
        <v>0</v>
      </c>
      <c r="O21" s="187"/>
    </row>
    <row r="22" spans="2:15" x14ac:dyDescent="0.3">
      <c r="B22" s="35"/>
      <c r="C22" s="36">
        <f t="shared" si="1"/>
        <v>0</v>
      </c>
      <c r="D22" s="281">
        <f>_xlfn.XLOOKUP(B22,Classes!$Q$11:$Q$70,Classes!$T$11:$T$70,0,1)</f>
        <v>0</v>
      </c>
      <c r="E22" s="36"/>
      <c r="G22" s="186"/>
      <c r="H22" s="36">
        <f t="shared" si="2"/>
        <v>0</v>
      </c>
      <c r="I22" s="281">
        <f>_xlfn.XLOOKUP(G22,Classes!$AF$11:$AF$70,Classes!$AI$11:$AI$70,0,1)</f>
        <v>0</v>
      </c>
      <c r="J22" s="187"/>
      <c r="L22" s="186"/>
      <c r="M22" s="36">
        <f t="shared" si="0"/>
        <v>0</v>
      </c>
      <c r="N22" s="281">
        <f>_xlfn.XLOOKUP(L22,Classes!$AU$11:$AU$70,Classes!$AX$11:$AX$70,0,1)</f>
        <v>0</v>
      </c>
      <c r="O22" s="187"/>
    </row>
    <row r="23" spans="2:15" x14ac:dyDescent="0.3">
      <c r="B23" s="35"/>
      <c r="C23" s="36">
        <f t="shared" si="1"/>
        <v>0</v>
      </c>
      <c r="D23" s="281">
        <f>_xlfn.XLOOKUP(B23,Classes!$Q$11:$Q$70,Classes!$T$11:$T$70,0,1)</f>
        <v>0</v>
      </c>
      <c r="E23" s="36"/>
      <c r="G23" s="186"/>
      <c r="H23" s="36">
        <f t="shared" si="2"/>
        <v>0</v>
      </c>
      <c r="I23" s="281">
        <f>_xlfn.XLOOKUP(G23,Classes!$AF$11:$AF$70,Classes!$AI$11:$AI$70,0,1)</f>
        <v>0</v>
      </c>
      <c r="J23" s="187"/>
      <c r="L23" s="186"/>
      <c r="M23" s="36">
        <f t="shared" si="0"/>
        <v>0</v>
      </c>
      <c r="N23" s="281">
        <f>_xlfn.XLOOKUP(L23,Classes!$AU$11:$AU$70,Classes!$AX$11:$AX$70,0,1)</f>
        <v>0</v>
      </c>
      <c r="O23" s="187"/>
    </row>
    <row r="24" spans="2:15" x14ac:dyDescent="0.3">
      <c r="B24" s="35"/>
      <c r="C24" s="36">
        <f t="shared" si="1"/>
        <v>0</v>
      </c>
      <c r="D24" s="281">
        <f>_xlfn.XLOOKUP(B24,Classes!$Q$11:$Q$70,Classes!$T$11:$T$70,0,1)</f>
        <v>0</v>
      </c>
      <c r="E24" s="36"/>
      <c r="G24" s="186"/>
      <c r="H24" s="36">
        <f t="shared" si="2"/>
        <v>0</v>
      </c>
      <c r="I24" s="281">
        <f>_xlfn.XLOOKUP(G24,Classes!$AF$11:$AF$70,Classes!$AI$11:$AI$70,0,1)</f>
        <v>0</v>
      </c>
      <c r="J24" s="187"/>
      <c r="L24" s="186"/>
      <c r="M24" s="36">
        <f t="shared" si="0"/>
        <v>0</v>
      </c>
      <c r="N24" s="281">
        <f>_xlfn.XLOOKUP(L24,Classes!$AU$11:$AU$70,Classes!$AX$11:$AX$70,0,1)</f>
        <v>0</v>
      </c>
      <c r="O24" s="187"/>
    </row>
    <row r="25" spans="2:15" x14ac:dyDescent="0.3">
      <c r="B25" s="35"/>
      <c r="C25" s="36">
        <f>IFERROR(E25/D25,0)</f>
        <v>0</v>
      </c>
      <c r="D25" s="281">
        <f>_xlfn.XLOOKUP(B25,Classes!$Q$11:$Q$70,Classes!$T$11:$T$70,0,1)</f>
        <v>0</v>
      </c>
      <c r="E25" s="36"/>
      <c r="G25" s="186"/>
      <c r="H25" s="36">
        <f t="shared" si="2"/>
        <v>0</v>
      </c>
      <c r="I25" s="281">
        <f>_xlfn.XLOOKUP(G25,Classes!$AF$11:$AF$70,Classes!$AI$11:$AI$70,0,1)</f>
        <v>0</v>
      </c>
      <c r="J25" s="187"/>
      <c r="L25" s="186"/>
      <c r="M25" s="36">
        <f t="shared" si="0"/>
        <v>0</v>
      </c>
      <c r="N25" s="281">
        <f>_xlfn.XLOOKUP(L25,Classes!$AU$11:$AU$70,Classes!$AX$11:$AX$70,0,1)</f>
        <v>0</v>
      </c>
      <c r="O25" s="187"/>
    </row>
    <row r="26" spans="2:15" x14ac:dyDescent="0.3">
      <c r="B26" s="35"/>
      <c r="C26" s="36">
        <f t="shared" si="1"/>
        <v>0</v>
      </c>
      <c r="D26" s="281">
        <f>_xlfn.XLOOKUP(B26,Classes!$Q$11:$Q$70,Classes!$T$11:$T$70,0,1)</f>
        <v>0</v>
      </c>
      <c r="E26" s="36"/>
      <c r="G26" s="186"/>
      <c r="H26" s="36">
        <f t="shared" si="2"/>
        <v>0</v>
      </c>
      <c r="I26" s="281">
        <f>_xlfn.XLOOKUP(G26,Classes!$AF$11:$AF$70,Classes!$AI$11:$AI$70,0,1)</f>
        <v>0</v>
      </c>
      <c r="J26" s="187"/>
      <c r="L26" s="186"/>
      <c r="M26" s="36">
        <f t="shared" si="0"/>
        <v>0</v>
      </c>
      <c r="N26" s="281">
        <f>_xlfn.XLOOKUP(L26,Classes!$AU$11:$AU$70,Classes!$AX$11:$AX$70,0,1)</f>
        <v>0</v>
      </c>
      <c r="O26" s="187"/>
    </row>
    <row r="27" spans="2:15" x14ac:dyDescent="0.3">
      <c r="B27" s="35"/>
      <c r="C27" s="36">
        <f t="shared" si="1"/>
        <v>0</v>
      </c>
      <c r="D27" s="281">
        <f>_xlfn.XLOOKUP(B27,Classes!$Q$11:$Q$70,Classes!$T$11:$T$70,0,1)</f>
        <v>0</v>
      </c>
      <c r="E27" s="36"/>
      <c r="G27" s="186"/>
      <c r="H27" s="36">
        <f t="shared" si="2"/>
        <v>0</v>
      </c>
      <c r="I27" s="281">
        <f>_xlfn.XLOOKUP(G27,Classes!$AF$11:$AF$70,Classes!$AI$11:$AI$70,0,1)</f>
        <v>0</v>
      </c>
      <c r="J27" s="187"/>
      <c r="L27" s="186"/>
      <c r="M27" s="36">
        <f t="shared" si="0"/>
        <v>0</v>
      </c>
      <c r="N27" s="281">
        <f>_xlfn.XLOOKUP(L27,Classes!$AU$11:$AU$70,Classes!$AX$11:$AX$70,0,1)</f>
        <v>0</v>
      </c>
      <c r="O27" s="187"/>
    </row>
    <row r="28" spans="2:15" x14ac:dyDescent="0.3">
      <c r="B28" s="35"/>
      <c r="C28" s="36">
        <f t="shared" si="1"/>
        <v>0</v>
      </c>
      <c r="D28" s="281">
        <f>_xlfn.XLOOKUP(B28,Classes!$Q$11:$Q$70,Classes!$T$11:$T$70,0,1)</f>
        <v>0</v>
      </c>
      <c r="E28" s="36"/>
      <c r="G28" s="186"/>
      <c r="H28" s="36">
        <f t="shared" si="2"/>
        <v>0</v>
      </c>
      <c r="I28" s="281">
        <f>_xlfn.XLOOKUP(G28,Classes!$AF$11:$AF$70,Classes!$AI$11:$AI$70,0,1)</f>
        <v>0</v>
      </c>
      <c r="J28" s="187"/>
      <c r="L28" s="186"/>
      <c r="M28" s="36">
        <f t="shared" si="0"/>
        <v>0</v>
      </c>
      <c r="N28" s="281">
        <f>_xlfn.XLOOKUP(L28,Classes!$AU$11:$AU$70,Classes!$AX$11:$AX$70,0,1)</f>
        <v>0</v>
      </c>
      <c r="O28" s="187"/>
    </row>
    <row r="29" spans="2:15" x14ac:dyDescent="0.3">
      <c r="B29" s="35"/>
      <c r="C29" s="36">
        <f t="shared" si="1"/>
        <v>0</v>
      </c>
      <c r="D29" s="281">
        <f>_xlfn.XLOOKUP(B29,Classes!$Q$11:$Q$70,Classes!$T$11:$T$70,0,1)</f>
        <v>0</v>
      </c>
      <c r="E29" s="36"/>
      <c r="G29" s="186"/>
      <c r="H29" s="36">
        <f t="shared" si="2"/>
        <v>0</v>
      </c>
      <c r="I29" s="281">
        <f>_xlfn.XLOOKUP(G29,Classes!$AF$11:$AF$70,Classes!$AI$11:$AI$70,0,1)</f>
        <v>0</v>
      </c>
      <c r="J29" s="187"/>
      <c r="L29" s="186"/>
      <c r="M29" s="36">
        <f t="shared" si="0"/>
        <v>0</v>
      </c>
      <c r="N29" s="281">
        <f>_xlfn.XLOOKUP(L29,Classes!$AU$11:$AU$70,Classes!$AX$11:$AX$70,0,1)</f>
        <v>0</v>
      </c>
      <c r="O29" s="187"/>
    </row>
    <row r="30" spans="2:15" x14ac:dyDescent="0.3">
      <c r="B30" s="35"/>
      <c r="C30" s="36">
        <f t="shared" si="1"/>
        <v>0</v>
      </c>
      <c r="D30" s="281">
        <f>_xlfn.XLOOKUP(B30,Classes!$Q$11:$Q$70,Classes!$T$11:$T$70,0,1)</f>
        <v>0</v>
      </c>
      <c r="E30" s="36"/>
      <c r="G30" s="186"/>
      <c r="H30" s="36">
        <f t="shared" si="2"/>
        <v>0</v>
      </c>
      <c r="I30" s="281">
        <f>_xlfn.XLOOKUP(G30,Classes!$AF$11:$AF$70,Classes!$AI$11:$AI$70,0,1)</f>
        <v>0</v>
      </c>
      <c r="J30" s="187"/>
      <c r="L30" s="186"/>
      <c r="M30" s="36">
        <f t="shared" si="0"/>
        <v>0</v>
      </c>
      <c r="N30" s="281">
        <f>_xlfn.XLOOKUP(L30,Classes!$AU$11:$AU$70,Classes!$AX$11:$AX$70,0,1)</f>
        <v>0</v>
      </c>
      <c r="O30" s="187"/>
    </row>
    <row r="31" spans="2:15" x14ac:dyDescent="0.3">
      <c r="B31" s="35"/>
      <c r="C31" s="36">
        <f t="shared" si="1"/>
        <v>0</v>
      </c>
      <c r="D31" s="281">
        <f>_xlfn.XLOOKUP(B31,Classes!$Q$11:$Q$70,Classes!$T$11:$T$70,0,1)</f>
        <v>0</v>
      </c>
      <c r="E31" s="36"/>
      <c r="G31" s="186"/>
      <c r="H31" s="36">
        <f t="shared" si="2"/>
        <v>0</v>
      </c>
      <c r="I31" s="281">
        <f>_xlfn.XLOOKUP(G31,Classes!$AF$11:$AF$70,Classes!$AI$11:$AI$70,0,1)</f>
        <v>0</v>
      </c>
      <c r="J31" s="187"/>
      <c r="L31" s="186"/>
      <c r="M31" s="36">
        <f t="shared" si="0"/>
        <v>0</v>
      </c>
      <c r="N31" s="281">
        <f>_xlfn.XLOOKUP(L31,Classes!$AU$11:$AU$70,Classes!$AX$11:$AX$70,0,1)</f>
        <v>0</v>
      </c>
      <c r="O31" s="187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8E110-8261-4823-A520-2FA7EB1EC78B}">
  <sheetPr codeName="Planilha10">
    <tabColor rgb="FF0000FF"/>
  </sheetPr>
  <dimension ref="A1:J282"/>
  <sheetViews>
    <sheetView showGridLines="0" workbookViewId="0"/>
  </sheetViews>
  <sheetFormatPr defaultRowHeight="16.5" x14ac:dyDescent="0.3"/>
  <cols>
    <col min="1" max="1" width="11.875" bestFit="1" customWidth="1"/>
    <col min="2" max="2" width="11.875" customWidth="1"/>
    <col min="3" max="3" width="16.875" bestFit="1" customWidth="1"/>
    <col min="4" max="4" width="9.875" bestFit="1" customWidth="1"/>
    <col min="5" max="5" width="12.75" bestFit="1" customWidth="1"/>
    <col min="6" max="7" width="12.75" customWidth="1"/>
    <col min="8" max="8" width="9" bestFit="1" customWidth="1"/>
    <col min="9" max="9" width="9.375" bestFit="1" customWidth="1"/>
    <col min="10" max="10" width="9" bestFit="1" customWidth="1"/>
    <col min="11" max="11" width="10.375" bestFit="1" customWidth="1"/>
  </cols>
  <sheetData>
    <row r="1" spans="1:10" s="27" customFormat="1" x14ac:dyDescent="0.3">
      <c r="A1" s="200" t="s">
        <v>90</v>
      </c>
      <c r="B1" s="200"/>
      <c r="C1" s="200" t="s">
        <v>84</v>
      </c>
      <c r="D1" s="200" t="s">
        <v>85</v>
      </c>
      <c r="E1" s="200" t="s">
        <v>86</v>
      </c>
      <c r="F1" s="200" t="s">
        <v>141</v>
      </c>
      <c r="G1" s="200"/>
      <c r="H1" s="200" t="s">
        <v>91</v>
      </c>
      <c r="I1" s="200" t="s">
        <v>92</v>
      </c>
      <c r="J1" s="200" t="s">
        <v>151</v>
      </c>
    </row>
    <row r="2" spans="1:10" s="26" customFormat="1" x14ac:dyDescent="0.3">
      <c r="A2" s="201">
        <f>Inputs!$B$3</f>
        <v>46253</v>
      </c>
      <c r="B2" s="31"/>
      <c r="C2" s="191" t="s">
        <v>87</v>
      </c>
      <c r="D2" s="192">
        <v>1</v>
      </c>
      <c r="E2" s="192">
        <v>1</v>
      </c>
      <c r="F2" s="193">
        <v>13.9</v>
      </c>
      <c r="H2" s="202">
        <f>F2/100</f>
        <v>0.13900000000000001</v>
      </c>
      <c r="I2" s="203">
        <f>(1+H2)^(1/12)-1</f>
        <v>1.0904920258603124E-2</v>
      </c>
      <c r="J2" s="203">
        <f>(1+I2)^(1/22)-1</f>
        <v>4.9311655892880779E-4</v>
      </c>
    </row>
    <row r="3" spans="1:10" x14ac:dyDescent="0.3">
      <c r="A3" s="201">
        <f t="shared" ref="A3:A66" si="0">$A$2+D3</f>
        <v>46256</v>
      </c>
      <c r="B3" s="31"/>
      <c r="C3" s="194" t="s">
        <v>87</v>
      </c>
      <c r="D3" s="195">
        <v>3</v>
      </c>
      <c r="E3" s="195">
        <v>3</v>
      </c>
      <c r="F3" s="196">
        <v>13.9</v>
      </c>
      <c r="H3" s="202">
        <f t="shared" ref="H3:H66" si="1">F3/100</f>
        <v>0.13900000000000001</v>
      </c>
      <c r="I3" s="203">
        <f t="shared" ref="I3:I66" si="2">(1+H3)^(1/12)-1</f>
        <v>1.0904920258603124E-2</v>
      </c>
      <c r="J3" s="203">
        <f t="shared" ref="J3:J66" si="3">(1+I3)^(1/22)-1</f>
        <v>4.9311655892880779E-4</v>
      </c>
    </row>
    <row r="4" spans="1:10" x14ac:dyDescent="0.3">
      <c r="A4" s="201">
        <f t="shared" si="0"/>
        <v>46258</v>
      </c>
      <c r="B4" s="31"/>
      <c r="C4" s="194" t="s">
        <v>87</v>
      </c>
      <c r="D4" s="195">
        <v>5</v>
      </c>
      <c r="E4" s="195">
        <v>7</v>
      </c>
      <c r="F4" s="196">
        <v>13.9</v>
      </c>
      <c r="H4" s="202">
        <f t="shared" si="1"/>
        <v>0.13900000000000001</v>
      </c>
      <c r="I4" s="203">
        <f t="shared" si="2"/>
        <v>1.0904920258603124E-2</v>
      </c>
      <c r="J4" s="203">
        <f t="shared" si="3"/>
        <v>4.9311655892880779E-4</v>
      </c>
    </row>
    <row r="5" spans="1:10" x14ac:dyDescent="0.3">
      <c r="A5" s="201">
        <f t="shared" si="0"/>
        <v>46260</v>
      </c>
      <c r="B5" s="31"/>
      <c r="C5" s="194" t="s">
        <v>87</v>
      </c>
      <c r="D5" s="195">
        <v>7</v>
      </c>
      <c r="E5" s="195">
        <v>9</v>
      </c>
      <c r="F5" s="196">
        <v>13.91</v>
      </c>
      <c r="H5" s="202">
        <f t="shared" si="1"/>
        <v>0.1391</v>
      </c>
      <c r="I5" s="203">
        <f t="shared" si="2"/>
        <v>1.0912316104694231E-2</v>
      </c>
      <c r="J5" s="203">
        <f t="shared" si="3"/>
        <v>4.9344927016070628E-4</v>
      </c>
    </row>
    <row r="6" spans="1:10" x14ac:dyDescent="0.3">
      <c r="A6" s="201">
        <f t="shared" si="0"/>
        <v>46261</v>
      </c>
      <c r="B6" s="31"/>
      <c r="C6" s="194" t="s">
        <v>87</v>
      </c>
      <c r="D6" s="195">
        <v>8</v>
      </c>
      <c r="E6" s="195">
        <v>10</v>
      </c>
      <c r="F6" s="196">
        <v>13.91</v>
      </c>
      <c r="H6" s="202">
        <f t="shared" si="1"/>
        <v>0.1391</v>
      </c>
      <c r="I6" s="203">
        <f t="shared" si="2"/>
        <v>1.0912316104694231E-2</v>
      </c>
      <c r="J6" s="203">
        <f t="shared" si="3"/>
        <v>4.9344927016070628E-4</v>
      </c>
    </row>
    <row r="7" spans="1:10" x14ac:dyDescent="0.3">
      <c r="A7" s="201">
        <f t="shared" si="0"/>
        <v>46262</v>
      </c>
      <c r="B7" s="31"/>
      <c r="C7" s="194" t="s">
        <v>87</v>
      </c>
      <c r="D7" s="195">
        <v>9</v>
      </c>
      <c r="E7" s="195">
        <v>13</v>
      </c>
      <c r="F7" s="196">
        <v>13.91</v>
      </c>
      <c r="H7" s="202">
        <f t="shared" si="1"/>
        <v>0.1391</v>
      </c>
      <c r="I7" s="203">
        <f t="shared" si="2"/>
        <v>1.0912316104694231E-2</v>
      </c>
      <c r="J7" s="203">
        <f t="shared" si="3"/>
        <v>4.9344927016070628E-4</v>
      </c>
    </row>
    <row r="8" spans="1:10" x14ac:dyDescent="0.3">
      <c r="A8" s="201">
        <f t="shared" si="0"/>
        <v>46263</v>
      </c>
      <c r="B8" s="31"/>
      <c r="C8" s="194" t="s">
        <v>87</v>
      </c>
      <c r="D8" s="195">
        <v>10</v>
      </c>
      <c r="E8" s="195">
        <v>14</v>
      </c>
      <c r="F8" s="196">
        <v>13.91</v>
      </c>
      <c r="H8" s="202">
        <f t="shared" si="1"/>
        <v>0.1391</v>
      </c>
      <c r="I8" s="203">
        <f t="shared" si="2"/>
        <v>1.0912316104694231E-2</v>
      </c>
      <c r="J8" s="203">
        <f t="shared" si="3"/>
        <v>4.9344927016070628E-4</v>
      </c>
    </row>
    <row r="9" spans="1:10" x14ac:dyDescent="0.3">
      <c r="A9" s="201">
        <f t="shared" si="0"/>
        <v>46267</v>
      </c>
      <c r="B9" s="31"/>
      <c r="C9" s="194" t="s">
        <v>87</v>
      </c>
      <c r="D9" s="195">
        <v>14</v>
      </c>
      <c r="E9" s="195">
        <v>21</v>
      </c>
      <c r="F9" s="196">
        <v>13.88</v>
      </c>
      <c r="H9" s="202">
        <f t="shared" si="1"/>
        <v>0.13880000000000001</v>
      </c>
      <c r="I9" s="203">
        <f t="shared" si="2"/>
        <v>1.0890126780596532E-2</v>
      </c>
      <c r="J9" s="203">
        <f t="shared" si="3"/>
        <v>4.924510491557399E-4</v>
      </c>
    </row>
    <row r="10" spans="1:10" x14ac:dyDescent="0.3">
      <c r="A10" s="201">
        <f t="shared" si="0"/>
        <v>46271</v>
      </c>
      <c r="B10" s="31"/>
      <c r="C10" s="194" t="s">
        <v>87</v>
      </c>
      <c r="D10" s="195">
        <v>18</v>
      </c>
      <c r="E10" s="195">
        <v>27</v>
      </c>
      <c r="F10" s="196">
        <v>13.86</v>
      </c>
      <c r="H10" s="202">
        <f t="shared" si="1"/>
        <v>0.1386</v>
      </c>
      <c r="I10" s="203">
        <f t="shared" si="2"/>
        <v>1.0875330920823156E-2</v>
      </c>
      <c r="J10" s="203">
        <f t="shared" si="3"/>
        <v>4.9178542293604188E-4</v>
      </c>
    </row>
    <row r="11" spans="1:10" x14ac:dyDescent="0.3">
      <c r="A11" s="201">
        <f t="shared" si="0"/>
        <v>46272</v>
      </c>
      <c r="B11" s="31"/>
      <c r="C11" s="194" t="s">
        <v>87</v>
      </c>
      <c r="D11" s="195">
        <v>19</v>
      </c>
      <c r="E11" s="195">
        <v>28</v>
      </c>
      <c r="F11" s="196">
        <v>13.86</v>
      </c>
      <c r="H11" s="202">
        <f t="shared" si="1"/>
        <v>0.1386</v>
      </c>
      <c r="I11" s="203">
        <f t="shared" si="2"/>
        <v>1.0875330920823156E-2</v>
      </c>
      <c r="J11" s="203">
        <f t="shared" si="3"/>
        <v>4.9178542293604188E-4</v>
      </c>
    </row>
    <row r="12" spans="1:10" x14ac:dyDescent="0.3">
      <c r="A12" s="201">
        <f t="shared" si="0"/>
        <v>46273</v>
      </c>
      <c r="B12" s="31"/>
      <c r="C12" s="194" t="s">
        <v>87</v>
      </c>
      <c r="D12" s="195">
        <v>20</v>
      </c>
      <c r="E12" s="195">
        <v>29</v>
      </c>
      <c r="F12" s="196">
        <v>13.86</v>
      </c>
      <c r="H12" s="202">
        <f t="shared" si="1"/>
        <v>0.1386</v>
      </c>
      <c r="I12" s="203">
        <f t="shared" si="2"/>
        <v>1.0875330920823156E-2</v>
      </c>
      <c r="J12" s="203">
        <f t="shared" si="3"/>
        <v>4.9178542293604188E-4</v>
      </c>
    </row>
    <row r="13" spans="1:10" x14ac:dyDescent="0.3">
      <c r="A13" s="201">
        <f t="shared" si="0"/>
        <v>46274</v>
      </c>
      <c r="B13" s="31"/>
      <c r="C13" s="194" t="s">
        <v>87</v>
      </c>
      <c r="D13" s="195">
        <v>21</v>
      </c>
      <c r="E13" s="195">
        <v>30</v>
      </c>
      <c r="F13" s="196">
        <v>13.86</v>
      </c>
      <c r="H13" s="202">
        <f t="shared" si="1"/>
        <v>0.1386</v>
      </c>
      <c r="I13" s="203">
        <f t="shared" si="2"/>
        <v>1.0875330920823156E-2</v>
      </c>
      <c r="J13" s="203">
        <f t="shared" si="3"/>
        <v>4.9178542293604188E-4</v>
      </c>
    </row>
    <row r="14" spans="1:10" x14ac:dyDescent="0.3">
      <c r="A14" s="201">
        <f t="shared" si="0"/>
        <v>46275</v>
      </c>
      <c r="B14" s="31"/>
      <c r="C14" s="194" t="s">
        <v>87</v>
      </c>
      <c r="D14" s="195">
        <v>22</v>
      </c>
      <c r="E14" s="195">
        <v>31</v>
      </c>
      <c r="F14" s="196">
        <v>13.85</v>
      </c>
      <c r="H14" s="202">
        <f t="shared" si="1"/>
        <v>0.13849999999999998</v>
      </c>
      <c r="I14" s="203">
        <f t="shared" si="2"/>
        <v>1.0867932097523347E-2</v>
      </c>
      <c r="J14" s="203">
        <f t="shared" si="3"/>
        <v>4.9145256614591126E-4</v>
      </c>
    </row>
    <row r="15" spans="1:10" x14ac:dyDescent="0.3">
      <c r="A15" s="201">
        <f t="shared" si="0"/>
        <v>46277</v>
      </c>
      <c r="B15" s="31"/>
      <c r="C15" s="194" t="s">
        <v>87</v>
      </c>
      <c r="D15" s="195">
        <v>24</v>
      </c>
      <c r="E15" s="195">
        <v>35</v>
      </c>
      <c r="F15" s="196">
        <v>13.85</v>
      </c>
      <c r="H15" s="202">
        <f t="shared" si="1"/>
        <v>0.13849999999999998</v>
      </c>
      <c r="I15" s="203">
        <f t="shared" si="2"/>
        <v>1.0867932097523347E-2</v>
      </c>
      <c r="J15" s="203">
        <f t="shared" si="3"/>
        <v>4.9145256614591126E-4</v>
      </c>
    </row>
    <row r="16" spans="1:10" x14ac:dyDescent="0.3">
      <c r="A16" s="201">
        <f t="shared" si="0"/>
        <v>46280</v>
      </c>
      <c r="B16" s="31"/>
      <c r="C16" s="194" t="s">
        <v>87</v>
      </c>
      <c r="D16" s="195">
        <v>27</v>
      </c>
      <c r="E16" s="195">
        <v>38</v>
      </c>
      <c r="F16" s="196">
        <v>13.85</v>
      </c>
      <c r="H16" s="202">
        <f t="shared" si="1"/>
        <v>0.13849999999999998</v>
      </c>
      <c r="I16" s="203">
        <f t="shared" si="2"/>
        <v>1.0867932097523347E-2</v>
      </c>
      <c r="J16" s="203">
        <f t="shared" si="3"/>
        <v>4.9145256614591126E-4</v>
      </c>
    </row>
    <row r="17" spans="1:10" x14ac:dyDescent="0.3">
      <c r="A17" s="201">
        <f t="shared" si="0"/>
        <v>46281</v>
      </c>
      <c r="B17" s="31"/>
      <c r="C17" s="194" t="s">
        <v>87</v>
      </c>
      <c r="D17" s="195">
        <v>28</v>
      </c>
      <c r="E17" s="195">
        <v>41</v>
      </c>
      <c r="F17" s="196">
        <v>13.84</v>
      </c>
      <c r="H17" s="202">
        <f t="shared" si="1"/>
        <v>0.1384</v>
      </c>
      <c r="I17" s="203">
        <f t="shared" si="2"/>
        <v>1.0860532678481194E-2</v>
      </c>
      <c r="J17" s="203">
        <f t="shared" si="3"/>
        <v>4.9111968022885755E-4</v>
      </c>
    </row>
    <row r="18" spans="1:10" x14ac:dyDescent="0.3">
      <c r="A18" s="201">
        <f t="shared" si="0"/>
        <v>46282</v>
      </c>
      <c r="B18" s="31"/>
      <c r="C18" s="194" t="s">
        <v>87</v>
      </c>
      <c r="D18" s="195">
        <v>29</v>
      </c>
      <c r="E18" s="195">
        <v>42</v>
      </c>
      <c r="F18" s="196">
        <v>13.84</v>
      </c>
      <c r="H18" s="202">
        <f t="shared" si="1"/>
        <v>0.1384</v>
      </c>
      <c r="I18" s="203">
        <f t="shared" si="2"/>
        <v>1.0860532678481194E-2</v>
      </c>
      <c r="J18" s="203">
        <f t="shared" si="3"/>
        <v>4.9111968022885755E-4</v>
      </c>
    </row>
    <row r="19" spans="1:10" x14ac:dyDescent="0.3">
      <c r="A19" s="201">
        <f t="shared" si="0"/>
        <v>46283</v>
      </c>
      <c r="B19" s="31"/>
      <c r="C19" s="194" t="s">
        <v>87</v>
      </c>
      <c r="D19" s="195">
        <v>30</v>
      </c>
      <c r="E19" s="195">
        <v>43</v>
      </c>
      <c r="F19" s="196">
        <v>13.84</v>
      </c>
      <c r="H19" s="202">
        <f t="shared" si="1"/>
        <v>0.1384</v>
      </c>
      <c r="I19" s="203">
        <f t="shared" si="2"/>
        <v>1.0860532678481194E-2</v>
      </c>
      <c r="J19" s="203">
        <f t="shared" si="3"/>
        <v>4.9111968022885755E-4</v>
      </c>
    </row>
    <row r="20" spans="1:10" x14ac:dyDescent="0.3">
      <c r="A20" s="201">
        <f t="shared" si="0"/>
        <v>46284</v>
      </c>
      <c r="B20" s="31"/>
      <c r="C20" s="194" t="s">
        <v>87</v>
      </c>
      <c r="D20" s="195">
        <v>31</v>
      </c>
      <c r="E20" s="195">
        <v>44</v>
      </c>
      <c r="F20" s="196">
        <v>13.84</v>
      </c>
      <c r="H20" s="202">
        <f t="shared" si="1"/>
        <v>0.1384</v>
      </c>
      <c r="I20" s="203">
        <f t="shared" si="2"/>
        <v>1.0860532678481194E-2</v>
      </c>
      <c r="J20" s="203">
        <f t="shared" si="3"/>
        <v>4.9111968022885755E-4</v>
      </c>
    </row>
    <row r="21" spans="1:10" x14ac:dyDescent="0.3">
      <c r="A21" s="201">
        <f t="shared" si="0"/>
        <v>46292</v>
      </c>
      <c r="B21" s="31"/>
      <c r="C21" s="194" t="s">
        <v>87</v>
      </c>
      <c r="D21" s="195">
        <v>39</v>
      </c>
      <c r="E21" s="195">
        <v>57</v>
      </c>
      <c r="F21" s="196">
        <v>13.81</v>
      </c>
      <c r="H21" s="202">
        <f t="shared" si="1"/>
        <v>0.1381</v>
      </c>
      <c r="I21" s="203">
        <f t="shared" si="2"/>
        <v>1.0838330845896804E-2</v>
      </c>
      <c r="J21" s="203">
        <f t="shared" si="3"/>
        <v>4.9012084766486552E-4</v>
      </c>
    </row>
    <row r="22" spans="1:10" x14ac:dyDescent="0.3">
      <c r="A22" s="201">
        <f t="shared" si="0"/>
        <v>46293</v>
      </c>
      <c r="B22" s="31"/>
      <c r="C22" s="194" t="s">
        <v>87</v>
      </c>
      <c r="D22" s="195">
        <v>40</v>
      </c>
      <c r="E22" s="195">
        <v>58</v>
      </c>
      <c r="F22" s="196">
        <v>13.81</v>
      </c>
      <c r="H22" s="202">
        <f t="shared" si="1"/>
        <v>0.1381</v>
      </c>
      <c r="I22" s="203">
        <f t="shared" si="2"/>
        <v>1.0838330845896804E-2</v>
      </c>
      <c r="J22" s="203">
        <f t="shared" si="3"/>
        <v>4.9012084766486552E-4</v>
      </c>
    </row>
    <row r="23" spans="1:10" x14ac:dyDescent="0.3">
      <c r="A23" s="201">
        <f t="shared" si="0"/>
        <v>46294</v>
      </c>
      <c r="B23" s="31"/>
      <c r="C23" s="194" t="s">
        <v>87</v>
      </c>
      <c r="D23" s="195">
        <v>41</v>
      </c>
      <c r="E23" s="195">
        <v>59</v>
      </c>
      <c r="F23" s="196">
        <v>13.81</v>
      </c>
      <c r="H23" s="202">
        <f t="shared" si="1"/>
        <v>0.1381</v>
      </c>
      <c r="I23" s="203">
        <f t="shared" si="2"/>
        <v>1.0838330845896804E-2</v>
      </c>
      <c r="J23" s="203">
        <f t="shared" si="3"/>
        <v>4.9012084766486552E-4</v>
      </c>
    </row>
    <row r="24" spans="1:10" x14ac:dyDescent="0.3">
      <c r="A24" s="201">
        <f t="shared" si="0"/>
        <v>46295</v>
      </c>
      <c r="B24" s="31"/>
      <c r="C24" s="194" t="s">
        <v>87</v>
      </c>
      <c r="D24" s="195">
        <v>42</v>
      </c>
      <c r="E24" s="195">
        <v>62</v>
      </c>
      <c r="F24" s="196">
        <v>13.8</v>
      </c>
      <c r="H24" s="202">
        <f t="shared" si="1"/>
        <v>0.13800000000000001</v>
      </c>
      <c r="I24" s="203">
        <f t="shared" si="2"/>
        <v>1.083092904288141E-2</v>
      </c>
      <c r="J24" s="203">
        <f t="shared" si="3"/>
        <v>4.8978784518882712E-4</v>
      </c>
    </row>
    <row r="25" spans="1:10" x14ac:dyDescent="0.3">
      <c r="A25" s="201">
        <f t="shared" si="0"/>
        <v>46296</v>
      </c>
      <c r="B25" s="31"/>
      <c r="C25" s="194" t="s">
        <v>87</v>
      </c>
      <c r="D25" s="195">
        <v>43</v>
      </c>
      <c r="E25" s="195">
        <v>63</v>
      </c>
      <c r="F25" s="196">
        <v>13.8</v>
      </c>
      <c r="H25" s="202">
        <f t="shared" si="1"/>
        <v>0.13800000000000001</v>
      </c>
      <c r="I25" s="203">
        <f t="shared" si="2"/>
        <v>1.083092904288141E-2</v>
      </c>
      <c r="J25" s="203">
        <f t="shared" si="3"/>
        <v>4.8978784518882712E-4</v>
      </c>
    </row>
    <row r="26" spans="1:10" x14ac:dyDescent="0.3">
      <c r="A26" s="201">
        <f t="shared" si="0"/>
        <v>46297</v>
      </c>
      <c r="B26" s="31"/>
      <c r="C26" s="194" t="s">
        <v>87</v>
      </c>
      <c r="D26" s="195">
        <v>44</v>
      </c>
      <c r="E26" s="195">
        <v>64</v>
      </c>
      <c r="F26" s="196">
        <v>13.8</v>
      </c>
      <c r="H26" s="202">
        <f t="shared" si="1"/>
        <v>0.13800000000000001</v>
      </c>
      <c r="I26" s="203">
        <f t="shared" si="2"/>
        <v>1.083092904288141E-2</v>
      </c>
      <c r="J26" s="203">
        <f t="shared" si="3"/>
        <v>4.8978784518882712E-4</v>
      </c>
    </row>
    <row r="27" spans="1:10" x14ac:dyDescent="0.3">
      <c r="A27" s="201">
        <f t="shared" si="0"/>
        <v>46302</v>
      </c>
      <c r="B27" s="31"/>
      <c r="C27" s="194" t="s">
        <v>87</v>
      </c>
      <c r="D27" s="195">
        <v>49</v>
      </c>
      <c r="E27" s="195">
        <v>71</v>
      </c>
      <c r="F27" s="196">
        <v>13.79</v>
      </c>
      <c r="H27" s="202">
        <f t="shared" si="1"/>
        <v>0.13789999999999999</v>
      </c>
      <c r="I27" s="203">
        <f t="shared" si="2"/>
        <v>1.082352664362185E-2</v>
      </c>
      <c r="J27" s="203">
        <f t="shared" si="3"/>
        <v>4.8945481356033049E-4</v>
      </c>
    </row>
    <row r="28" spans="1:10" x14ac:dyDescent="0.3">
      <c r="A28" s="201">
        <f t="shared" si="0"/>
        <v>46303</v>
      </c>
      <c r="B28" s="31"/>
      <c r="C28" s="194" t="s">
        <v>87</v>
      </c>
      <c r="D28" s="195">
        <v>50</v>
      </c>
      <c r="E28" s="195">
        <v>72</v>
      </c>
      <c r="F28" s="196">
        <v>13.79</v>
      </c>
      <c r="H28" s="202">
        <f t="shared" si="1"/>
        <v>0.13789999999999999</v>
      </c>
      <c r="I28" s="203">
        <f t="shared" si="2"/>
        <v>1.082352664362185E-2</v>
      </c>
      <c r="J28" s="203">
        <f t="shared" si="3"/>
        <v>4.8945481356033049E-4</v>
      </c>
    </row>
    <row r="29" spans="1:10" x14ac:dyDescent="0.3">
      <c r="A29" s="201">
        <f t="shared" si="0"/>
        <v>46304</v>
      </c>
      <c r="B29" s="31"/>
      <c r="C29" s="194" t="s">
        <v>87</v>
      </c>
      <c r="D29" s="195">
        <v>51</v>
      </c>
      <c r="E29" s="195">
        <v>73</v>
      </c>
      <c r="F29" s="196">
        <v>13.79</v>
      </c>
      <c r="H29" s="202">
        <f t="shared" si="1"/>
        <v>0.13789999999999999</v>
      </c>
      <c r="I29" s="203">
        <f t="shared" si="2"/>
        <v>1.082352664362185E-2</v>
      </c>
      <c r="J29" s="203">
        <f t="shared" si="3"/>
        <v>4.8945481356033049E-4</v>
      </c>
    </row>
    <row r="30" spans="1:10" x14ac:dyDescent="0.3">
      <c r="A30" s="201">
        <f t="shared" si="0"/>
        <v>46305</v>
      </c>
      <c r="B30" s="31"/>
      <c r="C30" s="194" t="s">
        <v>87</v>
      </c>
      <c r="D30" s="195">
        <v>52</v>
      </c>
      <c r="E30" s="195">
        <v>77</v>
      </c>
      <c r="F30" s="196">
        <v>13.79</v>
      </c>
      <c r="H30" s="202">
        <f t="shared" si="1"/>
        <v>0.13789999999999999</v>
      </c>
      <c r="I30" s="203">
        <f t="shared" si="2"/>
        <v>1.082352664362185E-2</v>
      </c>
      <c r="J30" s="203">
        <f t="shared" si="3"/>
        <v>4.8945481356033049E-4</v>
      </c>
    </row>
    <row r="31" spans="1:10" x14ac:dyDescent="0.3">
      <c r="A31" s="201">
        <f t="shared" si="0"/>
        <v>46314</v>
      </c>
      <c r="B31" s="31"/>
      <c r="C31" s="194" t="s">
        <v>87</v>
      </c>
      <c r="D31" s="195">
        <v>61</v>
      </c>
      <c r="E31" s="195">
        <v>90</v>
      </c>
      <c r="F31" s="196">
        <v>13.77</v>
      </c>
      <c r="H31" s="202">
        <f t="shared" si="1"/>
        <v>0.13769999999999999</v>
      </c>
      <c r="I31" s="203">
        <f t="shared" si="2"/>
        <v>1.0808720055968335E-2</v>
      </c>
      <c r="J31" s="203">
        <f t="shared" si="3"/>
        <v>4.8878866282531241E-4</v>
      </c>
    </row>
    <row r="32" spans="1:10" x14ac:dyDescent="0.3">
      <c r="A32" s="201">
        <f t="shared" si="0"/>
        <v>46315</v>
      </c>
      <c r="B32" s="31"/>
      <c r="C32" s="194" t="s">
        <v>87</v>
      </c>
      <c r="D32" s="195">
        <v>62</v>
      </c>
      <c r="E32" s="195">
        <v>91</v>
      </c>
      <c r="F32" s="196">
        <v>13.77</v>
      </c>
      <c r="H32" s="202">
        <f t="shared" si="1"/>
        <v>0.13769999999999999</v>
      </c>
      <c r="I32" s="203">
        <f t="shared" si="2"/>
        <v>1.0808720055968335E-2</v>
      </c>
      <c r="J32" s="203">
        <f t="shared" si="3"/>
        <v>4.8878866282531241E-4</v>
      </c>
    </row>
    <row r="33" spans="1:10" x14ac:dyDescent="0.3">
      <c r="A33" s="201">
        <f t="shared" si="0"/>
        <v>46316</v>
      </c>
      <c r="B33" s="31"/>
      <c r="C33" s="194" t="s">
        <v>87</v>
      </c>
      <c r="D33" s="195">
        <v>63</v>
      </c>
      <c r="E33" s="195">
        <v>92</v>
      </c>
      <c r="F33" s="196">
        <v>13.77</v>
      </c>
      <c r="H33" s="202">
        <f t="shared" si="1"/>
        <v>0.13769999999999999</v>
      </c>
      <c r="I33" s="203">
        <f t="shared" si="2"/>
        <v>1.0808720055968335E-2</v>
      </c>
      <c r="J33" s="203">
        <f t="shared" si="3"/>
        <v>4.8878866282531241E-4</v>
      </c>
    </row>
    <row r="34" spans="1:10" x14ac:dyDescent="0.3">
      <c r="A34" s="201">
        <f t="shared" si="0"/>
        <v>46317</v>
      </c>
      <c r="B34" s="31"/>
      <c r="C34" s="194" t="s">
        <v>87</v>
      </c>
      <c r="D34" s="195">
        <v>64</v>
      </c>
      <c r="E34" s="195">
        <v>93</v>
      </c>
      <c r="F34" s="196">
        <v>13.77</v>
      </c>
      <c r="H34" s="202">
        <f t="shared" si="1"/>
        <v>0.13769999999999999</v>
      </c>
      <c r="I34" s="203">
        <f t="shared" si="2"/>
        <v>1.0808720055968335E-2</v>
      </c>
      <c r="J34" s="203">
        <f t="shared" si="3"/>
        <v>4.8878866282531241E-4</v>
      </c>
    </row>
    <row r="35" spans="1:10" x14ac:dyDescent="0.3">
      <c r="A35" s="201">
        <f t="shared" si="0"/>
        <v>46323</v>
      </c>
      <c r="B35" s="31"/>
      <c r="C35" s="194" t="s">
        <v>87</v>
      </c>
      <c r="D35" s="195">
        <v>70</v>
      </c>
      <c r="E35" s="195">
        <v>104</v>
      </c>
      <c r="F35" s="196">
        <v>13.76</v>
      </c>
      <c r="H35" s="202">
        <f t="shared" si="1"/>
        <v>0.1376</v>
      </c>
      <c r="I35" s="203">
        <f t="shared" si="2"/>
        <v>1.0801315867373207E-2</v>
      </c>
      <c r="J35" s="203">
        <f t="shared" si="3"/>
        <v>4.8845554370857691E-4</v>
      </c>
    </row>
    <row r="36" spans="1:10" x14ac:dyDescent="0.3">
      <c r="A36" s="201">
        <f t="shared" si="0"/>
        <v>46324</v>
      </c>
      <c r="B36" s="31"/>
      <c r="C36" s="194" t="s">
        <v>87</v>
      </c>
      <c r="D36" s="195">
        <v>71</v>
      </c>
      <c r="E36" s="195">
        <v>105</v>
      </c>
      <c r="F36" s="196">
        <v>13.76</v>
      </c>
      <c r="H36" s="202">
        <f t="shared" si="1"/>
        <v>0.1376</v>
      </c>
      <c r="I36" s="203">
        <f t="shared" si="2"/>
        <v>1.0801315867373207E-2</v>
      </c>
      <c r="J36" s="203">
        <f t="shared" si="3"/>
        <v>4.8845554370857691E-4</v>
      </c>
    </row>
    <row r="37" spans="1:10" x14ac:dyDescent="0.3">
      <c r="A37" s="201">
        <f t="shared" si="0"/>
        <v>46334</v>
      </c>
      <c r="B37" s="31"/>
      <c r="C37" s="194" t="s">
        <v>87</v>
      </c>
      <c r="D37" s="195">
        <v>81</v>
      </c>
      <c r="E37" s="195">
        <v>119</v>
      </c>
      <c r="F37" s="196">
        <v>13.76</v>
      </c>
      <c r="H37" s="202">
        <f t="shared" si="1"/>
        <v>0.1376</v>
      </c>
      <c r="I37" s="203">
        <f t="shared" si="2"/>
        <v>1.0801315867373207E-2</v>
      </c>
      <c r="J37" s="203">
        <f t="shared" si="3"/>
        <v>4.8845554370857691E-4</v>
      </c>
    </row>
    <row r="38" spans="1:10" x14ac:dyDescent="0.3">
      <c r="A38" s="201">
        <f t="shared" si="0"/>
        <v>46335</v>
      </c>
      <c r="B38" s="31"/>
      <c r="C38" s="194" t="s">
        <v>87</v>
      </c>
      <c r="D38" s="195">
        <v>82</v>
      </c>
      <c r="E38" s="195">
        <v>120</v>
      </c>
      <c r="F38" s="196">
        <v>13.76</v>
      </c>
      <c r="H38" s="202">
        <f t="shared" si="1"/>
        <v>0.1376</v>
      </c>
      <c r="I38" s="203">
        <f t="shared" si="2"/>
        <v>1.0801315867373207E-2</v>
      </c>
      <c r="J38" s="203">
        <f t="shared" si="3"/>
        <v>4.8845554370857691E-4</v>
      </c>
    </row>
    <row r="39" spans="1:10" x14ac:dyDescent="0.3">
      <c r="A39" s="201">
        <f t="shared" si="0"/>
        <v>46336</v>
      </c>
      <c r="B39" s="31"/>
      <c r="C39" s="194" t="s">
        <v>87</v>
      </c>
      <c r="D39" s="195">
        <v>83</v>
      </c>
      <c r="E39" s="195">
        <v>121</v>
      </c>
      <c r="F39" s="196">
        <v>13.75</v>
      </c>
      <c r="H39" s="202">
        <f t="shared" si="1"/>
        <v>0.13750000000000001</v>
      </c>
      <c r="I39" s="203">
        <f t="shared" si="2"/>
        <v>1.0793911082132235E-2</v>
      </c>
      <c r="J39" s="203">
        <f t="shared" si="3"/>
        <v>4.8812239541895508E-4</v>
      </c>
    </row>
    <row r="40" spans="1:10" x14ac:dyDescent="0.3">
      <c r="A40" s="201">
        <f t="shared" si="0"/>
        <v>46337</v>
      </c>
      <c r="B40" s="31"/>
      <c r="C40" s="194" t="s">
        <v>87</v>
      </c>
      <c r="D40" s="195">
        <v>84</v>
      </c>
      <c r="E40" s="195">
        <v>122</v>
      </c>
      <c r="F40" s="196">
        <v>13.75</v>
      </c>
      <c r="H40" s="202">
        <f t="shared" si="1"/>
        <v>0.13750000000000001</v>
      </c>
      <c r="I40" s="203">
        <f t="shared" si="2"/>
        <v>1.0793911082132235E-2</v>
      </c>
      <c r="J40" s="203">
        <f t="shared" si="3"/>
        <v>4.8812239541895508E-4</v>
      </c>
    </row>
    <row r="41" spans="1:10" x14ac:dyDescent="0.3">
      <c r="A41" s="201">
        <f t="shared" si="0"/>
        <v>46342</v>
      </c>
      <c r="B41" s="31"/>
      <c r="C41" s="194" t="s">
        <v>87</v>
      </c>
      <c r="D41" s="195">
        <v>89</v>
      </c>
      <c r="E41" s="195">
        <v>132</v>
      </c>
      <c r="F41" s="196">
        <v>13.75</v>
      </c>
      <c r="H41" s="202">
        <f t="shared" si="1"/>
        <v>0.13750000000000001</v>
      </c>
      <c r="I41" s="203">
        <f t="shared" si="2"/>
        <v>1.0793911082132235E-2</v>
      </c>
      <c r="J41" s="203">
        <f t="shared" si="3"/>
        <v>4.8812239541895508E-4</v>
      </c>
    </row>
    <row r="42" spans="1:10" x14ac:dyDescent="0.3">
      <c r="A42" s="201">
        <f t="shared" si="0"/>
        <v>46343</v>
      </c>
      <c r="B42" s="31"/>
      <c r="C42" s="194" t="s">
        <v>87</v>
      </c>
      <c r="D42" s="195">
        <v>90</v>
      </c>
      <c r="E42" s="195">
        <v>133</v>
      </c>
      <c r="F42" s="196">
        <v>13.75</v>
      </c>
      <c r="H42" s="202">
        <f t="shared" si="1"/>
        <v>0.13750000000000001</v>
      </c>
      <c r="I42" s="203">
        <f t="shared" si="2"/>
        <v>1.0793911082132235E-2</v>
      </c>
      <c r="J42" s="203">
        <f t="shared" si="3"/>
        <v>4.8812239541895508E-4</v>
      </c>
    </row>
    <row r="43" spans="1:10" x14ac:dyDescent="0.3">
      <c r="A43" s="201">
        <f t="shared" si="0"/>
        <v>46344</v>
      </c>
      <c r="B43" s="31"/>
      <c r="C43" s="194" t="s">
        <v>87</v>
      </c>
      <c r="D43" s="195">
        <v>91</v>
      </c>
      <c r="E43" s="195">
        <v>134</v>
      </c>
      <c r="F43" s="196">
        <v>13.75</v>
      </c>
      <c r="H43" s="202">
        <f t="shared" si="1"/>
        <v>0.13750000000000001</v>
      </c>
      <c r="I43" s="203">
        <f t="shared" si="2"/>
        <v>1.0793911082132235E-2</v>
      </c>
      <c r="J43" s="203">
        <f t="shared" si="3"/>
        <v>4.8812239541895508E-4</v>
      </c>
    </row>
    <row r="44" spans="1:10" x14ac:dyDescent="0.3">
      <c r="A44" s="201">
        <f t="shared" si="0"/>
        <v>46346</v>
      </c>
      <c r="B44" s="31"/>
      <c r="C44" s="194" t="s">
        <v>87</v>
      </c>
      <c r="D44" s="195">
        <v>93</v>
      </c>
      <c r="E44" s="195">
        <v>139</v>
      </c>
      <c r="F44" s="196">
        <v>13.75</v>
      </c>
      <c r="H44" s="202">
        <f t="shared" si="1"/>
        <v>0.13750000000000001</v>
      </c>
      <c r="I44" s="203">
        <f t="shared" si="2"/>
        <v>1.0793911082132235E-2</v>
      </c>
      <c r="J44" s="203">
        <f t="shared" si="3"/>
        <v>4.8812239541895508E-4</v>
      </c>
    </row>
    <row r="45" spans="1:10" x14ac:dyDescent="0.3">
      <c r="A45" s="201">
        <f t="shared" si="0"/>
        <v>46355</v>
      </c>
      <c r="B45" s="31"/>
      <c r="C45" s="194" t="s">
        <v>87</v>
      </c>
      <c r="D45" s="195">
        <v>102</v>
      </c>
      <c r="E45" s="195">
        <v>150</v>
      </c>
      <c r="F45" s="196">
        <v>13.76</v>
      </c>
      <c r="H45" s="202">
        <f t="shared" si="1"/>
        <v>0.1376</v>
      </c>
      <c r="I45" s="203">
        <f t="shared" si="2"/>
        <v>1.0801315867373207E-2</v>
      </c>
      <c r="J45" s="203">
        <f t="shared" si="3"/>
        <v>4.8845554370857691E-4</v>
      </c>
    </row>
    <row r="46" spans="1:10" x14ac:dyDescent="0.3">
      <c r="A46" s="201">
        <f t="shared" si="0"/>
        <v>46356</v>
      </c>
      <c r="B46" s="31"/>
      <c r="C46" s="194" t="s">
        <v>87</v>
      </c>
      <c r="D46" s="195">
        <v>103</v>
      </c>
      <c r="E46" s="195">
        <v>153</v>
      </c>
      <c r="F46" s="196">
        <v>13.76</v>
      </c>
      <c r="H46" s="202">
        <f t="shared" si="1"/>
        <v>0.1376</v>
      </c>
      <c r="I46" s="203">
        <f t="shared" si="2"/>
        <v>1.0801315867373207E-2</v>
      </c>
      <c r="J46" s="203">
        <f t="shared" si="3"/>
        <v>4.8845554370857691E-4</v>
      </c>
    </row>
    <row r="47" spans="1:10" x14ac:dyDescent="0.3">
      <c r="A47" s="201">
        <f t="shared" si="0"/>
        <v>46358</v>
      </c>
      <c r="B47" s="31"/>
      <c r="C47" s="194" t="s">
        <v>87</v>
      </c>
      <c r="D47" s="195">
        <v>105</v>
      </c>
      <c r="E47" s="195">
        <v>155</v>
      </c>
      <c r="F47" s="196">
        <v>13.76</v>
      </c>
      <c r="H47" s="202">
        <f t="shared" si="1"/>
        <v>0.1376</v>
      </c>
      <c r="I47" s="203">
        <f t="shared" si="2"/>
        <v>1.0801315867373207E-2</v>
      </c>
      <c r="J47" s="203">
        <f t="shared" si="3"/>
        <v>4.8845554370857691E-4</v>
      </c>
    </row>
    <row r="48" spans="1:10" x14ac:dyDescent="0.3">
      <c r="A48" s="201">
        <f t="shared" si="0"/>
        <v>46365</v>
      </c>
      <c r="B48" s="31"/>
      <c r="C48" s="194" t="s">
        <v>87</v>
      </c>
      <c r="D48" s="195">
        <v>112</v>
      </c>
      <c r="E48" s="195">
        <v>164</v>
      </c>
      <c r="F48" s="196">
        <v>13.76</v>
      </c>
      <c r="H48" s="202">
        <f t="shared" si="1"/>
        <v>0.1376</v>
      </c>
      <c r="I48" s="203">
        <f t="shared" si="2"/>
        <v>1.0801315867373207E-2</v>
      </c>
      <c r="J48" s="203">
        <f t="shared" si="3"/>
        <v>4.8845554370857691E-4</v>
      </c>
    </row>
    <row r="49" spans="1:10" x14ac:dyDescent="0.3">
      <c r="A49" s="201">
        <f t="shared" si="0"/>
        <v>46366</v>
      </c>
      <c r="B49" s="31"/>
      <c r="C49" s="194" t="s">
        <v>87</v>
      </c>
      <c r="D49" s="195">
        <v>113</v>
      </c>
      <c r="E49" s="195">
        <v>167</v>
      </c>
      <c r="F49" s="196">
        <v>13.76</v>
      </c>
      <c r="H49" s="202">
        <f t="shared" si="1"/>
        <v>0.1376</v>
      </c>
      <c r="I49" s="203">
        <f t="shared" si="2"/>
        <v>1.0801315867373207E-2</v>
      </c>
      <c r="J49" s="203">
        <f t="shared" si="3"/>
        <v>4.8845554370857691E-4</v>
      </c>
    </row>
    <row r="50" spans="1:10" x14ac:dyDescent="0.3">
      <c r="A50" s="201">
        <f t="shared" si="0"/>
        <v>46373</v>
      </c>
      <c r="B50" s="31"/>
      <c r="C50" s="194" t="s">
        <v>87</v>
      </c>
      <c r="D50" s="195">
        <v>120</v>
      </c>
      <c r="E50" s="195">
        <v>178</v>
      </c>
      <c r="F50" s="196">
        <v>13.77</v>
      </c>
      <c r="H50" s="202">
        <f t="shared" si="1"/>
        <v>0.13769999999999999</v>
      </c>
      <c r="I50" s="203">
        <f t="shared" si="2"/>
        <v>1.0808720055968335E-2</v>
      </c>
      <c r="J50" s="203">
        <f t="shared" si="3"/>
        <v>4.8878866282531241E-4</v>
      </c>
    </row>
    <row r="51" spans="1:10" x14ac:dyDescent="0.3">
      <c r="A51" s="201">
        <f t="shared" si="0"/>
        <v>46374</v>
      </c>
      <c r="B51" s="31"/>
      <c r="C51" s="194" t="s">
        <v>87</v>
      </c>
      <c r="D51" s="195">
        <v>121</v>
      </c>
      <c r="E51" s="195">
        <v>181</v>
      </c>
      <c r="F51" s="196">
        <v>13.77</v>
      </c>
      <c r="H51" s="202">
        <f t="shared" si="1"/>
        <v>0.13769999999999999</v>
      </c>
      <c r="I51" s="203">
        <f t="shared" si="2"/>
        <v>1.0808720055968335E-2</v>
      </c>
      <c r="J51" s="203">
        <f t="shared" si="3"/>
        <v>4.8878866282531241E-4</v>
      </c>
    </row>
    <row r="52" spans="1:10" x14ac:dyDescent="0.3">
      <c r="A52" s="201">
        <f t="shared" si="0"/>
        <v>46375</v>
      </c>
      <c r="B52" s="31"/>
      <c r="C52" s="194" t="s">
        <v>87</v>
      </c>
      <c r="D52" s="195">
        <v>122</v>
      </c>
      <c r="E52" s="195">
        <v>182</v>
      </c>
      <c r="F52" s="196">
        <v>13.77</v>
      </c>
      <c r="H52" s="202">
        <f t="shared" si="1"/>
        <v>0.13769999999999999</v>
      </c>
      <c r="I52" s="203">
        <f t="shared" si="2"/>
        <v>1.0808720055968335E-2</v>
      </c>
      <c r="J52" s="203">
        <f t="shared" si="3"/>
        <v>4.8878866282531241E-4</v>
      </c>
    </row>
    <row r="53" spans="1:10" x14ac:dyDescent="0.3">
      <c r="A53" s="201">
        <f t="shared" si="0"/>
        <v>46376</v>
      </c>
      <c r="B53" s="31"/>
      <c r="C53" s="194" t="s">
        <v>87</v>
      </c>
      <c r="D53" s="195">
        <v>123</v>
      </c>
      <c r="E53" s="195">
        <v>183</v>
      </c>
      <c r="F53" s="196">
        <v>13.77</v>
      </c>
      <c r="H53" s="202">
        <f t="shared" si="1"/>
        <v>0.13769999999999999</v>
      </c>
      <c r="I53" s="203">
        <f t="shared" si="2"/>
        <v>1.0808720055968335E-2</v>
      </c>
      <c r="J53" s="203">
        <f t="shared" si="3"/>
        <v>4.8878866282531241E-4</v>
      </c>
    </row>
    <row r="54" spans="1:10" x14ac:dyDescent="0.3">
      <c r="A54" s="201">
        <f t="shared" si="0"/>
        <v>46381</v>
      </c>
      <c r="B54" s="31"/>
      <c r="C54" s="194" t="s">
        <v>87</v>
      </c>
      <c r="D54" s="195">
        <v>128</v>
      </c>
      <c r="E54" s="195">
        <v>190</v>
      </c>
      <c r="F54" s="196">
        <v>13.78</v>
      </c>
      <c r="H54" s="202">
        <f t="shared" si="1"/>
        <v>0.13780000000000001</v>
      </c>
      <c r="I54" s="203">
        <f t="shared" si="2"/>
        <v>1.0816123648017539E-2</v>
      </c>
      <c r="J54" s="203">
        <f t="shared" si="3"/>
        <v>4.8912175277426861E-4</v>
      </c>
    </row>
    <row r="55" spans="1:10" x14ac:dyDescent="0.3">
      <c r="A55" s="201">
        <f t="shared" si="0"/>
        <v>46382</v>
      </c>
      <c r="B55" s="31"/>
      <c r="C55" s="194" t="s">
        <v>87</v>
      </c>
      <c r="D55" s="195">
        <v>129</v>
      </c>
      <c r="E55" s="195">
        <v>191</v>
      </c>
      <c r="F55" s="196">
        <v>13.78</v>
      </c>
      <c r="H55" s="202">
        <f t="shared" si="1"/>
        <v>0.13780000000000001</v>
      </c>
      <c r="I55" s="203">
        <f t="shared" si="2"/>
        <v>1.0816123648017539E-2</v>
      </c>
      <c r="J55" s="203">
        <f t="shared" si="3"/>
        <v>4.8912175277426861E-4</v>
      </c>
    </row>
    <row r="56" spans="1:10" x14ac:dyDescent="0.3">
      <c r="A56" s="201">
        <f t="shared" si="0"/>
        <v>46383</v>
      </c>
      <c r="B56" s="31"/>
      <c r="C56" s="194" t="s">
        <v>87</v>
      </c>
      <c r="D56" s="195">
        <v>130</v>
      </c>
      <c r="E56" s="195">
        <v>192</v>
      </c>
      <c r="F56" s="196">
        <v>13.78</v>
      </c>
      <c r="H56" s="202">
        <f t="shared" si="1"/>
        <v>0.13780000000000001</v>
      </c>
      <c r="I56" s="203">
        <f t="shared" si="2"/>
        <v>1.0816123648017539E-2</v>
      </c>
      <c r="J56" s="203">
        <f t="shared" si="3"/>
        <v>4.8912175277426861E-4</v>
      </c>
    </row>
    <row r="57" spans="1:10" x14ac:dyDescent="0.3">
      <c r="A57" s="201">
        <f t="shared" si="0"/>
        <v>46384</v>
      </c>
      <c r="B57" s="31"/>
      <c r="C57" s="194" t="s">
        <v>87</v>
      </c>
      <c r="D57" s="195">
        <v>131</v>
      </c>
      <c r="E57" s="195">
        <v>195</v>
      </c>
      <c r="F57" s="196">
        <v>13.78</v>
      </c>
      <c r="H57" s="202">
        <f t="shared" si="1"/>
        <v>0.13780000000000001</v>
      </c>
      <c r="I57" s="203">
        <f t="shared" si="2"/>
        <v>1.0816123648017539E-2</v>
      </c>
      <c r="J57" s="203">
        <f t="shared" si="3"/>
        <v>4.8912175277426861E-4</v>
      </c>
    </row>
    <row r="58" spans="1:10" x14ac:dyDescent="0.3">
      <c r="A58" s="201">
        <f t="shared" si="0"/>
        <v>46394</v>
      </c>
      <c r="B58" s="31"/>
      <c r="C58" s="194" t="s">
        <v>87</v>
      </c>
      <c r="D58" s="195">
        <v>141</v>
      </c>
      <c r="E58" s="195">
        <v>209</v>
      </c>
      <c r="F58" s="196">
        <v>13.79</v>
      </c>
      <c r="H58" s="202">
        <f t="shared" si="1"/>
        <v>0.13789999999999999</v>
      </c>
      <c r="I58" s="203">
        <f t="shared" si="2"/>
        <v>1.082352664362185E-2</v>
      </c>
      <c r="J58" s="203">
        <f t="shared" si="3"/>
        <v>4.8945481356033049E-4</v>
      </c>
    </row>
    <row r="59" spans="1:10" x14ac:dyDescent="0.3">
      <c r="A59" s="201">
        <f t="shared" si="0"/>
        <v>46395</v>
      </c>
      <c r="B59" s="31"/>
      <c r="C59" s="194" t="s">
        <v>87</v>
      </c>
      <c r="D59" s="195">
        <v>142</v>
      </c>
      <c r="E59" s="195">
        <v>210</v>
      </c>
      <c r="F59" s="196">
        <v>13.8</v>
      </c>
      <c r="H59" s="202">
        <f t="shared" si="1"/>
        <v>0.13800000000000001</v>
      </c>
      <c r="I59" s="203">
        <f t="shared" si="2"/>
        <v>1.083092904288141E-2</v>
      </c>
      <c r="J59" s="203">
        <f t="shared" si="3"/>
        <v>4.8978784518882712E-4</v>
      </c>
    </row>
    <row r="60" spans="1:10" x14ac:dyDescent="0.3">
      <c r="A60" s="201">
        <f t="shared" si="0"/>
        <v>46398</v>
      </c>
      <c r="B60" s="31"/>
      <c r="C60" s="194" t="s">
        <v>87</v>
      </c>
      <c r="D60" s="195">
        <v>145</v>
      </c>
      <c r="E60" s="195">
        <v>213</v>
      </c>
      <c r="F60" s="196">
        <v>13.8</v>
      </c>
      <c r="H60" s="202">
        <f t="shared" si="1"/>
        <v>0.13800000000000001</v>
      </c>
      <c r="I60" s="203">
        <f t="shared" si="2"/>
        <v>1.083092904288141E-2</v>
      </c>
      <c r="J60" s="203">
        <f t="shared" si="3"/>
        <v>4.8978784518882712E-4</v>
      </c>
    </row>
    <row r="61" spans="1:10" x14ac:dyDescent="0.3">
      <c r="A61" s="201">
        <f t="shared" si="0"/>
        <v>46399</v>
      </c>
      <c r="B61" s="31"/>
      <c r="C61" s="194" t="s">
        <v>87</v>
      </c>
      <c r="D61" s="195">
        <v>146</v>
      </c>
      <c r="E61" s="195">
        <v>216</v>
      </c>
      <c r="F61" s="196">
        <v>13.8</v>
      </c>
      <c r="H61" s="202">
        <f t="shared" si="1"/>
        <v>0.13800000000000001</v>
      </c>
      <c r="I61" s="203">
        <f t="shared" si="2"/>
        <v>1.083092904288141E-2</v>
      </c>
      <c r="J61" s="203">
        <f t="shared" si="3"/>
        <v>4.8978784518882712E-4</v>
      </c>
    </row>
    <row r="62" spans="1:10" x14ac:dyDescent="0.3">
      <c r="A62" s="201">
        <f t="shared" si="0"/>
        <v>46403</v>
      </c>
      <c r="B62" s="31"/>
      <c r="C62" s="194" t="s">
        <v>87</v>
      </c>
      <c r="D62" s="195">
        <v>150</v>
      </c>
      <c r="E62" s="195">
        <v>223</v>
      </c>
      <c r="F62" s="196">
        <v>13.81</v>
      </c>
      <c r="H62" s="202">
        <f t="shared" si="1"/>
        <v>0.1381</v>
      </c>
      <c r="I62" s="203">
        <f t="shared" si="2"/>
        <v>1.0838330845896804E-2</v>
      </c>
      <c r="J62" s="203">
        <f t="shared" si="3"/>
        <v>4.9012084766486552E-4</v>
      </c>
    </row>
    <row r="63" spans="1:10" x14ac:dyDescent="0.3">
      <c r="A63" s="201">
        <f t="shared" si="0"/>
        <v>46405</v>
      </c>
      <c r="B63" s="31"/>
      <c r="C63" s="194" t="s">
        <v>87</v>
      </c>
      <c r="D63" s="195">
        <v>152</v>
      </c>
      <c r="E63" s="195">
        <v>225</v>
      </c>
      <c r="F63" s="196">
        <v>13.81</v>
      </c>
      <c r="H63" s="202">
        <f t="shared" si="1"/>
        <v>0.1381</v>
      </c>
      <c r="I63" s="203">
        <f t="shared" si="2"/>
        <v>1.0838330845896804E-2</v>
      </c>
      <c r="J63" s="203">
        <f t="shared" si="3"/>
        <v>4.9012084766486552E-4</v>
      </c>
    </row>
    <row r="64" spans="1:10" x14ac:dyDescent="0.3">
      <c r="A64" s="201">
        <f t="shared" si="0"/>
        <v>46406</v>
      </c>
      <c r="B64" s="31"/>
      <c r="C64" s="194" t="s">
        <v>87</v>
      </c>
      <c r="D64" s="195">
        <v>153</v>
      </c>
      <c r="E64" s="195">
        <v>226</v>
      </c>
      <c r="F64" s="196">
        <v>13.81</v>
      </c>
      <c r="H64" s="202">
        <f t="shared" si="1"/>
        <v>0.1381</v>
      </c>
      <c r="I64" s="203">
        <f t="shared" si="2"/>
        <v>1.0838330845896804E-2</v>
      </c>
      <c r="J64" s="203">
        <f t="shared" si="3"/>
        <v>4.9012084766486552E-4</v>
      </c>
    </row>
    <row r="65" spans="1:10" x14ac:dyDescent="0.3">
      <c r="A65" s="201">
        <f t="shared" si="0"/>
        <v>46415</v>
      </c>
      <c r="B65" s="31"/>
      <c r="C65" s="194" t="s">
        <v>87</v>
      </c>
      <c r="D65" s="195">
        <v>162</v>
      </c>
      <c r="E65" s="195">
        <v>239</v>
      </c>
      <c r="F65" s="196">
        <v>13.81</v>
      </c>
      <c r="H65" s="202">
        <f t="shared" si="1"/>
        <v>0.1381</v>
      </c>
      <c r="I65" s="203">
        <f t="shared" si="2"/>
        <v>1.0838330845896804E-2</v>
      </c>
      <c r="J65" s="203">
        <f t="shared" si="3"/>
        <v>4.9012084766486552E-4</v>
      </c>
    </row>
    <row r="66" spans="1:10" x14ac:dyDescent="0.3">
      <c r="A66" s="201">
        <f t="shared" si="0"/>
        <v>46416</v>
      </c>
      <c r="B66" s="31"/>
      <c r="C66" s="194" t="s">
        <v>87</v>
      </c>
      <c r="D66" s="195">
        <v>163</v>
      </c>
      <c r="E66" s="195">
        <v>240</v>
      </c>
      <c r="F66" s="196">
        <v>13.81</v>
      </c>
      <c r="H66" s="202">
        <f t="shared" si="1"/>
        <v>0.1381</v>
      </c>
      <c r="I66" s="203">
        <f t="shared" si="2"/>
        <v>1.0838330845896804E-2</v>
      </c>
      <c r="J66" s="203">
        <f t="shared" si="3"/>
        <v>4.9012084766486552E-4</v>
      </c>
    </row>
    <row r="67" spans="1:10" x14ac:dyDescent="0.3">
      <c r="A67" s="201">
        <f t="shared" ref="A67:A130" si="4">$A$2+D67</f>
        <v>46417</v>
      </c>
      <c r="B67" s="31"/>
      <c r="C67" s="194" t="s">
        <v>87</v>
      </c>
      <c r="D67" s="195">
        <v>164</v>
      </c>
      <c r="E67" s="195">
        <v>241</v>
      </c>
      <c r="F67" s="196">
        <v>13.81</v>
      </c>
      <c r="H67" s="202">
        <f t="shared" ref="H67:H130" si="5">F67/100</f>
        <v>0.1381</v>
      </c>
      <c r="I67" s="203">
        <f t="shared" ref="I67:I130" si="6">(1+H67)^(1/12)-1</f>
        <v>1.0838330845896804E-2</v>
      </c>
      <c r="J67" s="203">
        <f t="shared" ref="J67:J130" si="7">(1+I67)^(1/22)-1</f>
        <v>4.9012084766486552E-4</v>
      </c>
    </row>
    <row r="68" spans="1:10" x14ac:dyDescent="0.3">
      <c r="A68" s="201">
        <f t="shared" si="4"/>
        <v>46424</v>
      </c>
      <c r="B68" s="31"/>
      <c r="C68" s="194" t="s">
        <v>87</v>
      </c>
      <c r="D68" s="195">
        <v>171</v>
      </c>
      <c r="E68" s="195">
        <v>253</v>
      </c>
      <c r="F68" s="196">
        <v>13.82</v>
      </c>
      <c r="H68" s="202">
        <f t="shared" si="5"/>
        <v>0.13819999999999999</v>
      </c>
      <c r="I68" s="203">
        <f t="shared" si="6"/>
        <v>1.0845732052768176E-2</v>
      </c>
      <c r="J68" s="203">
        <f t="shared" si="7"/>
        <v>4.9045382099333068E-4</v>
      </c>
    </row>
    <row r="69" spans="1:10" x14ac:dyDescent="0.3">
      <c r="A69" s="201">
        <f t="shared" si="4"/>
        <v>46425</v>
      </c>
      <c r="B69" s="31"/>
      <c r="C69" s="194" t="s">
        <v>87</v>
      </c>
      <c r="D69" s="195">
        <v>172</v>
      </c>
      <c r="E69" s="195">
        <v>254</v>
      </c>
      <c r="F69" s="196">
        <v>13.82</v>
      </c>
      <c r="H69" s="202">
        <f t="shared" si="5"/>
        <v>0.13819999999999999</v>
      </c>
      <c r="I69" s="203">
        <f t="shared" si="6"/>
        <v>1.0845732052768176E-2</v>
      </c>
      <c r="J69" s="203">
        <f t="shared" si="7"/>
        <v>4.9045382099333068E-4</v>
      </c>
    </row>
    <row r="70" spans="1:10" x14ac:dyDescent="0.3">
      <c r="A70" s="201">
        <f t="shared" si="4"/>
        <v>46426</v>
      </c>
      <c r="B70" s="31"/>
      <c r="C70" s="194" t="s">
        <v>87</v>
      </c>
      <c r="D70" s="195">
        <v>173</v>
      </c>
      <c r="E70" s="195">
        <v>255</v>
      </c>
      <c r="F70" s="196">
        <v>13.82</v>
      </c>
      <c r="H70" s="202">
        <f t="shared" si="5"/>
        <v>0.13819999999999999</v>
      </c>
      <c r="I70" s="203">
        <f t="shared" si="6"/>
        <v>1.0845732052768176E-2</v>
      </c>
      <c r="J70" s="203">
        <f t="shared" si="7"/>
        <v>4.9045382099333068E-4</v>
      </c>
    </row>
    <row r="71" spans="1:10" x14ac:dyDescent="0.3">
      <c r="A71" s="201">
        <f t="shared" si="4"/>
        <v>46427</v>
      </c>
      <c r="B71" s="31"/>
      <c r="C71" s="194" t="s">
        <v>87</v>
      </c>
      <c r="D71" s="195">
        <v>174</v>
      </c>
      <c r="E71" s="195">
        <v>258</v>
      </c>
      <c r="F71" s="196">
        <v>13.82</v>
      </c>
      <c r="H71" s="202">
        <f t="shared" si="5"/>
        <v>0.13819999999999999</v>
      </c>
      <c r="I71" s="203">
        <f t="shared" si="6"/>
        <v>1.0845732052768176E-2</v>
      </c>
      <c r="J71" s="203">
        <f t="shared" si="7"/>
        <v>4.9045382099333068E-4</v>
      </c>
    </row>
    <row r="72" spans="1:10" x14ac:dyDescent="0.3">
      <c r="A72" s="201">
        <f t="shared" si="4"/>
        <v>46437</v>
      </c>
      <c r="B72" s="31"/>
      <c r="C72" s="194" t="s">
        <v>87</v>
      </c>
      <c r="D72" s="195">
        <v>184</v>
      </c>
      <c r="E72" s="195">
        <v>272</v>
      </c>
      <c r="F72" s="196">
        <v>13.83</v>
      </c>
      <c r="H72" s="202">
        <f t="shared" si="5"/>
        <v>0.13830000000000001</v>
      </c>
      <c r="I72" s="203">
        <f t="shared" si="6"/>
        <v>1.0853132663596332E-2</v>
      </c>
      <c r="J72" s="203">
        <f t="shared" si="7"/>
        <v>4.9078676517977371E-4</v>
      </c>
    </row>
    <row r="73" spans="1:10" x14ac:dyDescent="0.3">
      <c r="A73" s="201">
        <f t="shared" si="4"/>
        <v>46440</v>
      </c>
      <c r="B73" s="31"/>
      <c r="C73" s="194" t="s">
        <v>87</v>
      </c>
      <c r="D73" s="195">
        <v>187</v>
      </c>
      <c r="E73" s="195">
        <v>275</v>
      </c>
      <c r="F73" s="196">
        <v>13.84</v>
      </c>
      <c r="H73" s="202">
        <f t="shared" si="5"/>
        <v>0.1384</v>
      </c>
      <c r="I73" s="203">
        <f t="shared" si="6"/>
        <v>1.0860532678481194E-2</v>
      </c>
      <c r="J73" s="203">
        <f t="shared" si="7"/>
        <v>4.9111968022885755E-4</v>
      </c>
    </row>
    <row r="74" spans="1:10" x14ac:dyDescent="0.3">
      <c r="A74" s="201">
        <f t="shared" si="4"/>
        <v>46446</v>
      </c>
      <c r="B74" s="31"/>
      <c r="C74" s="194" t="s">
        <v>87</v>
      </c>
      <c r="D74" s="195">
        <v>193</v>
      </c>
      <c r="E74" s="195">
        <v>286</v>
      </c>
      <c r="F74" s="196">
        <v>13.85</v>
      </c>
      <c r="H74" s="202">
        <f t="shared" si="5"/>
        <v>0.13849999999999998</v>
      </c>
      <c r="I74" s="203">
        <f t="shared" si="6"/>
        <v>1.0867932097523347E-2</v>
      </c>
      <c r="J74" s="203">
        <f t="shared" si="7"/>
        <v>4.9145256614591126E-4</v>
      </c>
    </row>
    <row r="75" spans="1:10" x14ac:dyDescent="0.3">
      <c r="A75" s="201">
        <f t="shared" si="4"/>
        <v>46447</v>
      </c>
      <c r="B75" s="31"/>
      <c r="C75" s="194" t="s">
        <v>87</v>
      </c>
      <c r="D75" s="195">
        <v>194</v>
      </c>
      <c r="E75" s="195">
        <v>287</v>
      </c>
      <c r="F75" s="196">
        <v>13.85</v>
      </c>
      <c r="H75" s="202">
        <f t="shared" si="5"/>
        <v>0.13849999999999998</v>
      </c>
      <c r="I75" s="203">
        <f t="shared" si="6"/>
        <v>1.0867932097523347E-2</v>
      </c>
      <c r="J75" s="203">
        <f t="shared" si="7"/>
        <v>4.9145256614591126E-4</v>
      </c>
    </row>
    <row r="76" spans="1:10" x14ac:dyDescent="0.3">
      <c r="A76" s="201">
        <f t="shared" si="4"/>
        <v>46456</v>
      </c>
      <c r="B76" s="31"/>
      <c r="C76" s="194" t="s">
        <v>87</v>
      </c>
      <c r="D76" s="195">
        <v>203</v>
      </c>
      <c r="E76" s="195">
        <v>300</v>
      </c>
      <c r="F76" s="196">
        <v>13.86</v>
      </c>
      <c r="H76" s="202">
        <f t="shared" si="5"/>
        <v>0.1386</v>
      </c>
      <c r="I76" s="203">
        <f t="shared" si="6"/>
        <v>1.0875330920823156E-2</v>
      </c>
      <c r="J76" s="203">
        <f t="shared" si="7"/>
        <v>4.9178542293604188E-4</v>
      </c>
    </row>
    <row r="77" spans="1:10" x14ac:dyDescent="0.3">
      <c r="A77" s="201">
        <f t="shared" si="4"/>
        <v>46458</v>
      </c>
      <c r="B77" s="31"/>
      <c r="C77" s="194" t="s">
        <v>87</v>
      </c>
      <c r="D77" s="195">
        <v>205</v>
      </c>
      <c r="E77" s="195">
        <v>302</v>
      </c>
      <c r="F77" s="196">
        <v>13.86</v>
      </c>
      <c r="H77" s="202">
        <f t="shared" si="5"/>
        <v>0.1386</v>
      </c>
      <c r="I77" s="203">
        <f t="shared" si="6"/>
        <v>1.0875330920823156E-2</v>
      </c>
      <c r="J77" s="203">
        <f t="shared" si="7"/>
        <v>4.9178542293604188E-4</v>
      </c>
    </row>
    <row r="78" spans="1:10" x14ac:dyDescent="0.3">
      <c r="A78" s="201">
        <f t="shared" si="4"/>
        <v>46460</v>
      </c>
      <c r="B78" s="31"/>
      <c r="C78" s="194" t="s">
        <v>87</v>
      </c>
      <c r="D78" s="195">
        <v>207</v>
      </c>
      <c r="E78" s="195">
        <v>304</v>
      </c>
      <c r="F78" s="196">
        <v>13.86</v>
      </c>
      <c r="H78" s="202">
        <f t="shared" si="5"/>
        <v>0.1386</v>
      </c>
      <c r="I78" s="203">
        <f t="shared" si="6"/>
        <v>1.0875330920823156E-2</v>
      </c>
      <c r="J78" s="203">
        <f t="shared" si="7"/>
        <v>4.9178542293604188E-4</v>
      </c>
    </row>
    <row r="79" spans="1:10" x14ac:dyDescent="0.3">
      <c r="A79" s="201">
        <f t="shared" si="4"/>
        <v>46467</v>
      </c>
      <c r="B79" s="31"/>
      <c r="C79" s="194" t="s">
        <v>87</v>
      </c>
      <c r="D79" s="195">
        <v>214</v>
      </c>
      <c r="E79" s="195">
        <v>315</v>
      </c>
      <c r="F79" s="196">
        <v>13.87</v>
      </c>
      <c r="H79" s="202">
        <f t="shared" si="5"/>
        <v>0.13869999999999999</v>
      </c>
      <c r="I79" s="203">
        <f t="shared" si="6"/>
        <v>1.0882729148480763E-2</v>
      </c>
      <c r="J79" s="203">
        <f t="shared" si="7"/>
        <v>4.9211825060413439E-4</v>
      </c>
    </row>
    <row r="80" spans="1:10" x14ac:dyDescent="0.3">
      <c r="A80" s="201">
        <f t="shared" si="4"/>
        <v>46468</v>
      </c>
      <c r="B80" s="31"/>
      <c r="C80" s="194" t="s">
        <v>87</v>
      </c>
      <c r="D80" s="195">
        <v>215</v>
      </c>
      <c r="E80" s="195">
        <v>316</v>
      </c>
      <c r="F80" s="196">
        <v>13.87</v>
      </c>
      <c r="H80" s="202">
        <f t="shared" si="5"/>
        <v>0.13869999999999999</v>
      </c>
      <c r="I80" s="203">
        <f t="shared" si="6"/>
        <v>1.0882729148480763E-2</v>
      </c>
      <c r="J80" s="203">
        <f t="shared" si="7"/>
        <v>4.9211825060413439E-4</v>
      </c>
    </row>
    <row r="81" spans="1:10" x14ac:dyDescent="0.3">
      <c r="A81" s="201">
        <f t="shared" si="4"/>
        <v>46469</v>
      </c>
      <c r="B81" s="31"/>
      <c r="C81" s="194" t="s">
        <v>87</v>
      </c>
      <c r="D81" s="195">
        <v>216</v>
      </c>
      <c r="E81" s="195">
        <v>317</v>
      </c>
      <c r="F81" s="196">
        <v>13.87</v>
      </c>
      <c r="H81" s="202">
        <f t="shared" si="5"/>
        <v>0.13869999999999999</v>
      </c>
      <c r="I81" s="203">
        <f t="shared" si="6"/>
        <v>1.0882729148480763E-2</v>
      </c>
      <c r="J81" s="203">
        <f t="shared" si="7"/>
        <v>4.9211825060413439E-4</v>
      </c>
    </row>
    <row r="82" spans="1:10" x14ac:dyDescent="0.3">
      <c r="A82" s="201">
        <f t="shared" si="4"/>
        <v>46478</v>
      </c>
      <c r="B82" s="31"/>
      <c r="C82" s="194" t="s">
        <v>87</v>
      </c>
      <c r="D82" s="195">
        <v>225</v>
      </c>
      <c r="E82" s="195">
        <v>330</v>
      </c>
      <c r="F82" s="196">
        <v>13.88</v>
      </c>
      <c r="H82" s="202">
        <f t="shared" si="5"/>
        <v>0.13880000000000001</v>
      </c>
      <c r="I82" s="203">
        <f t="shared" si="6"/>
        <v>1.0890126780596532E-2</v>
      </c>
      <c r="J82" s="203">
        <f t="shared" si="7"/>
        <v>4.924510491557399E-4</v>
      </c>
    </row>
    <row r="83" spans="1:10" x14ac:dyDescent="0.3">
      <c r="A83" s="201">
        <f t="shared" si="4"/>
        <v>46479</v>
      </c>
      <c r="B83" s="31"/>
      <c r="C83" s="194" t="s">
        <v>87</v>
      </c>
      <c r="D83" s="195">
        <v>226</v>
      </c>
      <c r="E83" s="195">
        <v>331</v>
      </c>
      <c r="F83" s="196">
        <v>13.88</v>
      </c>
      <c r="H83" s="202">
        <f t="shared" si="5"/>
        <v>0.13880000000000001</v>
      </c>
      <c r="I83" s="203">
        <f t="shared" si="6"/>
        <v>1.0890126780596532E-2</v>
      </c>
      <c r="J83" s="203">
        <f t="shared" si="7"/>
        <v>4.924510491557399E-4</v>
      </c>
    </row>
    <row r="84" spans="1:10" x14ac:dyDescent="0.3">
      <c r="A84" s="201">
        <f t="shared" si="4"/>
        <v>46489</v>
      </c>
      <c r="B84" s="31"/>
      <c r="C84" s="194" t="s">
        <v>87</v>
      </c>
      <c r="D84" s="195">
        <v>236</v>
      </c>
      <c r="E84" s="195">
        <v>345</v>
      </c>
      <c r="F84" s="196">
        <v>13.89</v>
      </c>
      <c r="H84" s="202">
        <f t="shared" si="5"/>
        <v>0.1389</v>
      </c>
      <c r="I84" s="203">
        <f t="shared" si="6"/>
        <v>1.0897523817270605E-2</v>
      </c>
      <c r="J84" s="203">
        <f t="shared" si="7"/>
        <v>4.9278381859552134E-4</v>
      </c>
    </row>
    <row r="85" spans="1:10" x14ac:dyDescent="0.3">
      <c r="A85" s="201">
        <f t="shared" si="4"/>
        <v>46491</v>
      </c>
      <c r="B85" s="31"/>
      <c r="C85" s="194" t="s">
        <v>87</v>
      </c>
      <c r="D85" s="195">
        <v>238</v>
      </c>
      <c r="E85" s="195">
        <v>349</v>
      </c>
      <c r="F85" s="196">
        <v>13.89</v>
      </c>
      <c r="H85" s="202">
        <f t="shared" si="5"/>
        <v>0.1389</v>
      </c>
      <c r="I85" s="203">
        <f t="shared" si="6"/>
        <v>1.0897523817270605E-2</v>
      </c>
      <c r="J85" s="203">
        <f t="shared" si="7"/>
        <v>4.9278381859552134E-4</v>
      </c>
    </row>
    <row r="86" spans="1:10" x14ac:dyDescent="0.3">
      <c r="A86" s="201">
        <f t="shared" si="4"/>
        <v>46500</v>
      </c>
      <c r="B86" s="31"/>
      <c r="C86" s="194" t="s">
        <v>87</v>
      </c>
      <c r="D86" s="195">
        <v>247</v>
      </c>
      <c r="E86" s="195">
        <v>360</v>
      </c>
      <c r="F86" s="196">
        <v>13.9</v>
      </c>
      <c r="H86" s="202">
        <f t="shared" si="5"/>
        <v>0.13900000000000001</v>
      </c>
      <c r="I86" s="203">
        <f t="shared" si="6"/>
        <v>1.0904920258603124E-2</v>
      </c>
      <c r="J86" s="203">
        <f t="shared" si="7"/>
        <v>4.9311655892880779E-4</v>
      </c>
    </row>
    <row r="87" spans="1:10" x14ac:dyDescent="0.3">
      <c r="A87" s="201">
        <f t="shared" si="4"/>
        <v>46501</v>
      </c>
      <c r="B87" s="31"/>
      <c r="C87" s="194" t="s">
        <v>87</v>
      </c>
      <c r="D87" s="195">
        <v>248</v>
      </c>
      <c r="E87" s="195">
        <v>363</v>
      </c>
      <c r="F87" s="196">
        <v>13.9</v>
      </c>
      <c r="H87" s="202">
        <f t="shared" si="5"/>
        <v>0.13900000000000001</v>
      </c>
      <c r="I87" s="203">
        <f t="shared" si="6"/>
        <v>1.0904920258603124E-2</v>
      </c>
      <c r="J87" s="203">
        <f t="shared" si="7"/>
        <v>4.9311655892880779E-4</v>
      </c>
    </row>
    <row r="88" spans="1:10" x14ac:dyDescent="0.3">
      <c r="A88" s="201">
        <f t="shared" si="4"/>
        <v>46503</v>
      </c>
      <c r="B88" s="31"/>
      <c r="C88" s="194" t="s">
        <v>87</v>
      </c>
      <c r="D88" s="195">
        <v>250</v>
      </c>
      <c r="E88" s="195">
        <v>365</v>
      </c>
      <c r="F88" s="196">
        <v>13.9</v>
      </c>
      <c r="H88" s="202">
        <f t="shared" si="5"/>
        <v>0.13900000000000001</v>
      </c>
      <c r="I88" s="203">
        <f t="shared" si="6"/>
        <v>1.0904920258603124E-2</v>
      </c>
      <c r="J88" s="203">
        <f t="shared" si="7"/>
        <v>4.9311655892880779E-4</v>
      </c>
    </row>
    <row r="89" spans="1:10" x14ac:dyDescent="0.3">
      <c r="A89" s="201">
        <f t="shared" si="4"/>
        <v>46520</v>
      </c>
      <c r="B89" s="31"/>
      <c r="C89" s="194" t="s">
        <v>87</v>
      </c>
      <c r="D89" s="195">
        <v>267</v>
      </c>
      <c r="E89" s="195">
        <v>391</v>
      </c>
      <c r="F89" s="196">
        <v>13.92</v>
      </c>
      <c r="H89" s="202">
        <f t="shared" si="5"/>
        <v>0.13919999999999999</v>
      </c>
      <c r="I89" s="203">
        <f t="shared" si="6"/>
        <v>1.091971135564429E-2</v>
      </c>
      <c r="J89" s="203">
        <f t="shared" si="7"/>
        <v>4.9378195229610178E-4</v>
      </c>
    </row>
    <row r="90" spans="1:10" x14ac:dyDescent="0.3">
      <c r="A90" s="201">
        <f t="shared" si="4"/>
        <v>46522</v>
      </c>
      <c r="B90" s="31"/>
      <c r="C90" s="194" t="s">
        <v>87</v>
      </c>
      <c r="D90" s="195">
        <v>269</v>
      </c>
      <c r="E90" s="195">
        <v>393</v>
      </c>
      <c r="F90" s="196">
        <v>13.92</v>
      </c>
      <c r="H90" s="202">
        <f t="shared" si="5"/>
        <v>0.13919999999999999</v>
      </c>
      <c r="I90" s="203">
        <f t="shared" si="6"/>
        <v>1.091971135564429E-2</v>
      </c>
      <c r="J90" s="203">
        <f t="shared" si="7"/>
        <v>4.9378195229610178E-4</v>
      </c>
    </row>
    <row r="91" spans="1:10" x14ac:dyDescent="0.3">
      <c r="A91" s="201">
        <f t="shared" si="4"/>
        <v>46527</v>
      </c>
      <c r="B91" s="31"/>
      <c r="C91" s="194" t="s">
        <v>87</v>
      </c>
      <c r="D91" s="195">
        <v>274</v>
      </c>
      <c r="E91" s="195">
        <v>400</v>
      </c>
      <c r="F91" s="196">
        <v>13.92</v>
      </c>
      <c r="H91" s="202">
        <f t="shared" si="5"/>
        <v>0.13919999999999999</v>
      </c>
      <c r="I91" s="203">
        <f t="shared" si="6"/>
        <v>1.091971135564429E-2</v>
      </c>
      <c r="J91" s="203">
        <f t="shared" si="7"/>
        <v>4.9378195229610178E-4</v>
      </c>
    </row>
    <row r="92" spans="1:10" x14ac:dyDescent="0.3">
      <c r="A92" s="201">
        <f t="shared" si="4"/>
        <v>46534</v>
      </c>
      <c r="B92" s="31"/>
      <c r="C92" s="194" t="s">
        <v>87</v>
      </c>
      <c r="D92" s="195">
        <v>281</v>
      </c>
      <c r="E92" s="195">
        <v>409</v>
      </c>
      <c r="F92" s="196">
        <v>13.93</v>
      </c>
      <c r="H92" s="202">
        <f t="shared" si="5"/>
        <v>0.13930000000000001</v>
      </c>
      <c r="I92" s="203">
        <f t="shared" si="6"/>
        <v>1.0927106011553445E-2</v>
      </c>
      <c r="J92" s="203">
        <f t="shared" si="7"/>
        <v>4.9411460534032337E-4</v>
      </c>
    </row>
    <row r="93" spans="1:10" x14ac:dyDescent="0.3">
      <c r="A93" s="201">
        <f t="shared" si="4"/>
        <v>46541</v>
      </c>
      <c r="B93" s="31"/>
      <c r="C93" s="194" t="s">
        <v>87</v>
      </c>
      <c r="D93" s="195">
        <v>288</v>
      </c>
      <c r="E93" s="195">
        <v>421</v>
      </c>
      <c r="F93" s="196">
        <v>13.93</v>
      </c>
      <c r="H93" s="202">
        <f t="shared" si="5"/>
        <v>0.13930000000000001</v>
      </c>
      <c r="I93" s="203">
        <f t="shared" si="6"/>
        <v>1.0927106011553445E-2</v>
      </c>
      <c r="J93" s="203">
        <f t="shared" si="7"/>
        <v>4.9411460534032337E-4</v>
      </c>
    </row>
    <row r="94" spans="1:10" x14ac:dyDescent="0.3">
      <c r="A94" s="201">
        <f t="shared" si="4"/>
        <v>46553</v>
      </c>
      <c r="B94" s="31"/>
      <c r="C94" s="194" t="s">
        <v>87</v>
      </c>
      <c r="D94" s="195">
        <v>300</v>
      </c>
      <c r="E94" s="195">
        <v>437</v>
      </c>
      <c r="F94" s="196">
        <v>13.94</v>
      </c>
      <c r="H94" s="202">
        <f t="shared" si="5"/>
        <v>0.1394</v>
      </c>
      <c r="I94" s="203">
        <f t="shared" si="6"/>
        <v>1.0934500072521613E-2</v>
      </c>
      <c r="J94" s="203">
        <f t="shared" si="7"/>
        <v>4.9444722929847806E-4</v>
      </c>
    </row>
    <row r="95" spans="1:10" x14ac:dyDescent="0.3">
      <c r="A95" s="201">
        <f t="shared" si="4"/>
        <v>46554</v>
      </c>
      <c r="B95" s="31"/>
      <c r="C95" s="194" t="s">
        <v>87</v>
      </c>
      <c r="D95" s="195">
        <v>301</v>
      </c>
      <c r="E95" s="195">
        <v>440</v>
      </c>
      <c r="F95" s="196">
        <v>13.94</v>
      </c>
      <c r="H95" s="202">
        <f t="shared" si="5"/>
        <v>0.1394</v>
      </c>
      <c r="I95" s="203">
        <f t="shared" si="6"/>
        <v>1.0934500072521613E-2</v>
      </c>
      <c r="J95" s="203">
        <f t="shared" si="7"/>
        <v>4.9444722929847806E-4</v>
      </c>
    </row>
    <row r="96" spans="1:10" x14ac:dyDescent="0.3">
      <c r="A96" s="201">
        <f t="shared" si="4"/>
        <v>46561</v>
      </c>
      <c r="B96" s="31"/>
      <c r="C96" s="194" t="s">
        <v>87</v>
      </c>
      <c r="D96" s="195">
        <v>308</v>
      </c>
      <c r="E96" s="195">
        <v>450</v>
      </c>
      <c r="F96" s="196">
        <v>13.94</v>
      </c>
      <c r="H96" s="202">
        <f t="shared" si="5"/>
        <v>0.1394</v>
      </c>
      <c r="I96" s="203">
        <f t="shared" si="6"/>
        <v>1.0934500072521613E-2</v>
      </c>
      <c r="J96" s="203">
        <f t="shared" si="7"/>
        <v>4.9444722929847806E-4</v>
      </c>
    </row>
    <row r="97" spans="1:10" x14ac:dyDescent="0.3">
      <c r="A97" s="201">
        <f t="shared" si="4"/>
        <v>46563</v>
      </c>
      <c r="B97" s="31"/>
      <c r="C97" s="194" t="s">
        <v>87</v>
      </c>
      <c r="D97" s="195">
        <v>310</v>
      </c>
      <c r="E97" s="195">
        <v>455</v>
      </c>
      <c r="F97" s="196">
        <v>13.94</v>
      </c>
      <c r="H97" s="202">
        <f t="shared" si="5"/>
        <v>0.1394</v>
      </c>
      <c r="I97" s="203">
        <f t="shared" si="6"/>
        <v>1.0934500072521613E-2</v>
      </c>
      <c r="J97" s="203">
        <f t="shared" si="7"/>
        <v>4.9444722929847806E-4</v>
      </c>
    </row>
    <row r="98" spans="1:10" x14ac:dyDescent="0.3">
      <c r="A98" s="201">
        <f t="shared" si="4"/>
        <v>46574</v>
      </c>
      <c r="B98" s="31"/>
      <c r="C98" s="194" t="s">
        <v>87</v>
      </c>
      <c r="D98" s="195">
        <v>321</v>
      </c>
      <c r="E98" s="195">
        <v>470</v>
      </c>
      <c r="F98" s="196">
        <v>13.95</v>
      </c>
      <c r="H98" s="202">
        <f t="shared" si="5"/>
        <v>0.13949999999999999</v>
      </c>
      <c r="I98" s="203">
        <f t="shared" si="6"/>
        <v>1.0941893538648939E-2</v>
      </c>
      <c r="J98" s="203">
        <f t="shared" si="7"/>
        <v>4.9477982417545086E-4</v>
      </c>
    </row>
    <row r="99" spans="1:10" x14ac:dyDescent="0.3">
      <c r="A99" s="201">
        <f t="shared" si="4"/>
        <v>46582</v>
      </c>
      <c r="B99" s="31"/>
      <c r="C99" s="194" t="s">
        <v>87</v>
      </c>
      <c r="D99" s="195">
        <v>329</v>
      </c>
      <c r="E99" s="195">
        <v>482</v>
      </c>
      <c r="F99" s="196">
        <v>13.96</v>
      </c>
      <c r="H99" s="202">
        <f t="shared" si="5"/>
        <v>0.1396</v>
      </c>
      <c r="I99" s="203">
        <f t="shared" si="6"/>
        <v>1.0949286410035342E-2</v>
      </c>
      <c r="J99" s="203">
        <f t="shared" si="7"/>
        <v>4.9511238997657081E-4</v>
      </c>
    </row>
    <row r="100" spans="1:10" x14ac:dyDescent="0.3">
      <c r="A100" s="201">
        <f t="shared" si="4"/>
        <v>46584</v>
      </c>
      <c r="B100" s="31"/>
      <c r="C100" s="194" t="s">
        <v>87</v>
      </c>
      <c r="D100" s="195">
        <v>331</v>
      </c>
      <c r="E100" s="195">
        <v>484</v>
      </c>
      <c r="F100" s="196">
        <v>13.96</v>
      </c>
      <c r="H100" s="202">
        <f t="shared" si="5"/>
        <v>0.1396</v>
      </c>
      <c r="I100" s="203">
        <f t="shared" si="6"/>
        <v>1.0949286410035342E-2</v>
      </c>
      <c r="J100" s="203">
        <f t="shared" si="7"/>
        <v>4.9511238997657081E-4</v>
      </c>
    </row>
    <row r="101" spans="1:10" x14ac:dyDescent="0.3">
      <c r="A101" s="201">
        <f t="shared" si="4"/>
        <v>46588</v>
      </c>
      <c r="B101" s="31"/>
      <c r="C101" s="194" t="s">
        <v>87</v>
      </c>
      <c r="D101" s="195">
        <v>335</v>
      </c>
      <c r="E101" s="195">
        <v>490</v>
      </c>
      <c r="F101" s="196">
        <v>13.96</v>
      </c>
      <c r="H101" s="202">
        <f t="shared" si="5"/>
        <v>0.1396</v>
      </c>
      <c r="I101" s="203">
        <f t="shared" si="6"/>
        <v>1.0949286410035342E-2</v>
      </c>
      <c r="J101" s="203">
        <f t="shared" si="7"/>
        <v>4.9511238997657081E-4</v>
      </c>
    </row>
    <row r="102" spans="1:10" x14ac:dyDescent="0.3">
      <c r="A102" s="201">
        <f t="shared" si="4"/>
        <v>46595</v>
      </c>
      <c r="B102" s="31"/>
      <c r="C102" s="194" t="s">
        <v>87</v>
      </c>
      <c r="D102" s="195">
        <v>342</v>
      </c>
      <c r="E102" s="195">
        <v>499</v>
      </c>
      <c r="F102" s="196">
        <v>13.97</v>
      </c>
      <c r="H102" s="202">
        <f t="shared" si="5"/>
        <v>0.13970000000000002</v>
      </c>
      <c r="I102" s="203">
        <f t="shared" si="6"/>
        <v>1.0956678686781185E-2</v>
      </c>
      <c r="J102" s="203">
        <f t="shared" si="7"/>
        <v>4.9544492670672291E-4</v>
      </c>
    </row>
    <row r="103" spans="1:10" x14ac:dyDescent="0.3">
      <c r="A103" s="201">
        <f t="shared" si="4"/>
        <v>46597</v>
      </c>
      <c r="B103" s="31"/>
      <c r="C103" s="194" t="s">
        <v>87</v>
      </c>
      <c r="D103" s="195">
        <v>344</v>
      </c>
      <c r="E103" s="195">
        <v>503</v>
      </c>
      <c r="F103" s="196">
        <v>13.97</v>
      </c>
      <c r="H103" s="202">
        <f t="shared" si="5"/>
        <v>0.13970000000000002</v>
      </c>
      <c r="I103" s="203">
        <f t="shared" si="6"/>
        <v>1.0956678686781185E-2</v>
      </c>
      <c r="J103" s="203">
        <f t="shared" si="7"/>
        <v>4.9544492670672291E-4</v>
      </c>
    </row>
    <row r="104" spans="1:10" x14ac:dyDescent="0.3">
      <c r="A104" s="201">
        <f t="shared" si="4"/>
        <v>46602</v>
      </c>
      <c r="B104" s="31"/>
      <c r="C104" s="194" t="s">
        <v>87</v>
      </c>
      <c r="D104" s="195">
        <v>349</v>
      </c>
      <c r="E104" s="195">
        <v>510</v>
      </c>
      <c r="F104" s="196">
        <v>13.98</v>
      </c>
      <c r="H104" s="202">
        <f t="shared" si="5"/>
        <v>0.13980000000000001</v>
      </c>
      <c r="I104" s="203">
        <f t="shared" si="6"/>
        <v>1.0964070368986167E-2</v>
      </c>
      <c r="J104" s="203">
        <f t="shared" si="7"/>
        <v>4.9577743437123623E-4</v>
      </c>
    </row>
    <row r="105" spans="1:10" x14ac:dyDescent="0.3">
      <c r="A105" s="201">
        <f t="shared" si="4"/>
        <v>46617</v>
      </c>
      <c r="B105" s="31"/>
      <c r="C105" s="194" t="s">
        <v>87</v>
      </c>
      <c r="D105" s="195">
        <v>364</v>
      </c>
      <c r="E105" s="195">
        <v>531</v>
      </c>
      <c r="F105" s="196">
        <v>14</v>
      </c>
      <c r="H105" s="202">
        <f t="shared" si="5"/>
        <v>0.14000000000000001</v>
      </c>
      <c r="I105" s="203">
        <f t="shared" si="6"/>
        <v>1.0978851950173452E-2</v>
      </c>
      <c r="J105" s="203">
        <f t="shared" si="7"/>
        <v>4.9644236252310847E-4</v>
      </c>
    </row>
    <row r="106" spans="1:10" x14ac:dyDescent="0.3">
      <c r="A106" s="201">
        <f t="shared" si="4"/>
        <v>46624</v>
      </c>
      <c r="B106" s="31"/>
      <c r="C106" s="194" t="s">
        <v>87</v>
      </c>
      <c r="D106" s="195">
        <v>371</v>
      </c>
      <c r="E106" s="195">
        <v>540</v>
      </c>
      <c r="F106" s="196">
        <v>14.01</v>
      </c>
      <c r="H106" s="202">
        <f t="shared" si="5"/>
        <v>0.1401</v>
      </c>
      <c r="I106" s="203">
        <f t="shared" si="6"/>
        <v>1.0986241849355816E-2</v>
      </c>
      <c r="J106" s="203">
        <f t="shared" si="7"/>
        <v>4.9677478302068145E-4</v>
      </c>
    </row>
    <row r="107" spans="1:10" x14ac:dyDescent="0.3">
      <c r="A107" s="201">
        <f t="shared" si="4"/>
        <v>46628</v>
      </c>
      <c r="B107" s="31"/>
      <c r="C107" s="194" t="s">
        <v>87</v>
      </c>
      <c r="D107" s="195">
        <v>375</v>
      </c>
      <c r="E107" s="195">
        <v>546</v>
      </c>
      <c r="F107" s="196">
        <v>14.01</v>
      </c>
      <c r="H107" s="202">
        <f t="shared" si="5"/>
        <v>0.1401</v>
      </c>
      <c r="I107" s="203">
        <f t="shared" si="6"/>
        <v>1.0986241849355816E-2</v>
      </c>
      <c r="J107" s="203">
        <f t="shared" si="7"/>
        <v>4.9677478302068145E-4</v>
      </c>
    </row>
    <row r="108" spans="1:10" x14ac:dyDescent="0.3">
      <c r="A108" s="201">
        <f t="shared" si="4"/>
        <v>46629</v>
      </c>
      <c r="B108" s="31"/>
      <c r="C108" s="194" t="s">
        <v>87</v>
      </c>
      <c r="D108" s="195">
        <v>376</v>
      </c>
      <c r="E108" s="195">
        <v>547</v>
      </c>
      <c r="F108" s="196">
        <v>14.02</v>
      </c>
      <c r="H108" s="202">
        <f t="shared" si="5"/>
        <v>0.14019999999999999</v>
      </c>
      <c r="I108" s="203">
        <f t="shared" si="6"/>
        <v>1.0993631154397221E-2</v>
      </c>
      <c r="J108" s="203">
        <f t="shared" si="7"/>
        <v>4.9710717447304376E-4</v>
      </c>
    </row>
    <row r="109" spans="1:10" x14ac:dyDescent="0.3">
      <c r="A109" s="201">
        <f t="shared" si="4"/>
        <v>46644</v>
      </c>
      <c r="B109" s="31"/>
      <c r="C109" s="194" t="s">
        <v>87</v>
      </c>
      <c r="D109" s="195">
        <v>391</v>
      </c>
      <c r="E109" s="195">
        <v>570</v>
      </c>
      <c r="F109" s="196">
        <v>14.03</v>
      </c>
      <c r="H109" s="202">
        <f t="shared" si="5"/>
        <v>0.14029999999999998</v>
      </c>
      <c r="I109" s="203">
        <f t="shared" si="6"/>
        <v>1.1001019865397366E-2</v>
      </c>
      <c r="J109" s="203">
        <f t="shared" si="7"/>
        <v>4.9743953688485831E-4</v>
      </c>
    </row>
    <row r="110" spans="1:10" x14ac:dyDescent="0.3">
      <c r="A110" s="201">
        <f t="shared" si="4"/>
        <v>46647</v>
      </c>
      <c r="B110" s="31"/>
      <c r="C110" s="194" t="s">
        <v>87</v>
      </c>
      <c r="D110" s="195">
        <v>394</v>
      </c>
      <c r="E110" s="195">
        <v>575</v>
      </c>
      <c r="F110" s="196">
        <v>14.04</v>
      </c>
      <c r="H110" s="202">
        <f t="shared" si="5"/>
        <v>0.1404</v>
      </c>
      <c r="I110" s="203">
        <f t="shared" si="6"/>
        <v>1.100840798245617E-2</v>
      </c>
      <c r="J110" s="203">
        <f t="shared" si="7"/>
        <v>4.977718702614542E-4</v>
      </c>
    </row>
    <row r="111" spans="1:10" x14ac:dyDescent="0.3">
      <c r="A111" s="201">
        <f t="shared" si="4"/>
        <v>46660</v>
      </c>
      <c r="B111" s="31"/>
      <c r="C111" s="194" t="s">
        <v>87</v>
      </c>
      <c r="D111" s="195">
        <v>407</v>
      </c>
      <c r="E111" s="195">
        <v>594</v>
      </c>
      <c r="F111" s="196">
        <v>14.05</v>
      </c>
      <c r="H111" s="202">
        <f t="shared" si="5"/>
        <v>0.14050000000000001</v>
      </c>
      <c r="I111" s="203">
        <f t="shared" si="6"/>
        <v>1.1015795505673553E-2</v>
      </c>
      <c r="J111" s="203">
        <f t="shared" si="7"/>
        <v>4.9810417460793843E-4</v>
      </c>
    </row>
    <row r="112" spans="1:10" x14ac:dyDescent="0.3">
      <c r="A112" s="201">
        <f t="shared" si="4"/>
        <v>46665</v>
      </c>
      <c r="B112" s="31"/>
      <c r="C112" s="194" t="s">
        <v>87</v>
      </c>
      <c r="D112" s="195">
        <v>412</v>
      </c>
      <c r="E112" s="195">
        <v>601</v>
      </c>
      <c r="F112" s="196">
        <v>14.06</v>
      </c>
      <c r="H112" s="202">
        <f t="shared" si="5"/>
        <v>0.1406</v>
      </c>
      <c r="I112" s="203">
        <f t="shared" si="6"/>
        <v>1.1023182435149215E-2</v>
      </c>
      <c r="J112" s="203">
        <f t="shared" si="7"/>
        <v>4.98436449929196E-4</v>
      </c>
    </row>
    <row r="113" spans="1:10" x14ac:dyDescent="0.3">
      <c r="A113" s="201">
        <f t="shared" si="4"/>
        <v>46667</v>
      </c>
      <c r="B113" s="31"/>
      <c r="C113" s="194" t="s">
        <v>87</v>
      </c>
      <c r="D113" s="195">
        <v>414</v>
      </c>
      <c r="E113" s="195">
        <v>603</v>
      </c>
      <c r="F113" s="196">
        <v>14.07</v>
      </c>
      <c r="H113" s="202">
        <f t="shared" si="5"/>
        <v>0.14069999999999999</v>
      </c>
      <c r="I113" s="203">
        <f t="shared" si="6"/>
        <v>1.1030568770983074E-2</v>
      </c>
      <c r="J113" s="203">
        <f t="shared" si="7"/>
        <v>4.9876869623055597E-4</v>
      </c>
    </row>
    <row r="114" spans="1:10" x14ac:dyDescent="0.3">
      <c r="A114" s="201">
        <f t="shared" si="4"/>
        <v>46683</v>
      </c>
      <c r="B114" s="31"/>
      <c r="C114" s="194" t="s">
        <v>87</v>
      </c>
      <c r="D114" s="195">
        <v>430</v>
      </c>
      <c r="E114" s="195">
        <v>630</v>
      </c>
      <c r="F114" s="196">
        <v>14.09</v>
      </c>
      <c r="H114" s="202">
        <f t="shared" si="5"/>
        <v>0.1409</v>
      </c>
      <c r="I114" s="203">
        <f t="shared" si="6"/>
        <v>1.104533966212351E-2</v>
      </c>
      <c r="J114" s="203">
        <f t="shared" si="7"/>
        <v>4.9943310179356715E-4</v>
      </c>
    </row>
    <row r="115" spans="1:10" x14ac:dyDescent="0.3">
      <c r="A115" s="201">
        <f t="shared" si="4"/>
        <v>46687</v>
      </c>
      <c r="B115" s="31"/>
      <c r="C115" s="194" t="s">
        <v>87</v>
      </c>
      <c r="D115" s="195">
        <v>434</v>
      </c>
      <c r="E115" s="195">
        <v>636</v>
      </c>
      <c r="F115" s="196">
        <v>14.1</v>
      </c>
      <c r="H115" s="202">
        <f t="shared" si="5"/>
        <v>0.14099999999999999</v>
      </c>
      <c r="I115" s="203">
        <f t="shared" si="6"/>
        <v>1.1052724217629706E-2</v>
      </c>
      <c r="J115" s="203">
        <f t="shared" si="7"/>
        <v>4.997652610654324E-4</v>
      </c>
    </row>
    <row r="116" spans="1:10" x14ac:dyDescent="0.3">
      <c r="A116" s="201">
        <f t="shared" si="4"/>
        <v>46700</v>
      </c>
      <c r="B116" s="31"/>
      <c r="C116" s="194" t="s">
        <v>87</v>
      </c>
      <c r="D116" s="195">
        <v>447</v>
      </c>
      <c r="E116" s="195">
        <v>653</v>
      </c>
      <c r="F116" s="196">
        <v>14.12</v>
      </c>
      <c r="H116" s="202">
        <f t="shared" si="5"/>
        <v>0.14119999999999999</v>
      </c>
      <c r="I116" s="203">
        <f t="shared" si="6"/>
        <v>1.1067491549012543E-2</v>
      </c>
      <c r="J116" s="203">
        <f t="shared" si="7"/>
        <v>5.0042949261497327E-4</v>
      </c>
    </row>
    <row r="117" spans="1:10" x14ac:dyDescent="0.3">
      <c r="A117" s="201">
        <f t="shared" si="4"/>
        <v>46705</v>
      </c>
      <c r="B117" s="31"/>
      <c r="C117" s="194" t="s">
        <v>87</v>
      </c>
      <c r="D117" s="195">
        <v>452</v>
      </c>
      <c r="E117" s="195">
        <v>660</v>
      </c>
      <c r="F117" s="196">
        <v>14.13</v>
      </c>
      <c r="H117" s="202">
        <f t="shared" si="5"/>
        <v>0.14130000000000001</v>
      </c>
      <c r="I117" s="203">
        <f t="shared" si="6"/>
        <v>1.1074874325088357E-2</v>
      </c>
      <c r="J117" s="203">
        <f t="shared" si="7"/>
        <v>5.0076156490286294E-4</v>
      </c>
    </row>
    <row r="118" spans="1:10" x14ac:dyDescent="0.3">
      <c r="A118" s="201">
        <f t="shared" si="4"/>
        <v>46709</v>
      </c>
      <c r="B118" s="31"/>
      <c r="C118" s="194" t="s">
        <v>87</v>
      </c>
      <c r="D118" s="195">
        <v>456</v>
      </c>
      <c r="E118" s="195">
        <v>666</v>
      </c>
      <c r="F118" s="196">
        <v>14.14</v>
      </c>
      <c r="H118" s="202">
        <f t="shared" si="5"/>
        <v>0.1414</v>
      </c>
      <c r="I118" s="203">
        <f t="shared" si="6"/>
        <v>1.1082256508219812E-2</v>
      </c>
      <c r="J118" s="203">
        <f t="shared" si="7"/>
        <v>5.0109360820616011E-4</v>
      </c>
    </row>
    <row r="119" spans="1:10" x14ac:dyDescent="0.3">
      <c r="A119" s="201">
        <f t="shared" si="4"/>
        <v>46713</v>
      </c>
      <c r="B119" s="31"/>
      <c r="C119" s="194" t="s">
        <v>87</v>
      </c>
      <c r="D119" s="195">
        <v>460</v>
      </c>
      <c r="E119" s="195">
        <v>673</v>
      </c>
      <c r="F119" s="196">
        <v>14.14</v>
      </c>
      <c r="H119" s="202">
        <f t="shared" si="5"/>
        <v>0.1414</v>
      </c>
      <c r="I119" s="203">
        <f t="shared" si="6"/>
        <v>1.1082256508219812E-2</v>
      </c>
      <c r="J119" s="203">
        <f t="shared" si="7"/>
        <v>5.0109360820616011E-4</v>
      </c>
    </row>
    <row r="120" spans="1:10" x14ac:dyDescent="0.3">
      <c r="A120" s="201">
        <f t="shared" si="4"/>
        <v>46721</v>
      </c>
      <c r="B120" s="31"/>
      <c r="C120" s="194" t="s">
        <v>87</v>
      </c>
      <c r="D120" s="195">
        <v>468</v>
      </c>
      <c r="E120" s="195">
        <v>685</v>
      </c>
      <c r="F120" s="196">
        <v>14.15</v>
      </c>
      <c r="H120" s="202">
        <f t="shared" si="5"/>
        <v>0.14150000000000001</v>
      </c>
      <c r="I120" s="203">
        <f t="shared" si="6"/>
        <v>1.1089638098506605E-2</v>
      </c>
      <c r="J120" s="203">
        <f t="shared" si="7"/>
        <v>5.0142562253019385E-4</v>
      </c>
    </row>
    <row r="121" spans="1:10" x14ac:dyDescent="0.3">
      <c r="A121" s="201">
        <f t="shared" si="4"/>
        <v>46726</v>
      </c>
      <c r="B121" s="31"/>
      <c r="C121" s="194" t="s">
        <v>87</v>
      </c>
      <c r="D121" s="195">
        <v>473</v>
      </c>
      <c r="E121" s="195">
        <v>692</v>
      </c>
      <c r="F121" s="196">
        <v>14.16</v>
      </c>
      <c r="H121" s="202">
        <f t="shared" si="5"/>
        <v>0.1416</v>
      </c>
      <c r="I121" s="203">
        <f t="shared" si="6"/>
        <v>1.1097019096048211E-2</v>
      </c>
      <c r="J121" s="203">
        <f t="shared" si="7"/>
        <v>5.0175760787984913E-4</v>
      </c>
    </row>
    <row r="122" spans="1:10" x14ac:dyDescent="0.3">
      <c r="A122" s="201">
        <f t="shared" si="4"/>
        <v>46746</v>
      </c>
      <c r="B122" s="31"/>
      <c r="C122" s="194" t="s">
        <v>87</v>
      </c>
      <c r="D122" s="195">
        <v>493</v>
      </c>
      <c r="E122" s="195">
        <v>720</v>
      </c>
      <c r="F122" s="196">
        <v>14.2</v>
      </c>
      <c r="H122" s="202">
        <f t="shared" si="5"/>
        <v>0.14199999999999999</v>
      </c>
      <c r="I122" s="203">
        <f t="shared" si="6"/>
        <v>1.112653716075318E-2</v>
      </c>
      <c r="J122" s="203">
        <f t="shared" si="7"/>
        <v>5.0308525963593809E-4</v>
      </c>
    </row>
    <row r="123" spans="1:10" x14ac:dyDescent="0.3">
      <c r="A123" s="201">
        <f t="shared" si="4"/>
        <v>46752</v>
      </c>
      <c r="B123" s="31"/>
      <c r="C123" s="194" t="s">
        <v>87</v>
      </c>
      <c r="D123" s="195">
        <v>499</v>
      </c>
      <c r="E123" s="195">
        <v>728</v>
      </c>
      <c r="F123" s="196">
        <v>14.21</v>
      </c>
      <c r="H123" s="202">
        <f t="shared" si="5"/>
        <v>0.1421</v>
      </c>
      <c r="I123" s="203">
        <f t="shared" si="6"/>
        <v>1.1133915196060995E-2</v>
      </c>
      <c r="J123" s="203">
        <f t="shared" si="7"/>
        <v>5.0341710018986241E-4</v>
      </c>
    </row>
    <row r="124" spans="1:10" x14ac:dyDescent="0.3">
      <c r="A124" s="201">
        <f t="shared" si="4"/>
        <v>46753</v>
      </c>
      <c r="B124" s="31"/>
      <c r="C124" s="194" t="s">
        <v>87</v>
      </c>
      <c r="D124" s="195">
        <v>500</v>
      </c>
      <c r="E124" s="195">
        <v>729</v>
      </c>
      <c r="F124" s="196">
        <v>14.21</v>
      </c>
      <c r="H124" s="202">
        <f t="shared" si="5"/>
        <v>0.1421</v>
      </c>
      <c r="I124" s="203">
        <f t="shared" si="6"/>
        <v>1.1133915196060995E-2</v>
      </c>
      <c r="J124" s="203">
        <f t="shared" si="7"/>
        <v>5.0341710018986241E-4</v>
      </c>
    </row>
    <row r="125" spans="1:10" x14ac:dyDescent="0.3">
      <c r="A125" s="201">
        <f t="shared" si="4"/>
        <v>46765</v>
      </c>
      <c r="B125" s="31"/>
      <c r="C125" s="194" t="s">
        <v>87</v>
      </c>
      <c r="D125" s="195">
        <v>512</v>
      </c>
      <c r="E125" s="195">
        <v>745</v>
      </c>
      <c r="F125" s="196">
        <v>14.23</v>
      </c>
      <c r="H125" s="202">
        <f t="shared" si="5"/>
        <v>0.14230000000000001</v>
      </c>
      <c r="I125" s="203">
        <f t="shared" si="6"/>
        <v>1.1148669490331109E-2</v>
      </c>
      <c r="J125" s="203">
        <f t="shared" si="7"/>
        <v>5.0408069447049897E-4</v>
      </c>
    </row>
    <row r="126" spans="1:10" x14ac:dyDescent="0.3">
      <c r="A126" s="201">
        <f t="shared" si="4"/>
        <v>46768</v>
      </c>
      <c r="B126" s="31"/>
      <c r="C126" s="194" t="s">
        <v>87</v>
      </c>
      <c r="D126" s="195">
        <v>515</v>
      </c>
      <c r="E126" s="195">
        <v>750</v>
      </c>
      <c r="F126" s="196">
        <v>14.23</v>
      </c>
      <c r="H126" s="202">
        <f t="shared" si="5"/>
        <v>0.14230000000000001</v>
      </c>
      <c r="I126" s="203">
        <f t="shared" si="6"/>
        <v>1.1148669490331109E-2</v>
      </c>
      <c r="J126" s="203">
        <f t="shared" si="7"/>
        <v>5.0408069447049897E-4</v>
      </c>
    </row>
    <row r="127" spans="1:10" x14ac:dyDescent="0.3">
      <c r="A127" s="201">
        <f t="shared" si="4"/>
        <v>46777</v>
      </c>
      <c r="B127" s="31"/>
      <c r="C127" s="194" t="s">
        <v>87</v>
      </c>
      <c r="D127" s="195">
        <v>524</v>
      </c>
      <c r="E127" s="195">
        <v>764</v>
      </c>
      <c r="F127" s="196">
        <v>14.24</v>
      </c>
      <c r="H127" s="202">
        <f t="shared" si="5"/>
        <v>0.1424</v>
      </c>
      <c r="I127" s="203">
        <f t="shared" si="6"/>
        <v>1.1156045749491694E-2</v>
      </c>
      <c r="J127" s="203">
        <f t="shared" si="7"/>
        <v>5.044124482076473E-4</v>
      </c>
    </row>
    <row r="128" spans="1:10" x14ac:dyDescent="0.3">
      <c r="A128" s="201">
        <f t="shared" si="4"/>
        <v>46785</v>
      </c>
      <c r="B128" s="31"/>
      <c r="C128" s="194" t="s">
        <v>87</v>
      </c>
      <c r="D128" s="195">
        <v>532</v>
      </c>
      <c r="E128" s="195">
        <v>776</v>
      </c>
      <c r="F128" s="196">
        <v>14.26</v>
      </c>
      <c r="H128" s="202">
        <f t="shared" si="5"/>
        <v>0.1426</v>
      </c>
      <c r="I128" s="203">
        <f t="shared" si="6"/>
        <v>1.1170796492360857E-2</v>
      </c>
      <c r="J128" s="203">
        <f t="shared" si="7"/>
        <v>5.0507586890047307E-4</v>
      </c>
    </row>
    <row r="129" spans="1:10" x14ac:dyDescent="0.3">
      <c r="A129" s="201">
        <f t="shared" si="4"/>
        <v>46789</v>
      </c>
      <c r="B129" s="31"/>
      <c r="C129" s="194" t="s">
        <v>87</v>
      </c>
      <c r="D129" s="195">
        <v>536</v>
      </c>
      <c r="E129" s="195">
        <v>780</v>
      </c>
      <c r="F129" s="196">
        <v>14.26</v>
      </c>
      <c r="H129" s="202">
        <f t="shared" si="5"/>
        <v>0.1426</v>
      </c>
      <c r="I129" s="203">
        <f t="shared" si="6"/>
        <v>1.1170796492360857E-2</v>
      </c>
      <c r="J129" s="203">
        <f t="shared" si="7"/>
        <v>5.0507586890047307E-4</v>
      </c>
    </row>
    <row r="130" spans="1:10" x14ac:dyDescent="0.3">
      <c r="A130" s="201">
        <f t="shared" si="4"/>
        <v>46806</v>
      </c>
      <c r="B130" s="31"/>
      <c r="C130" s="194" t="s">
        <v>87</v>
      </c>
      <c r="D130" s="195">
        <v>553</v>
      </c>
      <c r="E130" s="195">
        <v>806</v>
      </c>
      <c r="F130" s="196">
        <v>14.29</v>
      </c>
      <c r="H130" s="202">
        <f t="shared" si="5"/>
        <v>0.1429</v>
      </c>
      <c r="I130" s="203">
        <f t="shared" si="6"/>
        <v>1.1192918169523391E-2</v>
      </c>
      <c r="J130" s="203">
        <f t="shared" si="7"/>
        <v>5.0607078306197373E-4</v>
      </c>
    </row>
    <row r="131" spans="1:10" x14ac:dyDescent="0.3">
      <c r="A131" s="201">
        <f t="shared" ref="A131:A194" si="8">$A$2+D131</f>
        <v>46808</v>
      </c>
      <c r="B131" s="31"/>
      <c r="C131" s="194" t="s">
        <v>87</v>
      </c>
      <c r="D131" s="195">
        <v>555</v>
      </c>
      <c r="E131" s="195">
        <v>811</v>
      </c>
      <c r="F131" s="196">
        <v>14.29</v>
      </c>
      <c r="H131" s="202">
        <f t="shared" ref="H131:H194" si="9">F131/100</f>
        <v>0.1429</v>
      </c>
      <c r="I131" s="203">
        <f t="shared" ref="I131:I194" si="10">(1+H131)^(1/12)-1</f>
        <v>1.1192918169523391E-2</v>
      </c>
      <c r="J131" s="203">
        <f t="shared" ref="J131:J194" si="11">(1+I131)^(1/22)-1</f>
        <v>5.0607078306197373E-4</v>
      </c>
    </row>
    <row r="132" spans="1:10" x14ac:dyDescent="0.3">
      <c r="A132" s="201">
        <f t="shared" si="8"/>
        <v>46815</v>
      </c>
      <c r="B132" s="31"/>
      <c r="C132" s="194" t="s">
        <v>87</v>
      </c>
      <c r="D132" s="195">
        <v>562</v>
      </c>
      <c r="E132" s="195">
        <v>821</v>
      </c>
      <c r="F132" s="196">
        <v>14.3</v>
      </c>
      <c r="H132" s="202">
        <f t="shared" si="9"/>
        <v>0.14300000000000002</v>
      </c>
      <c r="I132" s="203">
        <f t="shared" si="10"/>
        <v>1.1200290879070041E-2</v>
      </c>
      <c r="J132" s="203">
        <f t="shared" si="11"/>
        <v>5.0640236330190547E-4</v>
      </c>
    </row>
    <row r="133" spans="1:10" x14ac:dyDescent="0.3">
      <c r="A133" s="201">
        <f t="shared" si="8"/>
        <v>46825</v>
      </c>
      <c r="B133" s="31"/>
      <c r="C133" s="194" t="s">
        <v>87</v>
      </c>
      <c r="D133" s="195">
        <v>572</v>
      </c>
      <c r="E133" s="195">
        <v>836</v>
      </c>
      <c r="F133" s="196">
        <v>14.31</v>
      </c>
      <c r="H133" s="202">
        <f t="shared" si="9"/>
        <v>0.1431</v>
      </c>
      <c r="I133" s="203">
        <f t="shared" si="10"/>
        <v>1.1207662997361645E-2</v>
      </c>
      <c r="J133" s="203">
        <f t="shared" si="11"/>
        <v>5.0673391464339801E-4</v>
      </c>
    </row>
    <row r="134" spans="1:10" x14ac:dyDescent="0.3">
      <c r="A134" s="201">
        <f t="shared" si="8"/>
        <v>46827</v>
      </c>
      <c r="B134" s="31"/>
      <c r="C134" s="194" t="s">
        <v>87</v>
      </c>
      <c r="D134" s="195">
        <v>574</v>
      </c>
      <c r="E134" s="195">
        <v>840</v>
      </c>
      <c r="F134" s="196">
        <v>14.32</v>
      </c>
      <c r="H134" s="202">
        <f t="shared" si="9"/>
        <v>0.14319999999999999</v>
      </c>
      <c r="I134" s="203">
        <f t="shared" si="10"/>
        <v>1.1215034524497236E-2</v>
      </c>
      <c r="J134" s="203">
        <f t="shared" si="11"/>
        <v>5.0706543709133634E-4</v>
      </c>
    </row>
    <row r="135" spans="1:10" x14ac:dyDescent="0.3">
      <c r="A135" s="201">
        <f t="shared" si="8"/>
        <v>46838</v>
      </c>
      <c r="B135" s="31"/>
      <c r="C135" s="194" t="s">
        <v>87</v>
      </c>
      <c r="D135" s="195">
        <v>585</v>
      </c>
      <c r="E135" s="195">
        <v>855</v>
      </c>
      <c r="F135" s="196">
        <v>14.33</v>
      </c>
      <c r="H135" s="202">
        <f t="shared" si="9"/>
        <v>0.14330000000000001</v>
      </c>
      <c r="I135" s="203">
        <f t="shared" si="10"/>
        <v>1.1222405460575846E-2</v>
      </c>
      <c r="J135" s="203">
        <f t="shared" si="11"/>
        <v>5.0739693065104952E-4</v>
      </c>
    </row>
    <row r="136" spans="1:10" x14ac:dyDescent="0.3">
      <c r="A136" s="201">
        <f t="shared" si="8"/>
        <v>46845</v>
      </c>
      <c r="B136" s="31"/>
      <c r="C136" s="194" t="s">
        <v>87</v>
      </c>
      <c r="D136" s="195">
        <v>592</v>
      </c>
      <c r="E136" s="195">
        <v>868</v>
      </c>
      <c r="F136" s="196">
        <v>14.34</v>
      </c>
      <c r="H136" s="202">
        <f t="shared" si="9"/>
        <v>0.1434</v>
      </c>
      <c r="I136" s="203">
        <f t="shared" si="10"/>
        <v>1.1229775805696729E-2</v>
      </c>
      <c r="J136" s="203">
        <f t="shared" si="11"/>
        <v>5.0772839532742253E-4</v>
      </c>
    </row>
    <row r="137" spans="1:10" x14ac:dyDescent="0.3">
      <c r="A137" s="201">
        <f t="shared" si="8"/>
        <v>46847</v>
      </c>
      <c r="B137" s="31"/>
      <c r="C137" s="194" t="s">
        <v>87</v>
      </c>
      <c r="D137" s="195">
        <v>594</v>
      </c>
      <c r="E137" s="195">
        <v>870</v>
      </c>
      <c r="F137" s="196">
        <v>14.34</v>
      </c>
      <c r="H137" s="202">
        <f t="shared" si="9"/>
        <v>0.1434</v>
      </c>
      <c r="I137" s="203">
        <f t="shared" si="10"/>
        <v>1.1229775805696729E-2</v>
      </c>
      <c r="J137" s="203">
        <f t="shared" si="11"/>
        <v>5.0772839532742253E-4</v>
      </c>
    </row>
    <row r="138" spans="1:10" x14ac:dyDescent="0.3">
      <c r="A138" s="201">
        <f t="shared" si="8"/>
        <v>46869</v>
      </c>
      <c r="B138" s="31"/>
      <c r="C138" s="194" t="s">
        <v>87</v>
      </c>
      <c r="D138" s="195">
        <v>616</v>
      </c>
      <c r="E138" s="195">
        <v>902</v>
      </c>
      <c r="F138" s="196">
        <v>14.37</v>
      </c>
      <c r="H138" s="202">
        <f t="shared" si="9"/>
        <v>0.14369999999999999</v>
      </c>
      <c r="I138" s="203">
        <f t="shared" si="10"/>
        <v>1.1251883296302889E-2</v>
      </c>
      <c r="J138" s="203">
        <f t="shared" si="11"/>
        <v>5.0872261610623859E-4</v>
      </c>
    </row>
    <row r="139" spans="1:10" x14ac:dyDescent="0.3">
      <c r="A139" s="201">
        <f t="shared" si="8"/>
        <v>46875</v>
      </c>
      <c r="B139" s="31"/>
      <c r="C139" s="194" t="s">
        <v>87</v>
      </c>
      <c r="D139" s="195">
        <v>622</v>
      </c>
      <c r="E139" s="195">
        <v>912</v>
      </c>
      <c r="F139" s="196">
        <v>14.37</v>
      </c>
      <c r="H139" s="202">
        <f t="shared" si="9"/>
        <v>0.14369999999999999</v>
      </c>
      <c r="I139" s="203">
        <f t="shared" si="10"/>
        <v>1.1251883296302889E-2</v>
      </c>
      <c r="J139" s="203">
        <f t="shared" si="11"/>
        <v>5.0872261610623859E-4</v>
      </c>
    </row>
    <row r="140" spans="1:10" x14ac:dyDescent="0.3">
      <c r="A140" s="201">
        <f t="shared" si="8"/>
        <v>46887</v>
      </c>
      <c r="B140" s="31"/>
      <c r="C140" s="194" t="s">
        <v>87</v>
      </c>
      <c r="D140" s="195">
        <v>634</v>
      </c>
      <c r="E140" s="195">
        <v>930</v>
      </c>
      <c r="F140" s="196">
        <v>14.39</v>
      </c>
      <c r="H140" s="202">
        <f t="shared" si="9"/>
        <v>0.1439</v>
      </c>
      <c r="I140" s="203">
        <f t="shared" si="10"/>
        <v>1.1266618670400241E-2</v>
      </c>
      <c r="J140" s="203">
        <f t="shared" si="11"/>
        <v>5.0938528563460039E-4</v>
      </c>
    </row>
    <row r="141" spans="1:10" x14ac:dyDescent="0.3">
      <c r="A141" s="201">
        <f t="shared" si="8"/>
        <v>46906</v>
      </c>
      <c r="B141" s="31"/>
      <c r="C141" s="194" t="s">
        <v>87</v>
      </c>
      <c r="D141" s="195">
        <v>653</v>
      </c>
      <c r="E141" s="195">
        <v>958</v>
      </c>
      <c r="F141" s="196">
        <v>14.41</v>
      </c>
      <c r="H141" s="202">
        <f t="shared" si="9"/>
        <v>0.14410000000000001</v>
      </c>
      <c r="I141" s="203">
        <f t="shared" si="10"/>
        <v>1.1281351683041896E-2</v>
      </c>
      <c r="J141" s="203">
        <f t="shared" si="11"/>
        <v>5.1004783975039381E-4</v>
      </c>
    </row>
    <row r="142" spans="1:10" x14ac:dyDescent="0.3">
      <c r="A142" s="201">
        <f t="shared" si="8"/>
        <v>46908</v>
      </c>
      <c r="B142" s="31"/>
      <c r="C142" s="194" t="s">
        <v>87</v>
      </c>
      <c r="D142" s="195">
        <v>655</v>
      </c>
      <c r="E142" s="195">
        <v>960</v>
      </c>
      <c r="F142" s="196">
        <v>14.41</v>
      </c>
      <c r="H142" s="202">
        <f t="shared" si="9"/>
        <v>0.14410000000000001</v>
      </c>
      <c r="I142" s="203">
        <f t="shared" si="10"/>
        <v>1.1281351683041896E-2</v>
      </c>
      <c r="J142" s="203">
        <f t="shared" si="11"/>
        <v>5.1004783975039381E-4</v>
      </c>
    </row>
    <row r="143" spans="1:10" x14ac:dyDescent="0.3">
      <c r="A143" s="201">
        <f t="shared" si="8"/>
        <v>46929</v>
      </c>
      <c r="B143" s="31"/>
      <c r="C143" s="194" t="s">
        <v>87</v>
      </c>
      <c r="D143" s="195">
        <v>676</v>
      </c>
      <c r="E143" s="195">
        <v>990</v>
      </c>
      <c r="F143" s="196">
        <v>14.43</v>
      </c>
      <c r="H143" s="202">
        <f t="shared" si="9"/>
        <v>0.14429999999999998</v>
      </c>
      <c r="I143" s="203">
        <f t="shared" si="10"/>
        <v>1.1296082335019664E-2</v>
      </c>
      <c r="J143" s="203">
        <f t="shared" si="11"/>
        <v>5.107102784938089E-4</v>
      </c>
    </row>
    <row r="144" spans="1:10" x14ac:dyDescent="0.3">
      <c r="A144" s="201">
        <f t="shared" si="8"/>
        <v>46936</v>
      </c>
      <c r="B144" s="31"/>
      <c r="C144" s="194" t="s">
        <v>87</v>
      </c>
      <c r="D144" s="195">
        <v>683</v>
      </c>
      <c r="E144" s="195">
        <v>1001</v>
      </c>
      <c r="F144" s="196">
        <v>14.44</v>
      </c>
      <c r="H144" s="202">
        <f t="shared" si="9"/>
        <v>0.1444</v>
      </c>
      <c r="I144" s="203">
        <f t="shared" si="10"/>
        <v>1.1303446776006476E-2</v>
      </c>
      <c r="J144" s="203">
        <f t="shared" si="11"/>
        <v>5.110414546136699E-4</v>
      </c>
    </row>
    <row r="145" spans="1:10" x14ac:dyDescent="0.3">
      <c r="A145" s="201">
        <f t="shared" si="8"/>
        <v>46949</v>
      </c>
      <c r="B145" s="31"/>
      <c r="C145" s="194" t="s">
        <v>87</v>
      </c>
      <c r="D145" s="195">
        <v>696</v>
      </c>
      <c r="E145" s="195">
        <v>1021</v>
      </c>
      <c r="F145" s="196">
        <v>14.45</v>
      </c>
      <c r="H145" s="202">
        <f t="shared" si="9"/>
        <v>0.14449999999999999</v>
      </c>
      <c r="I145" s="203">
        <f t="shared" si="10"/>
        <v>1.1310810627123802E-2</v>
      </c>
      <c r="J145" s="203">
        <f t="shared" si="11"/>
        <v>5.113726019052578E-4</v>
      </c>
    </row>
    <row r="146" spans="1:10" x14ac:dyDescent="0.3">
      <c r="A146" s="201">
        <f t="shared" si="8"/>
        <v>46969</v>
      </c>
      <c r="B146" s="31"/>
      <c r="C146" s="194" t="s">
        <v>87</v>
      </c>
      <c r="D146" s="195">
        <v>716</v>
      </c>
      <c r="E146" s="195">
        <v>1049</v>
      </c>
      <c r="F146" s="196">
        <v>14.47</v>
      </c>
      <c r="H146" s="202">
        <f t="shared" si="9"/>
        <v>0.1447</v>
      </c>
      <c r="I146" s="203">
        <f t="shared" si="10"/>
        <v>1.1325536560144789E-2</v>
      </c>
      <c r="J146" s="203">
        <f t="shared" si="11"/>
        <v>5.1203481002515261E-4</v>
      </c>
    </row>
    <row r="147" spans="1:10" x14ac:dyDescent="0.3">
      <c r="A147" s="201">
        <f t="shared" si="8"/>
        <v>46970</v>
      </c>
      <c r="B147" s="31"/>
      <c r="C147" s="194" t="s">
        <v>87</v>
      </c>
      <c r="D147" s="195">
        <v>717</v>
      </c>
      <c r="E147" s="195">
        <v>1050</v>
      </c>
      <c r="F147" s="196">
        <v>14.47</v>
      </c>
      <c r="H147" s="202">
        <f t="shared" si="9"/>
        <v>0.1447</v>
      </c>
      <c r="I147" s="203">
        <f t="shared" si="10"/>
        <v>1.1325536560144789E-2</v>
      </c>
      <c r="J147" s="203">
        <f t="shared" si="11"/>
        <v>5.1203481002515261E-4</v>
      </c>
    </row>
    <row r="148" spans="1:10" x14ac:dyDescent="0.3">
      <c r="A148" s="201">
        <f t="shared" si="8"/>
        <v>46991</v>
      </c>
      <c r="B148" s="31"/>
      <c r="C148" s="194" t="s">
        <v>87</v>
      </c>
      <c r="D148" s="195">
        <v>738</v>
      </c>
      <c r="E148" s="195">
        <v>1079</v>
      </c>
      <c r="F148" s="196">
        <v>14.48</v>
      </c>
      <c r="H148" s="202">
        <f t="shared" si="9"/>
        <v>0.14480000000000001</v>
      </c>
      <c r="I148" s="203">
        <f t="shared" si="10"/>
        <v>1.1332898642245848E-2</v>
      </c>
      <c r="J148" s="203">
        <f t="shared" si="11"/>
        <v>5.1236587086300744E-4</v>
      </c>
    </row>
    <row r="149" spans="1:10" x14ac:dyDescent="0.3">
      <c r="A149" s="201">
        <f t="shared" si="8"/>
        <v>46992</v>
      </c>
      <c r="B149" s="31"/>
      <c r="C149" s="194" t="s">
        <v>87</v>
      </c>
      <c r="D149" s="195">
        <v>739</v>
      </c>
      <c r="E149" s="195">
        <v>1080</v>
      </c>
      <c r="F149" s="196">
        <v>14.48</v>
      </c>
      <c r="H149" s="202">
        <f t="shared" si="9"/>
        <v>0.14480000000000001</v>
      </c>
      <c r="I149" s="203">
        <f t="shared" si="10"/>
        <v>1.1332898642245848E-2</v>
      </c>
      <c r="J149" s="203">
        <f t="shared" si="11"/>
        <v>5.1236587086300744E-4</v>
      </c>
    </row>
    <row r="150" spans="1:10" x14ac:dyDescent="0.3">
      <c r="A150" s="201">
        <f t="shared" si="8"/>
        <v>47001</v>
      </c>
      <c r="B150" s="31"/>
      <c r="C150" s="194" t="s">
        <v>87</v>
      </c>
      <c r="D150" s="195">
        <v>748</v>
      </c>
      <c r="E150" s="195">
        <v>1093</v>
      </c>
      <c r="F150" s="196">
        <v>14.49</v>
      </c>
      <c r="H150" s="202">
        <f t="shared" si="9"/>
        <v>0.1449</v>
      </c>
      <c r="I150" s="203">
        <f t="shared" si="10"/>
        <v>1.1340260134872437E-2</v>
      </c>
      <c r="J150" s="203">
        <f t="shared" si="11"/>
        <v>5.1269690289323933E-4</v>
      </c>
    </row>
    <row r="151" spans="1:10" x14ac:dyDescent="0.3">
      <c r="A151" s="201">
        <f t="shared" si="8"/>
        <v>47014</v>
      </c>
      <c r="B151" s="31"/>
      <c r="C151" s="194" t="s">
        <v>87</v>
      </c>
      <c r="D151" s="195">
        <v>761</v>
      </c>
      <c r="E151" s="195">
        <v>1112</v>
      </c>
      <c r="F151" s="196">
        <v>14.49</v>
      </c>
      <c r="H151" s="202">
        <f t="shared" si="9"/>
        <v>0.1449</v>
      </c>
      <c r="I151" s="203">
        <f t="shared" si="10"/>
        <v>1.1340260134872437E-2</v>
      </c>
      <c r="J151" s="203">
        <f t="shared" si="11"/>
        <v>5.1269690289323933E-4</v>
      </c>
    </row>
    <row r="152" spans="1:10" x14ac:dyDescent="0.3">
      <c r="A152" s="201">
        <f t="shared" si="8"/>
        <v>47033</v>
      </c>
      <c r="B152" s="31"/>
      <c r="C152" s="194" t="s">
        <v>87</v>
      </c>
      <c r="D152" s="195">
        <v>780</v>
      </c>
      <c r="E152" s="195">
        <v>1140</v>
      </c>
      <c r="F152" s="196">
        <v>14.5</v>
      </c>
      <c r="H152" s="202">
        <f t="shared" si="9"/>
        <v>0.14499999999999999</v>
      </c>
      <c r="I152" s="203">
        <f t="shared" si="10"/>
        <v>1.1347621038123146E-2</v>
      </c>
      <c r="J152" s="203">
        <f t="shared" si="11"/>
        <v>5.1302790612051119E-4</v>
      </c>
    </row>
    <row r="153" spans="1:10" x14ac:dyDescent="0.3">
      <c r="A153" s="201">
        <f t="shared" si="8"/>
        <v>47054</v>
      </c>
      <c r="B153" s="31"/>
      <c r="C153" s="194" t="s">
        <v>87</v>
      </c>
      <c r="D153" s="195">
        <v>801</v>
      </c>
      <c r="E153" s="195">
        <v>1170</v>
      </c>
      <c r="F153" s="196">
        <v>14.51</v>
      </c>
      <c r="H153" s="202">
        <f t="shared" si="9"/>
        <v>0.14510000000000001</v>
      </c>
      <c r="I153" s="203">
        <f t="shared" si="10"/>
        <v>1.135498135209656E-2</v>
      </c>
      <c r="J153" s="203">
        <f t="shared" si="11"/>
        <v>5.1335888054993006E-4</v>
      </c>
    </row>
    <row r="154" spans="1:10" x14ac:dyDescent="0.3">
      <c r="A154" s="201">
        <f t="shared" si="8"/>
        <v>47055</v>
      </c>
      <c r="B154" s="31"/>
      <c r="C154" s="194" t="s">
        <v>87</v>
      </c>
      <c r="D154" s="195">
        <v>802</v>
      </c>
      <c r="E154" s="195">
        <v>1171</v>
      </c>
      <c r="F154" s="196">
        <v>14.51</v>
      </c>
      <c r="H154" s="202">
        <f t="shared" si="9"/>
        <v>0.14510000000000001</v>
      </c>
      <c r="I154" s="203">
        <f t="shared" si="10"/>
        <v>1.135498135209656E-2</v>
      </c>
      <c r="J154" s="203">
        <f t="shared" si="11"/>
        <v>5.1335888054993006E-4</v>
      </c>
    </row>
    <row r="155" spans="1:10" x14ac:dyDescent="0.3">
      <c r="A155" s="201">
        <f t="shared" si="8"/>
        <v>47064</v>
      </c>
      <c r="B155" s="31"/>
      <c r="C155" s="194" t="s">
        <v>87</v>
      </c>
      <c r="D155" s="195">
        <v>811</v>
      </c>
      <c r="E155" s="195">
        <v>1186</v>
      </c>
      <c r="F155" s="196">
        <v>14.52</v>
      </c>
      <c r="H155" s="202">
        <f t="shared" si="9"/>
        <v>0.1452</v>
      </c>
      <c r="I155" s="203">
        <f t="shared" si="10"/>
        <v>1.1362341076891491E-2</v>
      </c>
      <c r="J155" s="203">
        <f t="shared" si="11"/>
        <v>5.1368982618660297E-4</v>
      </c>
    </row>
    <row r="156" spans="1:10" x14ac:dyDescent="0.3">
      <c r="A156" s="201">
        <f t="shared" si="8"/>
        <v>47073</v>
      </c>
      <c r="B156" s="31"/>
      <c r="C156" s="194" t="s">
        <v>87</v>
      </c>
      <c r="D156" s="195">
        <v>820</v>
      </c>
      <c r="E156" s="195">
        <v>1200</v>
      </c>
      <c r="F156" s="196">
        <v>14.52</v>
      </c>
      <c r="H156" s="202">
        <f t="shared" si="9"/>
        <v>0.1452</v>
      </c>
      <c r="I156" s="203">
        <f t="shared" si="10"/>
        <v>1.1362341076891491E-2</v>
      </c>
      <c r="J156" s="203">
        <f t="shared" si="11"/>
        <v>5.1368982618660297E-4</v>
      </c>
    </row>
    <row r="157" spans="1:10" x14ac:dyDescent="0.3">
      <c r="A157" s="201">
        <f t="shared" si="8"/>
        <v>47074</v>
      </c>
      <c r="B157" s="31"/>
      <c r="C157" s="194" t="s">
        <v>87</v>
      </c>
      <c r="D157" s="195">
        <v>821</v>
      </c>
      <c r="E157" s="195">
        <v>1203</v>
      </c>
      <c r="F157" s="196">
        <v>14.52</v>
      </c>
      <c r="H157" s="202">
        <f t="shared" si="9"/>
        <v>0.1452</v>
      </c>
      <c r="I157" s="203">
        <f t="shared" si="10"/>
        <v>1.1362341076891491E-2</v>
      </c>
      <c r="J157" s="203">
        <f t="shared" si="11"/>
        <v>5.1368982618660297E-4</v>
      </c>
    </row>
    <row r="158" spans="1:10" x14ac:dyDescent="0.3">
      <c r="A158" s="201">
        <f t="shared" si="8"/>
        <v>47094</v>
      </c>
      <c r="B158" s="31"/>
      <c r="C158" s="194" t="s">
        <v>87</v>
      </c>
      <c r="D158" s="195">
        <v>841</v>
      </c>
      <c r="E158" s="195">
        <v>1233</v>
      </c>
      <c r="F158" s="196">
        <v>14.54</v>
      </c>
      <c r="H158" s="202">
        <f t="shared" si="9"/>
        <v>0.1454</v>
      </c>
      <c r="I158" s="203">
        <f t="shared" si="10"/>
        <v>1.1377058759339587E-2</v>
      </c>
      <c r="J158" s="203">
        <f t="shared" si="11"/>
        <v>5.1435163110169491E-4</v>
      </c>
    </row>
    <row r="159" spans="1:10" x14ac:dyDescent="0.3">
      <c r="A159" s="201">
        <f t="shared" si="8"/>
        <v>47126</v>
      </c>
      <c r="B159" s="31"/>
      <c r="C159" s="194" t="s">
        <v>87</v>
      </c>
      <c r="D159" s="195">
        <v>873</v>
      </c>
      <c r="E159" s="195">
        <v>1277</v>
      </c>
      <c r="F159" s="196">
        <v>14.55</v>
      </c>
      <c r="H159" s="202">
        <f t="shared" si="9"/>
        <v>0.14550000000000002</v>
      </c>
      <c r="I159" s="203">
        <f t="shared" si="10"/>
        <v>1.1384416717189927E-2</v>
      </c>
      <c r="J159" s="203">
        <f t="shared" si="11"/>
        <v>5.1468249039010594E-4</v>
      </c>
    </row>
    <row r="160" spans="1:10" x14ac:dyDescent="0.3">
      <c r="A160" s="201">
        <f t="shared" si="8"/>
        <v>47155</v>
      </c>
      <c r="B160" s="31"/>
      <c r="C160" s="194" t="s">
        <v>87</v>
      </c>
      <c r="D160" s="195">
        <v>902</v>
      </c>
      <c r="E160" s="195">
        <v>1322</v>
      </c>
      <c r="F160" s="196">
        <v>14.56</v>
      </c>
      <c r="H160" s="202">
        <f t="shared" si="9"/>
        <v>0.14560000000000001</v>
      </c>
      <c r="I160" s="203">
        <f t="shared" si="10"/>
        <v>1.1391774086256135E-2</v>
      </c>
      <c r="J160" s="203">
        <f t="shared" si="11"/>
        <v>5.1501332090575502E-4</v>
      </c>
    </row>
    <row r="161" spans="1:10" x14ac:dyDescent="0.3">
      <c r="A161" s="201">
        <f t="shared" si="8"/>
        <v>47185</v>
      </c>
      <c r="B161" s="31"/>
      <c r="C161" s="194" t="s">
        <v>87</v>
      </c>
      <c r="D161" s="195">
        <v>932</v>
      </c>
      <c r="E161" s="195">
        <v>1366</v>
      </c>
      <c r="F161" s="196">
        <v>14.58</v>
      </c>
      <c r="H161" s="202">
        <f t="shared" si="9"/>
        <v>0.14580000000000001</v>
      </c>
      <c r="I161" s="203">
        <f t="shared" si="10"/>
        <v>1.1406487058429171E-2</v>
      </c>
      <c r="J161" s="203">
        <f t="shared" si="11"/>
        <v>5.1567489563875135E-4</v>
      </c>
    </row>
    <row r="162" spans="1:10" x14ac:dyDescent="0.3">
      <c r="A162" s="201">
        <f t="shared" si="8"/>
        <v>47217</v>
      </c>
      <c r="B162" s="31"/>
      <c r="C162" s="194" t="s">
        <v>87</v>
      </c>
      <c r="D162" s="195">
        <v>964</v>
      </c>
      <c r="E162" s="195">
        <v>1413</v>
      </c>
      <c r="F162" s="196">
        <v>14.6</v>
      </c>
      <c r="H162" s="202">
        <f t="shared" si="9"/>
        <v>0.14599999999999999</v>
      </c>
      <c r="I162" s="203">
        <f t="shared" si="10"/>
        <v>1.1421197676646511E-2</v>
      </c>
      <c r="J162" s="203">
        <f t="shared" si="11"/>
        <v>5.1633635534109601E-4</v>
      </c>
    </row>
    <row r="163" spans="1:10" x14ac:dyDescent="0.3">
      <c r="A163" s="201">
        <f t="shared" si="8"/>
        <v>47237</v>
      </c>
      <c r="B163" s="31"/>
      <c r="C163" s="194" t="s">
        <v>87</v>
      </c>
      <c r="D163" s="195">
        <v>984</v>
      </c>
      <c r="E163" s="195">
        <v>1441</v>
      </c>
      <c r="F163" s="196">
        <v>14.6</v>
      </c>
      <c r="H163" s="202">
        <f t="shared" si="9"/>
        <v>0.14599999999999999</v>
      </c>
      <c r="I163" s="203">
        <f t="shared" si="10"/>
        <v>1.1421197676646511E-2</v>
      </c>
      <c r="J163" s="203">
        <f t="shared" si="11"/>
        <v>5.1633635534109601E-4</v>
      </c>
    </row>
    <row r="164" spans="1:10" x14ac:dyDescent="0.3">
      <c r="A164" s="201">
        <f t="shared" si="8"/>
        <v>47250</v>
      </c>
      <c r="B164" s="31"/>
      <c r="C164" s="194" t="s">
        <v>87</v>
      </c>
      <c r="D164" s="195">
        <v>997</v>
      </c>
      <c r="E164" s="195">
        <v>1458</v>
      </c>
      <c r="F164" s="196">
        <v>14.6</v>
      </c>
      <c r="H164" s="202">
        <f t="shared" si="9"/>
        <v>0.14599999999999999</v>
      </c>
      <c r="I164" s="203">
        <f t="shared" si="10"/>
        <v>1.1421197676646511E-2</v>
      </c>
      <c r="J164" s="203">
        <f t="shared" si="11"/>
        <v>5.1633635534109601E-4</v>
      </c>
    </row>
    <row r="165" spans="1:10" x14ac:dyDescent="0.3">
      <c r="A165" s="201">
        <f t="shared" si="8"/>
        <v>47274</v>
      </c>
      <c r="B165" s="31"/>
      <c r="C165" s="194" t="s">
        <v>87</v>
      </c>
      <c r="D165" s="195">
        <v>1021</v>
      </c>
      <c r="E165" s="195">
        <v>1492</v>
      </c>
      <c r="F165" s="196">
        <v>14.61</v>
      </c>
      <c r="H165" s="202">
        <f t="shared" si="9"/>
        <v>0.14610000000000001</v>
      </c>
      <c r="I165" s="203">
        <f t="shared" si="10"/>
        <v>1.1428552103267986E-2</v>
      </c>
      <c r="J165" s="203">
        <f t="shared" si="11"/>
        <v>5.1666704206820846E-4</v>
      </c>
    </row>
    <row r="166" spans="1:10" x14ac:dyDescent="0.3">
      <c r="A166" s="201">
        <f t="shared" si="8"/>
        <v>47283</v>
      </c>
      <c r="B166" s="31"/>
      <c r="C166" s="194" t="s">
        <v>87</v>
      </c>
      <c r="D166" s="195">
        <v>1030</v>
      </c>
      <c r="E166" s="195">
        <v>1505</v>
      </c>
      <c r="F166" s="196">
        <v>14.61</v>
      </c>
      <c r="H166" s="202">
        <f t="shared" si="9"/>
        <v>0.14610000000000001</v>
      </c>
      <c r="I166" s="203">
        <f t="shared" si="10"/>
        <v>1.1428552103267986E-2</v>
      </c>
      <c r="J166" s="203">
        <f t="shared" si="11"/>
        <v>5.1666704206820846E-4</v>
      </c>
    </row>
    <row r="167" spans="1:10" x14ac:dyDescent="0.3">
      <c r="A167" s="201">
        <f t="shared" si="8"/>
        <v>47316</v>
      </c>
      <c r="B167" s="31"/>
      <c r="C167" s="194" t="s">
        <v>87</v>
      </c>
      <c r="D167" s="195">
        <v>1063</v>
      </c>
      <c r="E167" s="195">
        <v>1553</v>
      </c>
      <c r="F167" s="196">
        <v>14.63</v>
      </c>
      <c r="H167" s="202">
        <f t="shared" si="9"/>
        <v>0.14630000000000001</v>
      </c>
      <c r="I167" s="203">
        <f t="shared" si="10"/>
        <v>1.144325919202771E-2</v>
      </c>
      <c r="J167" s="203">
        <f t="shared" si="11"/>
        <v>5.1732832929940464E-4</v>
      </c>
    </row>
    <row r="168" spans="1:10" x14ac:dyDescent="0.3">
      <c r="A168" s="201">
        <f t="shared" si="8"/>
        <v>47337</v>
      </c>
      <c r="B168" s="31"/>
      <c r="C168" s="194" t="s">
        <v>87</v>
      </c>
      <c r="D168" s="195">
        <v>1084</v>
      </c>
      <c r="E168" s="195">
        <v>1583</v>
      </c>
      <c r="F168" s="196">
        <v>14.64</v>
      </c>
      <c r="H168" s="202">
        <f t="shared" si="9"/>
        <v>0.1464</v>
      </c>
      <c r="I168" s="203">
        <f t="shared" si="10"/>
        <v>1.1450611854363135E-2</v>
      </c>
      <c r="J168" s="203">
        <f t="shared" si="11"/>
        <v>5.1765892981348038E-4</v>
      </c>
    </row>
    <row r="169" spans="1:10" x14ac:dyDescent="0.3">
      <c r="A169" s="201">
        <f t="shared" si="8"/>
        <v>47346</v>
      </c>
      <c r="B169" s="31"/>
      <c r="C169" s="194" t="s">
        <v>87</v>
      </c>
      <c r="D169" s="195">
        <v>1093</v>
      </c>
      <c r="E169" s="195">
        <v>1598</v>
      </c>
      <c r="F169" s="196">
        <v>14.64</v>
      </c>
      <c r="H169" s="202">
        <f t="shared" si="9"/>
        <v>0.1464</v>
      </c>
      <c r="I169" s="203">
        <f t="shared" si="10"/>
        <v>1.1450611854363135E-2</v>
      </c>
      <c r="J169" s="203">
        <f t="shared" si="11"/>
        <v>5.1765892981348038E-4</v>
      </c>
    </row>
    <row r="170" spans="1:10" x14ac:dyDescent="0.3">
      <c r="A170" s="201">
        <f t="shared" si="8"/>
        <v>47378</v>
      </c>
      <c r="B170" s="31"/>
      <c r="C170" s="194" t="s">
        <v>87</v>
      </c>
      <c r="D170" s="195">
        <v>1125</v>
      </c>
      <c r="E170" s="195">
        <v>1644</v>
      </c>
      <c r="F170" s="196">
        <v>14.65</v>
      </c>
      <c r="H170" s="202">
        <f t="shared" si="9"/>
        <v>0.14649999999999999</v>
      </c>
      <c r="I170" s="203">
        <f t="shared" si="10"/>
        <v>1.1457963928799497E-2</v>
      </c>
      <c r="J170" s="203">
        <f t="shared" si="11"/>
        <v>5.1798950159986923E-4</v>
      </c>
    </row>
    <row r="171" spans="1:10" x14ac:dyDescent="0.3">
      <c r="A171" s="201">
        <f t="shared" si="8"/>
        <v>47398</v>
      </c>
      <c r="B171" s="31"/>
      <c r="C171" s="194" t="s">
        <v>87</v>
      </c>
      <c r="D171" s="195">
        <v>1145</v>
      </c>
      <c r="E171" s="195">
        <v>1674</v>
      </c>
      <c r="F171" s="196">
        <v>14.66</v>
      </c>
      <c r="H171" s="202">
        <f t="shared" si="9"/>
        <v>0.14660000000000001</v>
      </c>
      <c r="I171" s="203">
        <f t="shared" si="10"/>
        <v>1.1465315415435606E-2</v>
      </c>
      <c r="J171" s="203">
        <f t="shared" si="11"/>
        <v>5.183200446636782E-4</v>
      </c>
    </row>
    <row r="172" spans="1:10" x14ac:dyDescent="0.3">
      <c r="A172" s="201">
        <f t="shared" si="8"/>
        <v>47407</v>
      </c>
      <c r="B172" s="31"/>
      <c r="C172" s="194" t="s">
        <v>87</v>
      </c>
      <c r="D172" s="195">
        <v>1154</v>
      </c>
      <c r="E172" s="195">
        <v>1687</v>
      </c>
      <c r="F172" s="196">
        <v>14.67</v>
      </c>
      <c r="H172" s="202">
        <f t="shared" si="9"/>
        <v>0.1467</v>
      </c>
      <c r="I172" s="203">
        <f t="shared" si="10"/>
        <v>1.1472666314369384E-2</v>
      </c>
      <c r="J172" s="203">
        <f t="shared" si="11"/>
        <v>5.1865055900979229E-4</v>
      </c>
    </row>
    <row r="173" spans="1:10" x14ac:dyDescent="0.3">
      <c r="A173" s="201">
        <f t="shared" si="8"/>
        <v>47436</v>
      </c>
      <c r="B173" s="31"/>
      <c r="C173" s="194" t="s">
        <v>87</v>
      </c>
      <c r="D173" s="195">
        <v>1183</v>
      </c>
      <c r="E173" s="195">
        <v>1731</v>
      </c>
      <c r="F173" s="196">
        <v>14.68</v>
      </c>
      <c r="H173" s="202">
        <f t="shared" si="9"/>
        <v>0.14679999999999999</v>
      </c>
      <c r="I173" s="203">
        <f t="shared" si="10"/>
        <v>1.1480016625699418E-2</v>
      </c>
      <c r="J173" s="203">
        <f t="shared" si="11"/>
        <v>5.1898104464331851E-4</v>
      </c>
    </row>
    <row r="174" spans="1:10" x14ac:dyDescent="0.3">
      <c r="A174" s="201">
        <f t="shared" si="8"/>
        <v>47448</v>
      </c>
      <c r="B174" s="31"/>
      <c r="C174" s="194" t="s">
        <v>87</v>
      </c>
      <c r="D174" s="195">
        <v>1195</v>
      </c>
      <c r="E174" s="195">
        <v>1749</v>
      </c>
      <c r="F174" s="196">
        <v>14.68</v>
      </c>
      <c r="H174" s="202">
        <f t="shared" si="9"/>
        <v>0.14679999999999999</v>
      </c>
      <c r="I174" s="203">
        <f t="shared" si="10"/>
        <v>1.1480016625699418E-2</v>
      </c>
      <c r="J174" s="203">
        <f t="shared" si="11"/>
        <v>5.1898104464331851E-4</v>
      </c>
    </row>
    <row r="175" spans="1:10" x14ac:dyDescent="0.3">
      <c r="A175" s="201">
        <f t="shared" si="8"/>
        <v>47459</v>
      </c>
      <c r="B175" s="31"/>
      <c r="C175" s="194" t="s">
        <v>87</v>
      </c>
      <c r="D175" s="195">
        <v>1206</v>
      </c>
      <c r="E175" s="195">
        <v>1765</v>
      </c>
      <c r="F175" s="196">
        <v>14.69</v>
      </c>
      <c r="H175" s="202">
        <f t="shared" si="9"/>
        <v>0.1469</v>
      </c>
      <c r="I175" s="203">
        <f t="shared" si="10"/>
        <v>1.1487366349523409E-2</v>
      </c>
      <c r="J175" s="203">
        <f t="shared" si="11"/>
        <v>5.1931150156914185E-4</v>
      </c>
    </row>
    <row r="176" spans="1:10" x14ac:dyDescent="0.3">
      <c r="A176" s="201">
        <f t="shared" si="8"/>
        <v>47468</v>
      </c>
      <c r="B176" s="31"/>
      <c r="C176" s="194" t="s">
        <v>87</v>
      </c>
      <c r="D176" s="195">
        <v>1215</v>
      </c>
      <c r="E176" s="195">
        <v>1778</v>
      </c>
      <c r="F176" s="196">
        <v>14.69</v>
      </c>
      <c r="H176" s="202">
        <f t="shared" si="9"/>
        <v>0.1469</v>
      </c>
      <c r="I176" s="203">
        <f t="shared" si="10"/>
        <v>1.1487366349523409E-2</v>
      </c>
      <c r="J176" s="203">
        <f t="shared" si="11"/>
        <v>5.1931150156914185E-4</v>
      </c>
    </row>
    <row r="177" spans="1:10" x14ac:dyDescent="0.3">
      <c r="A177" s="201">
        <f t="shared" si="8"/>
        <v>47484</v>
      </c>
      <c r="B177" s="31"/>
      <c r="C177" s="194" t="s">
        <v>87</v>
      </c>
      <c r="D177" s="195">
        <v>1231</v>
      </c>
      <c r="E177" s="195">
        <v>1800</v>
      </c>
      <c r="F177" s="196">
        <v>14.69</v>
      </c>
      <c r="H177" s="202">
        <f t="shared" si="9"/>
        <v>0.1469</v>
      </c>
      <c r="I177" s="203">
        <f t="shared" si="10"/>
        <v>1.1487366349523409E-2</v>
      </c>
      <c r="J177" s="203">
        <f t="shared" si="11"/>
        <v>5.1931150156914185E-4</v>
      </c>
    </row>
    <row r="178" spans="1:10" x14ac:dyDescent="0.3">
      <c r="A178" s="201">
        <f t="shared" si="8"/>
        <v>47501</v>
      </c>
      <c r="B178" s="31"/>
      <c r="C178" s="194" t="s">
        <v>87</v>
      </c>
      <c r="D178" s="195">
        <v>1248</v>
      </c>
      <c r="E178" s="195">
        <v>1823</v>
      </c>
      <c r="F178" s="196">
        <v>14.7</v>
      </c>
      <c r="H178" s="202">
        <f t="shared" si="9"/>
        <v>0.14699999999999999</v>
      </c>
      <c r="I178" s="203">
        <f t="shared" si="10"/>
        <v>1.1494715485939944E-2</v>
      </c>
      <c r="J178" s="203">
        <f t="shared" si="11"/>
        <v>5.1964192979214729E-4</v>
      </c>
    </row>
    <row r="179" spans="1:10" x14ac:dyDescent="0.3">
      <c r="A179" s="201">
        <f t="shared" si="8"/>
        <v>47512</v>
      </c>
      <c r="B179" s="31"/>
      <c r="C179" s="194" t="s">
        <v>87</v>
      </c>
      <c r="D179" s="195">
        <v>1259</v>
      </c>
      <c r="E179" s="195">
        <v>1840</v>
      </c>
      <c r="F179" s="196">
        <v>14.7</v>
      </c>
      <c r="H179" s="202">
        <f t="shared" si="9"/>
        <v>0.14699999999999999</v>
      </c>
      <c r="I179" s="203">
        <f t="shared" si="10"/>
        <v>1.1494715485939944E-2</v>
      </c>
      <c r="J179" s="203">
        <f t="shared" si="11"/>
        <v>5.1964192979214729E-4</v>
      </c>
    </row>
    <row r="180" spans="1:10" x14ac:dyDescent="0.3">
      <c r="A180" s="201">
        <f t="shared" si="8"/>
        <v>47524</v>
      </c>
      <c r="B180" s="31"/>
      <c r="C180" s="194" t="s">
        <v>87</v>
      </c>
      <c r="D180" s="195">
        <v>1271</v>
      </c>
      <c r="E180" s="195">
        <v>1856</v>
      </c>
      <c r="F180" s="196">
        <v>14.7</v>
      </c>
      <c r="H180" s="202">
        <f t="shared" si="9"/>
        <v>0.14699999999999999</v>
      </c>
      <c r="I180" s="203">
        <f t="shared" si="10"/>
        <v>1.1494715485939944E-2</v>
      </c>
      <c r="J180" s="203">
        <f t="shared" si="11"/>
        <v>5.1964192979214729E-4</v>
      </c>
    </row>
    <row r="181" spans="1:10" x14ac:dyDescent="0.3">
      <c r="A181" s="201">
        <f t="shared" si="8"/>
        <v>47534</v>
      </c>
      <c r="B181" s="31"/>
      <c r="C181" s="194" t="s">
        <v>87</v>
      </c>
      <c r="D181" s="195">
        <v>1281</v>
      </c>
      <c r="E181" s="195">
        <v>1870</v>
      </c>
      <c r="F181" s="196">
        <v>14.7</v>
      </c>
      <c r="H181" s="202">
        <f t="shared" si="9"/>
        <v>0.14699999999999999</v>
      </c>
      <c r="I181" s="203">
        <f t="shared" si="10"/>
        <v>1.1494715485939944E-2</v>
      </c>
      <c r="J181" s="203">
        <f t="shared" si="11"/>
        <v>5.1964192979214729E-4</v>
      </c>
    </row>
    <row r="182" spans="1:10" x14ac:dyDescent="0.3">
      <c r="A182" s="201">
        <f t="shared" si="8"/>
        <v>47567</v>
      </c>
      <c r="B182" s="31"/>
      <c r="C182" s="194" t="s">
        <v>87</v>
      </c>
      <c r="D182" s="195">
        <v>1314</v>
      </c>
      <c r="E182" s="195">
        <v>1917</v>
      </c>
      <c r="F182" s="196">
        <v>14.72</v>
      </c>
      <c r="H182" s="202">
        <f t="shared" si="9"/>
        <v>0.1472</v>
      </c>
      <c r="I182" s="203">
        <f t="shared" si="10"/>
        <v>1.1509411996942998E-2</v>
      </c>
      <c r="J182" s="203">
        <f t="shared" si="11"/>
        <v>5.2030270015035462E-4</v>
      </c>
    </row>
    <row r="183" spans="1:10" x14ac:dyDescent="0.3">
      <c r="A183" s="201">
        <f t="shared" si="8"/>
        <v>47576</v>
      </c>
      <c r="B183" s="31"/>
      <c r="C183" s="194" t="s">
        <v>87</v>
      </c>
      <c r="D183" s="195">
        <v>1323</v>
      </c>
      <c r="E183" s="195">
        <v>1931</v>
      </c>
      <c r="F183" s="196">
        <v>14.73</v>
      </c>
      <c r="H183" s="202">
        <f t="shared" si="9"/>
        <v>0.14730000000000001</v>
      </c>
      <c r="I183" s="203">
        <f t="shared" si="10"/>
        <v>1.1516759371725582E-2</v>
      </c>
      <c r="J183" s="203">
        <f t="shared" si="11"/>
        <v>5.2063304229554852E-4</v>
      </c>
    </row>
    <row r="184" spans="1:10" x14ac:dyDescent="0.3">
      <c r="A184" s="201">
        <f t="shared" si="8"/>
        <v>47588</v>
      </c>
      <c r="B184" s="31"/>
      <c r="C184" s="194" t="s">
        <v>87</v>
      </c>
      <c r="D184" s="195">
        <v>1335</v>
      </c>
      <c r="E184" s="195">
        <v>1947</v>
      </c>
      <c r="F184" s="196">
        <v>14.73</v>
      </c>
      <c r="H184" s="202">
        <f t="shared" si="9"/>
        <v>0.14730000000000001</v>
      </c>
      <c r="I184" s="203">
        <f t="shared" si="10"/>
        <v>1.1516759371725582E-2</v>
      </c>
      <c r="J184" s="203">
        <f t="shared" si="11"/>
        <v>5.2063304229554852E-4</v>
      </c>
    </row>
    <row r="185" spans="1:10" x14ac:dyDescent="0.3">
      <c r="A185" s="201">
        <f t="shared" si="8"/>
        <v>47598</v>
      </c>
      <c r="B185" s="31"/>
      <c r="C185" s="194" t="s">
        <v>87</v>
      </c>
      <c r="D185" s="195">
        <v>1345</v>
      </c>
      <c r="E185" s="195">
        <v>1963</v>
      </c>
      <c r="F185" s="196">
        <v>14.74</v>
      </c>
      <c r="H185" s="202">
        <f t="shared" si="9"/>
        <v>0.1474</v>
      </c>
      <c r="I185" s="203">
        <f t="shared" si="10"/>
        <v>1.1524106159493064E-2</v>
      </c>
      <c r="J185" s="203">
        <f t="shared" si="11"/>
        <v>5.2096335575790853E-4</v>
      </c>
    </row>
    <row r="186" spans="1:10" x14ac:dyDescent="0.3">
      <c r="A186" s="201">
        <f t="shared" si="8"/>
        <v>47627</v>
      </c>
      <c r="B186" s="31"/>
      <c r="C186" s="194" t="s">
        <v>87</v>
      </c>
      <c r="D186" s="195">
        <v>1374</v>
      </c>
      <c r="E186" s="195">
        <v>2008</v>
      </c>
      <c r="F186" s="196">
        <v>14.74</v>
      </c>
      <c r="H186" s="202">
        <f t="shared" si="9"/>
        <v>0.1474</v>
      </c>
      <c r="I186" s="203">
        <f t="shared" si="10"/>
        <v>1.1524106159493064E-2</v>
      </c>
      <c r="J186" s="203">
        <f t="shared" si="11"/>
        <v>5.2096335575790853E-4</v>
      </c>
    </row>
    <row r="187" spans="1:10" x14ac:dyDescent="0.3">
      <c r="A187" s="201">
        <f t="shared" si="8"/>
        <v>47690</v>
      </c>
      <c r="B187" s="31"/>
      <c r="C187" s="194" t="s">
        <v>87</v>
      </c>
      <c r="D187" s="195">
        <v>1437</v>
      </c>
      <c r="E187" s="195">
        <v>2099</v>
      </c>
      <c r="F187" s="196">
        <v>14.75</v>
      </c>
      <c r="H187" s="202">
        <f t="shared" si="9"/>
        <v>0.14749999999999999</v>
      </c>
      <c r="I187" s="203">
        <f t="shared" si="10"/>
        <v>1.1531452360343364E-2</v>
      </c>
      <c r="J187" s="203">
        <f t="shared" si="11"/>
        <v>5.2129364054254168E-4</v>
      </c>
    </row>
    <row r="188" spans="1:10" x14ac:dyDescent="0.3">
      <c r="A188" s="201">
        <f t="shared" si="8"/>
        <v>47734</v>
      </c>
      <c r="B188" s="31"/>
      <c r="C188" s="194" t="s">
        <v>87</v>
      </c>
      <c r="D188" s="195">
        <v>1481</v>
      </c>
      <c r="E188" s="195">
        <v>2162</v>
      </c>
      <c r="F188" s="196">
        <v>14.76</v>
      </c>
      <c r="H188" s="202">
        <f t="shared" si="9"/>
        <v>0.14760000000000001</v>
      </c>
      <c r="I188" s="203">
        <f t="shared" si="10"/>
        <v>1.1538797974374848E-2</v>
      </c>
      <c r="J188" s="203">
        <f t="shared" si="11"/>
        <v>5.21623896654555E-4</v>
      </c>
    </row>
    <row r="189" spans="1:10" x14ac:dyDescent="0.3">
      <c r="A189" s="201">
        <f t="shared" si="8"/>
        <v>47754</v>
      </c>
      <c r="B189" s="31"/>
      <c r="C189" s="194" t="s">
        <v>87</v>
      </c>
      <c r="D189" s="195">
        <v>1501</v>
      </c>
      <c r="E189" s="195">
        <v>2190</v>
      </c>
      <c r="F189" s="196">
        <v>14.76</v>
      </c>
      <c r="H189" s="202">
        <f t="shared" si="9"/>
        <v>0.14760000000000001</v>
      </c>
      <c r="I189" s="203">
        <f t="shared" si="10"/>
        <v>1.1538797974374848E-2</v>
      </c>
      <c r="J189" s="203">
        <f t="shared" si="11"/>
        <v>5.21623896654555E-4</v>
      </c>
    </row>
    <row r="190" spans="1:10" x14ac:dyDescent="0.3">
      <c r="A190" s="201">
        <f t="shared" si="8"/>
        <v>47816</v>
      </c>
      <c r="B190" s="31"/>
      <c r="C190" s="194" t="s">
        <v>87</v>
      </c>
      <c r="D190" s="195">
        <v>1563</v>
      </c>
      <c r="E190" s="195">
        <v>2282</v>
      </c>
      <c r="F190" s="196">
        <v>14.77</v>
      </c>
      <c r="H190" s="202">
        <f t="shared" si="9"/>
        <v>0.1477</v>
      </c>
      <c r="I190" s="203">
        <f t="shared" si="10"/>
        <v>1.1546143001684994E-2</v>
      </c>
      <c r="J190" s="203">
        <f t="shared" si="11"/>
        <v>5.2195412409883346E-4</v>
      </c>
    </row>
    <row r="191" spans="1:10" x14ac:dyDescent="0.3">
      <c r="A191" s="201">
        <f t="shared" si="8"/>
        <v>47850</v>
      </c>
      <c r="B191" s="31"/>
      <c r="C191" s="194" t="s">
        <v>87</v>
      </c>
      <c r="D191" s="195">
        <v>1597</v>
      </c>
      <c r="E191" s="195">
        <v>2330</v>
      </c>
      <c r="F191" s="196">
        <v>14.77</v>
      </c>
      <c r="H191" s="202">
        <f t="shared" si="9"/>
        <v>0.1477</v>
      </c>
      <c r="I191" s="203">
        <f t="shared" si="10"/>
        <v>1.1546143001684994E-2</v>
      </c>
      <c r="J191" s="203">
        <f t="shared" si="11"/>
        <v>5.2195412409883346E-4</v>
      </c>
    </row>
    <row r="192" spans="1:10" x14ac:dyDescent="0.3">
      <c r="A192" s="201">
        <f t="shared" si="8"/>
        <v>47881</v>
      </c>
      <c r="B192" s="31"/>
      <c r="C192" s="194" t="s">
        <v>87</v>
      </c>
      <c r="D192" s="195">
        <v>1628</v>
      </c>
      <c r="E192" s="195">
        <v>2373</v>
      </c>
      <c r="F192" s="196">
        <v>14.77</v>
      </c>
      <c r="H192" s="202">
        <f t="shared" si="9"/>
        <v>0.1477</v>
      </c>
      <c r="I192" s="203">
        <f t="shared" si="10"/>
        <v>1.1546143001684994E-2</v>
      </c>
      <c r="J192" s="203">
        <f t="shared" si="11"/>
        <v>5.2195412409883346E-4</v>
      </c>
    </row>
    <row r="193" spans="1:10" x14ac:dyDescent="0.3">
      <c r="A193" s="201">
        <f t="shared" si="8"/>
        <v>47941</v>
      </c>
      <c r="B193" s="31"/>
      <c r="C193" s="194" t="s">
        <v>87</v>
      </c>
      <c r="D193" s="195">
        <v>1688</v>
      </c>
      <c r="E193" s="195">
        <v>2463</v>
      </c>
      <c r="F193" s="196">
        <v>14.78</v>
      </c>
      <c r="H193" s="202">
        <f t="shared" si="9"/>
        <v>0.14779999999999999</v>
      </c>
      <c r="I193" s="203">
        <f t="shared" si="10"/>
        <v>1.155348744237239E-2</v>
      </c>
      <c r="J193" s="203">
        <f t="shared" si="11"/>
        <v>5.2228432288026205E-4</v>
      </c>
    </row>
    <row r="194" spans="1:10" x14ac:dyDescent="0.3">
      <c r="A194" s="201">
        <f t="shared" si="8"/>
        <v>47981</v>
      </c>
      <c r="B194" s="31"/>
      <c r="C194" s="194" t="s">
        <v>87</v>
      </c>
      <c r="D194" s="195">
        <v>1728</v>
      </c>
      <c r="E194" s="195">
        <v>2520</v>
      </c>
      <c r="F194" s="196">
        <v>14.78</v>
      </c>
      <c r="H194" s="202">
        <f t="shared" si="9"/>
        <v>0.14779999999999999</v>
      </c>
      <c r="I194" s="203">
        <f t="shared" si="10"/>
        <v>1.155348744237239E-2</v>
      </c>
      <c r="J194" s="203">
        <f t="shared" si="11"/>
        <v>5.2228432288026205E-4</v>
      </c>
    </row>
    <row r="195" spans="1:10" x14ac:dyDescent="0.3">
      <c r="A195" s="201">
        <f t="shared" ref="A195:A258" si="12">$A$2+D195</f>
        <v>48005</v>
      </c>
      <c r="B195" s="31"/>
      <c r="C195" s="194" t="s">
        <v>87</v>
      </c>
      <c r="D195" s="195">
        <v>1752</v>
      </c>
      <c r="E195" s="195">
        <v>2554</v>
      </c>
      <c r="F195" s="196">
        <v>14.78</v>
      </c>
      <c r="H195" s="202">
        <f t="shared" ref="H195:H258" si="13">F195/100</f>
        <v>0.14779999999999999</v>
      </c>
      <c r="I195" s="203">
        <f t="shared" ref="I195:I258" si="14">(1+H195)^(1/12)-1</f>
        <v>1.155348744237239E-2</v>
      </c>
      <c r="J195" s="203">
        <f t="shared" ref="J195:J258" si="15">(1+I195)^(1/22)-1</f>
        <v>5.2228432288026205E-4</v>
      </c>
    </row>
    <row r="196" spans="1:10" x14ac:dyDescent="0.3">
      <c r="A196" s="201">
        <f t="shared" si="12"/>
        <v>48068</v>
      </c>
      <c r="B196" s="31"/>
      <c r="C196" s="194" t="s">
        <v>87</v>
      </c>
      <c r="D196" s="195">
        <v>1815</v>
      </c>
      <c r="E196" s="195">
        <v>2647</v>
      </c>
      <c r="F196" s="196">
        <v>14.78</v>
      </c>
      <c r="H196" s="202">
        <f t="shared" si="13"/>
        <v>0.14779999999999999</v>
      </c>
      <c r="I196" s="203">
        <f t="shared" si="14"/>
        <v>1.155348744237239E-2</v>
      </c>
      <c r="J196" s="203">
        <f t="shared" si="15"/>
        <v>5.2228432288026205E-4</v>
      </c>
    </row>
    <row r="197" spans="1:10" x14ac:dyDescent="0.3">
      <c r="A197" s="201">
        <f t="shared" si="12"/>
        <v>48101</v>
      </c>
      <c r="B197" s="31"/>
      <c r="C197" s="194" t="s">
        <v>87</v>
      </c>
      <c r="D197" s="195">
        <v>1848</v>
      </c>
      <c r="E197" s="195">
        <v>2694</v>
      </c>
      <c r="F197" s="196">
        <v>14.78</v>
      </c>
      <c r="H197" s="202">
        <f t="shared" si="13"/>
        <v>0.14779999999999999</v>
      </c>
      <c r="I197" s="203">
        <f t="shared" si="14"/>
        <v>1.155348744237239E-2</v>
      </c>
      <c r="J197" s="203">
        <f t="shared" si="15"/>
        <v>5.2228432288026205E-4</v>
      </c>
    </row>
    <row r="198" spans="1:10" x14ac:dyDescent="0.3">
      <c r="A198" s="201">
        <f t="shared" si="12"/>
        <v>48133</v>
      </c>
      <c r="B198" s="31"/>
      <c r="C198" s="194" t="s">
        <v>87</v>
      </c>
      <c r="D198" s="195">
        <v>1880</v>
      </c>
      <c r="E198" s="195">
        <v>2738</v>
      </c>
      <c r="F198" s="196">
        <v>14.78</v>
      </c>
      <c r="H198" s="202">
        <f t="shared" si="13"/>
        <v>0.14779999999999999</v>
      </c>
      <c r="I198" s="203">
        <f t="shared" si="14"/>
        <v>1.155348744237239E-2</v>
      </c>
      <c r="J198" s="203">
        <f t="shared" si="15"/>
        <v>5.2228432288026205E-4</v>
      </c>
    </row>
    <row r="199" spans="1:10" x14ac:dyDescent="0.3">
      <c r="A199" s="201">
        <f t="shared" si="12"/>
        <v>48191</v>
      </c>
      <c r="B199" s="31"/>
      <c r="C199" s="194" t="s">
        <v>87</v>
      </c>
      <c r="D199" s="195">
        <v>1938</v>
      </c>
      <c r="E199" s="195">
        <v>2827</v>
      </c>
      <c r="F199" s="196">
        <v>14.78</v>
      </c>
      <c r="H199" s="202">
        <f t="shared" si="13"/>
        <v>0.14779999999999999</v>
      </c>
      <c r="I199" s="203">
        <f t="shared" si="14"/>
        <v>1.155348744237239E-2</v>
      </c>
      <c r="J199" s="203">
        <f t="shared" si="15"/>
        <v>5.2228432288026205E-4</v>
      </c>
    </row>
    <row r="200" spans="1:10" x14ac:dyDescent="0.3">
      <c r="A200" s="201">
        <f t="shared" si="12"/>
        <v>48229</v>
      </c>
      <c r="B200" s="31"/>
      <c r="C200" s="194" t="s">
        <v>87</v>
      </c>
      <c r="D200" s="195">
        <v>1976</v>
      </c>
      <c r="E200" s="195">
        <v>2880</v>
      </c>
      <c r="F200" s="196">
        <v>14.78</v>
      </c>
      <c r="H200" s="202">
        <f t="shared" si="13"/>
        <v>0.14779999999999999</v>
      </c>
      <c r="I200" s="203">
        <f t="shared" si="14"/>
        <v>1.155348744237239E-2</v>
      </c>
      <c r="J200" s="203">
        <f t="shared" si="15"/>
        <v>5.2228432288026205E-4</v>
      </c>
    </row>
    <row r="201" spans="1:10" x14ac:dyDescent="0.3">
      <c r="A201" s="201">
        <f t="shared" si="12"/>
        <v>48256</v>
      </c>
      <c r="B201" s="31"/>
      <c r="C201" s="194" t="s">
        <v>87</v>
      </c>
      <c r="D201" s="195">
        <v>2003</v>
      </c>
      <c r="E201" s="195">
        <v>2919</v>
      </c>
      <c r="F201" s="196">
        <v>14.78</v>
      </c>
      <c r="H201" s="202">
        <f t="shared" si="13"/>
        <v>0.14779999999999999</v>
      </c>
      <c r="I201" s="203">
        <f t="shared" si="14"/>
        <v>1.155348744237239E-2</v>
      </c>
      <c r="J201" s="203">
        <f t="shared" si="15"/>
        <v>5.2228432288026205E-4</v>
      </c>
    </row>
    <row r="202" spans="1:10" x14ac:dyDescent="0.3">
      <c r="A202" s="201">
        <f t="shared" si="12"/>
        <v>48319</v>
      </c>
      <c r="B202" s="31"/>
      <c r="C202" s="194" t="s">
        <v>87</v>
      </c>
      <c r="D202" s="195">
        <v>2066</v>
      </c>
      <c r="E202" s="195">
        <v>3012</v>
      </c>
      <c r="F202" s="196">
        <v>14.78</v>
      </c>
      <c r="H202" s="202">
        <f t="shared" si="13"/>
        <v>0.14779999999999999</v>
      </c>
      <c r="I202" s="203">
        <f t="shared" si="14"/>
        <v>1.155348744237239E-2</v>
      </c>
      <c r="J202" s="203">
        <f t="shared" si="15"/>
        <v>5.2228432288026205E-4</v>
      </c>
    </row>
    <row r="203" spans="1:10" x14ac:dyDescent="0.3">
      <c r="A203" s="201">
        <f t="shared" si="12"/>
        <v>48349</v>
      </c>
      <c r="B203" s="31"/>
      <c r="C203" s="194" t="s">
        <v>87</v>
      </c>
      <c r="D203" s="195">
        <v>2096</v>
      </c>
      <c r="E203" s="195">
        <v>3059</v>
      </c>
      <c r="F203" s="196">
        <v>14.78</v>
      </c>
      <c r="H203" s="202">
        <f t="shared" si="13"/>
        <v>0.14779999999999999</v>
      </c>
      <c r="I203" s="203">
        <f t="shared" si="14"/>
        <v>1.155348744237239E-2</v>
      </c>
      <c r="J203" s="203">
        <f t="shared" si="15"/>
        <v>5.2228432288026205E-4</v>
      </c>
    </row>
    <row r="204" spans="1:10" x14ac:dyDescent="0.3">
      <c r="A204" s="201">
        <f t="shared" si="12"/>
        <v>48379</v>
      </c>
      <c r="B204" s="31"/>
      <c r="C204" s="194" t="s">
        <v>87</v>
      </c>
      <c r="D204" s="195">
        <v>2126</v>
      </c>
      <c r="E204" s="195">
        <v>3103</v>
      </c>
      <c r="F204" s="196">
        <v>14.78</v>
      </c>
      <c r="H204" s="202">
        <f t="shared" si="13"/>
        <v>0.14779999999999999</v>
      </c>
      <c r="I204" s="203">
        <f t="shared" si="14"/>
        <v>1.155348744237239E-2</v>
      </c>
      <c r="J204" s="203">
        <f t="shared" si="15"/>
        <v>5.2228432288026205E-4</v>
      </c>
    </row>
    <row r="205" spans="1:10" x14ac:dyDescent="0.3">
      <c r="A205" s="201">
        <f t="shared" si="12"/>
        <v>48440</v>
      </c>
      <c r="B205" s="31"/>
      <c r="C205" s="194" t="s">
        <v>87</v>
      </c>
      <c r="D205" s="195">
        <v>2187</v>
      </c>
      <c r="E205" s="195">
        <v>3192</v>
      </c>
      <c r="F205" s="196">
        <v>14.77</v>
      </c>
      <c r="H205" s="202">
        <f t="shared" si="13"/>
        <v>0.1477</v>
      </c>
      <c r="I205" s="203">
        <f t="shared" si="14"/>
        <v>1.1546143001684994E-2</v>
      </c>
      <c r="J205" s="203">
        <f t="shared" si="15"/>
        <v>5.2195412409883346E-4</v>
      </c>
    </row>
    <row r="206" spans="1:10" x14ac:dyDescent="0.3">
      <c r="A206" s="201">
        <f t="shared" si="12"/>
        <v>48473</v>
      </c>
      <c r="B206" s="31"/>
      <c r="C206" s="194" t="s">
        <v>87</v>
      </c>
      <c r="D206" s="195">
        <v>2220</v>
      </c>
      <c r="E206" s="195">
        <v>3240</v>
      </c>
      <c r="F206" s="196">
        <v>14.77</v>
      </c>
      <c r="H206" s="202">
        <f t="shared" si="13"/>
        <v>0.1477</v>
      </c>
      <c r="I206" s="203">
        <f t="shared" si="14"/>
        <v>1.1546143001684994E-2</v>
      </c>
      <c r="J206" s="203">
        <f t="shared" si="15"/>
        <v>5.2195412409883346E-4</v>
      </c>
    </row>
    <row r="207" spans="1:10" x14ac:dyDescent="0.3">
      <c r="A207" s="201">
        <f t="shared" si="12"/>
        <v>48505</v>
      </c>
      <c r="B207" s="31"/>
      <c r="C207" s="194" t="s">
        <v>87</v>
      </c>
      <c r="D207" s="195">
        <v>2252</v>
      </c>
      <c r="E207" s="195">
        <v>3284</v>
      </c>
      <c r="F207" s="196">
        <v>14.77</v>
      </c>
      <c r="H207" s="202">
        <f t="shared" si="13"/>
        <v>0.1477</v>
      </c>
      <c r="I207" s="203">
        <f t="shared" si="14"/>
        <v>1.1546143001684994E-2</v>
      </c>
      <c r="J207" s="203">
        <f t="shared" si="15"/>
        <v>5.2195412409883346E-4</v>
      </c>
    </row>
    <row r="208" spans="1:10" x14ac:dyDescent="0.3">
      <c r="A208" s="201">
        <f t="shared" si="12"/>
        <v>48568</v>
      </c>
      <c r="B208" s="31"/>
      <c r="C208" s="194" t="s">
        <v>87</v>
      </c>
      <c r="D208" s="195">
        <v>2315</v>
      </c>
      <c r="E208" s="195">
        <v>3377</v>
      </c>
      <c r="F208" s="196">
        <v>14.76</v>
      </c>
      <c r="H208" s="202">
        <f t="shared" si="13"/>
        <v>0.14760000000000001</v>
      </c>
      <c r="I208" s="203">
        <f t="shared" si="14"/>
        <v>1.1538797974374848E-2</v>
      </c>
      <c r="J208" s="203">
        <f t="shared" si="15"/>
        <v>5.21623896654555E-4</v>
      </c>
    </row>
    <row r="209" spans="1:10" x14ac:dyDescent="0.3">
      <c r="A209" s="201">
        <f t="shared" si="12"/>
        <v>48598</v>
      </c>
      <c r="B209" s="31"/>
      <c r="C209" s="194" t="s">
        <v>87</v>
      </c>
      <c r="D209" s="195">
        <v>2345</v>
      </c>
      <c r="E209" s="195">
        <v>3424</v>
      </c>
      <c r="F209" s="196">
        <v>14.76</v>
      </c>
      <c r="H209" s="202">
        <f t="shared" si="13"/>
        <v>0.14760000000000001</v>
      </c>
      <c r="I209" s="203">
        <f t="shared" si="14"/>
        <v>1.1538797974374848E-2</v>
      </c>
      <c r="J209" s="203">
        <f t="shared" si="15"/>
        <v>5.21623896654555E-4</v>
      </c>
    </row>
    <row r="210" spans="1:10" x14ac:dyDescent="0.3">
      <c r="A210" s="201">
        <f t="shared" si="12"/>
        <v>48630</v>
      </c>
      <c r="B210" s="31"/>
      <c r="C210" s="194" t="s">
        <v>87</v>
      </c>
      <c r="D210" s="195">
        <v>2377</v>
      </c>
      <c r="E210" s="195">
        <v>3468</v>
      </c>
      <c r="F210" s="196">
        <v>14.76</v>
      </c>
      <c r="H210" s="202">
        <f t="shared" si="13"/>
        <v>0.14760000000000001</v>
      </c>
      <c r="I210" s="203">
        <f t="shared" si="14"/>
        <v>1.1538797974374848E-2</v>
      </c>
      <c r="J210" s="203">
        <f t="shared" si="15"/>
        <v>5.21623896654555E-4</v>
      </c>
    </row>
    <row r="211" spans="1:10" x14ac:dyDescent="0.3">
      <c r="A211" s="201">
        <f t="shared" si="12"/>
        <v>48689</v>
      </c>
      <c r="B211" s="31"/>
      <c r="C211" s="194" t="s">
        <v>87</v>
      </c>
      <c r="D211" s="195">
        <v>2436</v>
      </c>
      <c r="E211" s="195">
        <v>3558</v>
      </c>
      <c r="F211" s="196">
        <v>14.77</v>
      </c>
      <c r="H211" s="202">
        <f t="shared" si="13"/>
        <v>0.1477</v>
      </c>
      <c r="I211" s="203">
        <f t="shared" si="14"/>
        <v>1.1546143001684994E-2</v>
      </c>
      <c r="J211" s="203">
        <f t="shared" si="15"/>
        <v>5.2195412409883346E-4</v>
      </c>
    </row>
    <row r="212" spans="1:10" x14ac:dyDescent="0.3">
      <c r="A212" s="201">
        <f t="shared" si="12"/>
        <v>48718</v>
      </c>
      <c r="B212" s="31"/>
      <c r="C212" s="194" t="s">
        <v>87</v>
      </c>
      <c r="D212" s="195">
        <v>2465</v>
      </c>
      <c r="E212" s="195">
        <v>3600</v>
      </c>
      <c r="F212" s="196">
        <v>14.77</v>
      </c>
      <c r="H212" s="202">
        <f t="shared" si="13"/>
        <v>0.1477</v>
      </c>
      <c r="I212" s="203">
        <f t="shared" si="14"/>
        <v>1.1546143001684994E-2</v>
      </c>
      <c r="J212" s="203">
        <f t="shared" si="15"/>
        <v>5.2195412409883346E-4</v>
      </c>
    </row>
    <row r="213" spans="1:10" x14ac:dyDescent="0.3">
      <c r="A213" s="201">
        <f t="shared" si="12"/>
        <v>48754</v>
      </c>
      <c r="B213" s="31"/>
      <c r="C213" s="194" t="s">
        <v>87</v>
      </c>
      <c r="D213" s="195">
        <v>2501</v>
      </c>
      <c r="E213" s="195">
        <v>3650</v>
      </c>
      <c r="F213" s="196">
        <v>14.77</v>
      </c>
      <c r="H213" s="202">
        <f t="shared" si="13"/>
        <v>0.1477</v>
      </c>
      <c r="I213" s="203">
        <f t="shared" si="14"/>
        <v>1.1546143001684994E-2</v>
      </c>
      <c r="J213" s="203">
        <f t="shared" si="15"/>
        <v>5.2195412409883346E-4</v>
      </c>
    </row>
    <row r="214" spans="1:10" x14ac:dyDescent="0.3">
      <c r="A214" s="201">
        <f t="shared" si="12"/>
        <v>48820</v>
      </c>
      <c r="B214" s="31"/>
      <c r="C214" s="194" t="s">
        <v>87</v>
      </c>
      <c r="D214" s="195">
        <v>2567</v>
      </c>
      <c r="E214" s="195">
        <v>3744</v>
      </c>
      <c r="F214" s="196">
        <v>14.77</v>
      </c>
      <c r="H214" s="202">
        <f t="shared" si="13"/>
        <v>0.1477</v>
      </c>
      <c r="I214" s="203">
        <f t="shared" si="14"/>
        <v>1.1546143001684994E-2</v>
      </c>
      <c r="J214" s="203">
        <f t="shared" si="15"/>
        <v>5.2195412409883346E-4</v>
      </c>
    </row>
    <row r="215" spans="1:10" x14ac:dyDescent="0.3">
      <c r="A215" s="201">
        <f t="shared" si="12"/>
        <v>48851</v>
      </c>
      <c r="B215" s="31"/>
      <c r="C215" s="194" t="s">
        <v>87</v>
      </c>
      <c r="D215" s="195">
        <v>2598</v>
      </c>
      <c r="E215" s="195">
        <v>3790</v>
      </c>
      <c r="F215" s="196">
        <v>14.78</v>
      </c>
      <c r="H215" s="202">
        <f t="shared" si="13"/>
        <v>0.14779999999999999</v>
      </c>
      <c r="I215" s="203">
        <f t="shared" si="14"/>
        <v>1.155348744237239E-2</v>
      </c>
      <c r="J215" s="203">
        <f t="shared" si="15"/>
        <v>5.2228432288026205E-4</v>
      </c>
    </row>
    <row r="216" spans="1:10" x14ac:dyDescent="0.3">
      <c r="A216" s="201">
        <f t="shared" si="12"/>
        <v>48882</v>
      </c>
      <c r="B216" s="31"/>
      <c r="C216" s="194" t="s">
        <v>87</v>
      </c>
      <c r="D216" s="195">
        <v>2629</v>
      </c>
      <c r="E216" s="195">
        <v>3837</v>
      </c>
      <c r="F216" s="196">
        <v>14.77</v>
      </c>
      <c r="H216" s="202">
        <f t="shared" si="13"/>
        <v>0.1477</v>
      </c>
      <c r="I216" s="203">
        <f t="shared" si="14"/>
        <v>1.1546143001684994E-2</v>
      </c>
      <c r="J216" s="203">
        <f t="shared" si="15"/>
        <v>5.2195412409883346E-4</v>
      </c>
    </row>
    <row r="217" spans="1:10" x14ac:dyDescent="0.3">
      <c r="A217" s="201">
        <f t="shared" si="12"/>
        <v>48941</v>
      </c>
      <c r="B217" s="31"/>
      <c r="C217" s="194" t="s">
        <v>87</v>
      </c>
      <c r="D217" s="195">
        <v>2688</v>
      </c>
      <c r="E217" s="195">
        <v>3923</v>
      </c>
      <c r="F217" s="196">
        <v>14.77</v>
      </c>
      <c r="H217" s="202">
        <f t="shared" si="13"/>
        <v>0.1477</v>
      </c>
      <c r="I217" s="203">
        <f t="shared" si="14"/>
        <v>1.1546143001684994E-2</v>
      </c>
      <c r="J217" s="203">
        <f t="shared" si="15"/>
        <v>5.2195412409883346E-4</v>
      </c>
    </row>
    <row r="218" spans="1:10" x14ac:dyDescent="0.3">
      <c r="A218" s="201">
        <f t="shared" si="12"/>
        <v>48966</v>
      </c>
      <c r="B218" s="31"/>
      <c r="C218" s="194" t="s">
        <v>87</v>
      </c>
      <c r="D218" s="195">
        <v>2713</v>
      </c>
      <c r="E218" s="195">
        <v>3961</v>
      </c>
      <c r="F218" s="196">
        <v>14.77</v>
      </c>
      <c r="H218" s="202">
        <f t="shared" si="13"/>
        <v>0.1477</v>
      </c>
      <c r="I218" s="203">
        <f t="shared" si="14"/>
        <v>1.1546143001684994E-2</v>
      </c>
      <c r="J218" s="203">
        <f t="shared" si="15"/>
        <v>5.2195412409883346E-4</v>
      </c>
    </row>
    <row r="219" spans="1:10" x14ac:dyDescent="0.3">
      <c r="A219" s="201">
        <f t="shared" si="12"/>
        <v>49006</v>
      </c>
      <c r="B219" s="31"/>
      <c r="C219" s="194" t="s">
        <v>87</v>
      </c>
      <c r="D219" s="195">
        <v>2753</v>
      </c>
      <c r="E219" s="195">
        <v>4017</v>
      </c>
      <c r="F219" s="196">
        <v>14.76</v>
      </c>
      <c r="H219" s="202">
        <f t="shared" si="13"/>
        <v>0.14760000000000001</v>
      </c>
      <c r="I219" s="203">
        <f t="shared" si="14"/>
        <v>1.1538797974374848E-2</v>
      </c>
      <c r="J219" s="203">
        <f t="shared" si="15"/>
        <v>5.21623896654555E-4</v>
      </c>
    </row>
    <row r="220" spans="1:10" x14ac:dyDescent="0.3">
      <c r="A220" s="201">
        <f t="shared" si="12"/>
        <v>49068</v>
      </c>
      <c r="B220" s="31"/>
      <c r="C220" s="194" t="s">
        <v>87</v>
      </c>
      <c r="D220" s="195">
        <v>2815</v>
      </c>
      <c r="E220" s="195">
        <v>4108</v>
      </c>
      <c r="F220" s="196">
        <v>14.76</v>
      </c>
      <c r="H220" s="202">
        <f t="shared" si="13"/>
        <v>0.14760000000000001</v>
      </c>
      <c r="I220" s="203">
        <f t="shared" si="14"/>
        <v>1.1538797974374848E-2</v>
      </c>
      <c r="J220" s="203">
        <f t="shared" si="15"/>
        <v>5.21623896654555E-4</v>
      </c>
    </row>
    <row r="221" spans="1:10" x14ac:dyDescent="0.3">
      <c r="A221" s="201">
        <f t="shared" si="12"/>
        <v>49100</v>
      </c>
      <c r="B221" s="31"/>
      <c r="C221" s="194" t="s">
        <v>87</v>
      </c>
      <c r="D221" s="195">
        <v>2847</v>
      </c>
      <c r="E221" s="195">
        <v>4157</v>
      </c>
      <c r="F221" s="196">
        <v>14.76</v>
      </c>
      <c r="H221" s="202">
        <f t="shared" si="13"/>
        <v>0.14760000000000001</v>
      </c>
      <c r="I221" s="203">
        <f t="shared" si="14"/>
        <v>1.1538797974374848E-2</v>
      </c>
      <c r="J221" s="203">
        <f t="shared" si="15"/>
        <v>5.21623896654555E-4</v>
      </c>
    </row>
    <row r="222" spans="1:10" x14ac:dyDescent="0.3">
      <c r="A222" s="201">
        <f t="shared" si="12"/>
        <v>49130</v>
      </c>
      <c r="B222" s="31"/>
      <c r="C222" s="194" t="s">
        <v>87</v>
      </c>
      <c r="D222" s="195">
        <v>2877</v>
      </c>
      <c r="E222" s="195">
        <v>4199</v>
      </c>
      <c r="F222" s="196">
        <v>14.75</v>
      </c>
      <c r="H222" s="202">
        <f t="shared" si="13"/>
        <v>0.14749999999999999</v>
      </c>
      <c r="I222" s="203">
        <f t="shared" si="14"/>
        <v>1.1531452360343364E-2</v>
      </c>
      <c r="J222" s="203">
        <f t="shared" si="15"/>
        <v>5.2129364054254168E-4</v>
      </c>
    </row>
    <row r="223" spans="1:10" x14ac:dyDescent="0.3">
      <c r="A223" s="201">
        <f t="shared" si="12"/>
        <v>49191</v>
      </c>
      <c r="B223" s="31"/>
      <c r="C223" s="194" t="s">
        <v>87</v>
      </c>
      <c r="D223" s="195">
        <v>2938</v>
      </c>
      <c r="E223" s="195">
        <v>4290</v>
      </c>
      <c r="F223" s="196">
        <v>14.75</v>
      </c>
      <c r="H223" s="202">
        <f t="shared" si="13"/>
        <v>0.14749999999999999</v>
      </c>
      <c r="I223" s="203">
        <f t="shared" si="14"/>
        <v>1.1531452360343364E-2</v>
      </c>
      <c r="J223" s="203">
        <f t="shared" si="15"/>
        <v>5.2129364054254168E-4</v>
      </c>
    </row>
    <row r="224" spans="1:10" x14ac:dyDescent="0.3">
      <c r="A224" s="201">
        <f t="shared" si="12"/>
        <v>49213</v>
      </c>
      <c r="B224" s="31"/>
      <c r="C224" s="194" t="s">
        <v>87</v>
      </c>
      <c r="D224" s="195">
        <v>2960</v>
      </c>
      <c r="E224" s="195">
        <v>4320</v>
      </c>
      <c r="F224" s="196">
        <v>14.74</v>
      </c>
      <c r="H224" s="202">
        <f t="shared" si="13"/>
        <v>0.1474</v>
      </c>
      <c r="I224" s="203">
        <f t="shared" si="14"/>
        <v>1.1524106159493064E-2</v>
      </c>
      <c r="J224" s="203">
        <f t="shared" si="15"/>
        <v>5.2096335575790853E-4</v>
      </c>
    </row>
    <row r="225" spans="1:10" x14ac:dyDescent="0.3">
      <c r="A225" s="201">
        <f t="shared" si="12"/>
        <v>49255</v>
      </c>
      <c r="B225" s="31"/>
      <c r="C225" s="194" t="s">
        <v>87</v>
      </c>
      <c r="D225" s="195">
        <v>3002</v>
      </c>
      <c r="E225" s="195">
        <v>4381</v>
      </c>
      <c r="F225" s="196">
        <v>14.74</v>
      </c>
      <c r="H225" s="202">
        <f t="shared" si="13"/>
        <v>0.1474</v>
      </c>
      <c r="I225" s="203">
        <f t="shared" si="14"/>
        <v>1.1524106159493064E-2</v>
      </c>
      <c r="J225" s="203">
        <f t="shared" si="15"/>
        <v>5.2096335575790853E-4</v>
      </c>
    </row>
    <row r="226" spans="1:10" x14ac:dyDescent="0.3">
      <c r="A226" s="201">
        <f t="shared" si="12"/>
        <v>49317</v>
      </c>
      <c r="B226" s="31"/>
      <c r="C226" s="194" t="s">
        <v>87</v>
      </c>
      <c r="D226" s="195">
        <v>3064</v>
      </c>
      <c r="E226" s="195">
        <v>4473</v>
      </c>
      <c r="F226" s="196">
        <v>14.73</v>
      </c>
      <c r="H226" s="202">
        <f t="shared" si="13"/>
        <v>0.14730000000000001</v>
      </c>
      <c r="I226" s="203">
        <f t="shared" si="14"/>
        <v>1.1516759371725582E-2</v>
      </c>
      <c r="J226" s="203">
        <f t="shared" si="15"/>
        <v>5.2063304229554852E-4</v>
      </c>
    </row>
    <row r="227" spans="1:10" x14ac:dyDescent="0.3">
      <c r="A227" s="201">
        <f t="shared" si="12"/>
        <v>49351</v>
      </c>
      <c r="B227" s="31"/>
      <c r="C227" s="194" t="s">
        <v>87</v>
      </c>
      <c r="D227" s="195">
        <v>3098</v>
      </c>
      <c r="E227" s="195">
        <v>4521</v>
      </c>
      <c r="F227" s="196">
        <v>14.73</v>
      </c>
      <c r="H227" s="202">
        <f t="shared" si="13"/>
        <v>0.14730000000000001</v>
      </c>
      <c r="I227" s="203">
        <f t="shared" si="14"/>
        <v>1.1516759371725582E-2</v>
      </c>
      <c r="J227" s="203">
        <f t="shared" si="15"/>
        <v>5.2063304229554852E-4</v>
      </c>
    </row>
    <row r="228" spans="1:10" x14ac:dyDescent="0.3">
      <c r="A228" s="201">
        <f t="shared" si="12"/>
        <v>49382</v>
      </c>
      <c r="B228" s="31"/>
      <c r="C228" s="194" t="s">
        <v>87</v>
      </c>
      <c r="D228" s="195">
        <v>3129</v>
      </c>
      <c r="E228" s="195">
        <v>4564</v>
      </c>
      <c r="F228" s="196">
        <v>14.73</v>
      </c>
      <c r="H228" s="202">
        <f t="shared" si="13"/>
        <v>0.14730000000000001</v>
      </c>
      <c r="I228" s="203">
        <f t="shared" si="14"/>
        <v>1.1516759371725582E-2</v>
      </c>
      <c r="J228" s="203">
        <f t="shared" si="15"/>
        <v>5.2063304229554852E-4</v>
      </c>
    </row>
    <row r="229" spans="1:10" x14ac:dyDescent="0.3">
      <c r="A229" s="201">
        <f t="shared" si="12"/>
        <v>49442</v>
      </c>
      <c r="B229" s="31"/>
      <c r="C229" s="194" t="s">
        <v>87</v>
      </c>
      <c r="D229" s="195">
        <v>3189</v>
      </c>
      <c r="E229" s="195">
        <v>4654</v>
      </c>
      <c r="F229" s="196">
        <v>14.72</v>
      </c>
      <c r="H229" s="202">
        <f t="shared" si="13"/>
        <v>0.1472</v>
      </c>
      <c r="I229" s="203">
        <f t="shared" si="14"/>
        <v>1.1509411996942998E-2</v>
      </c>
      <c r="J229" s="203">
        <f t="shared" si="15"/>
        <v>5.2030270015035462E-4</v>
      </c>
    </row>
    <row r="230" spans="1:10" x14ac:dyDescent="0.3">
      <c r="A230" s="201">
        <f t="shared" si="12"/>
        <v>49461</v>
      </c>
      <c r="B230" s="31"/>
      <c r="C230" s="194" t="s">
        <v>87</v>
      </c>
      <c r="D230" s="195">
        <v>3208</v>
      </c>
      <c r="E230" s="195">
        <v>4682</v>
      </c>
      <c r="F230" s="196">
        <v>14.72</v>
      </c>
      <c r="H230" s="202">
        <f t="shared" si="13"/>
        <v>0.1472</v>
      </c>
      <c r="I230" s="203">
        <f t="shared" si="14"/>
        <v>1.1509411996942998E-2</v>
      </c>
      <c r="J230" s="203">
        <f t="shared" si="15"/>
        <v>5.2030270015035462E-4</v>
      </c>
    </row>
    <row r="231" spans="1:10" x14ac:dyDescent="0.3">
      <c r="A231" s="201">
        <f t="shared" si="12"/>
        <v>49506</v>
      </c>
      <c r="B231" s="31"/>
      <c r="C231" s="194" t="s">
        <v>87</v>
      </c>
      <c r="D231" s="195">
        <v>3253</v>
      </c>
      <c r="E231" s="195">
        <v>4745</v>
      </c>
      <c r="F231" s="196">
        <v>14.72</v>
      </c>
      <c r="H231" s="202">
        <f t="shared" si="13"/>
        <v>0.1472</v>
      </c>
      <c r="I231" s="203">
        <f t="shared" si="14"/>
        <v>1.1509411996942998E-2</v>
      </c>
      <c r="J231" s="203">
        <f t="shared" si="15"/>
        <v>5.2030270015035462E-4</v>
      </c>
    </row>
    <row r="232" spans="1:10" x14ac:dyDescent="0.3">
      <c r="A232" s="201">
        <f t="shared" si="12"/>
        <v>49569</v>
      </c>
      <c r="B232" s="31"/>
      <c r="C232" s="194" t="s">
        <v>87</v>
      </c>
      <c r="D232" s="195">
        <v>3316</v>
      </c>
      <c r="E232" s="195">
        <v>4838</v>
      </c>
      <c r="F232" s="196">
        <v>14.72</v>
      </c>
      <c r="H232" s="202">
        <f t="shared" si="13"/>
        <v>0.1472</v>
      </c>
      <c r="I232" s="203">
        <f t="shared" si="14"/>
        <v>1.1509411996942998E-2</v>
      </c>
      <c r="J232" s="203">
        <f t="shared" si="15"/>
        <v>5.2030270015035462E-4</v>
      </c>
    </row>
    <row r="233" spans="1:10" x14ac:dyDescent="0.3">
      <c r="A233" s="201">
        <f t="shared" si="12"/>
        <v>49602</v>
      </c>
      <c r="B233" s="31"/>
      <c r="C233" s="194" t="s">
        <v>87</v>
      </c>
      <c r="D233" s="195">
        <v>3349</v>
      </c>
      <c r="E233" s="195">
        <v>4885</v>
      </c>
      <c r="F233" s="196">
        <v>14.71</v>
      </c>
      <c r="H233" s="202">
        <f t="shared" si="13"/>
        <v>0.14710000000000001</v>
      </c>
      <c r="I233" s="203">
        <f t="shared" si="14"/>
        <v>1.1502064035047166E-2</v>
      </c>
      <c r="J233" s="203">
        <f t="shared" si="15"/>
        <v>5.1997232931766391E-4</v>
      </c>
    </row>
    <row r="234" spans="1:10" x14ac:dyDescent="0.3">
      <c r="A234" s="201">
        <f t="shared" si="12"/>
        <v>49632</v>
      </c>
      <c r="B234" s="31"/>
      <c r="C234" s="194" t="s">
        <v>87</v>
      </c>
      <c r="D234" s="195">
        <v>3379</v>
      </c>
      <c r="E234" s="195">
        <v>4929</v>
      </c>
      <c r="F234" s="196">
        <v>14.71</v>
      </c>
      <c r="H234" s="202">
        <f t="shared" si="13"/>
        <v>0.14710000000000001</v>
      </c>
      <c r="I234" s="203">
        <f t="shared" si="14"/>
        <v>1.1502064035047166E-2</v>
      </c>
      <c r="J234" s="203">
        <f t="shared" si="15"/>
        <v>5.1997232931766391E-4</v>
      </c>
    </row>
    <row r="235" spans="1:10" x14ac:dyDescent="0.3">
      <c r="A235" s="201">
        <f t="shared" si="12"/>
        <v>49694</v>
      </c>
      <c r="B235" s="31"/>
      <c r="C235" s="194" t="s">
        <v>87</v>
      </c>
      <c r="D235" s="195">
        <v>3441</v>
      </c>
      <c r="E235" s="195">
        <v>5019</v>
      </c>
      <c r="F235" s="196">
        <v>14.71</v>
      </c>
      <c r="H235" s="202">
        <f t="shared" si="13"/>
        <v>0.14710000000000001</v>
      </c>
      <c r="I235" s="203">
        <f t="shared" si="14"/>
        <v>1.1502064035047166E-2</v>
      </c>
      <c r="J235" s="203">
        <f t="shared" si="15"/>
        <v>5.1997232931766391E-4</v>
      </c>
    </row>
    <row r="236" spans="1:10" x14ac:dyDescent="0.3">
      <c r="A236" s="201">
        <f t="shared" si="12"/>
        <v>49708</v>
      </c>
      <c r="B236" s="31"/>
      <c r="C236" s="194" t="s">
        <v>87</v>
      </c>
      <c r="D236" s="195">
        <v>3455</v>
      </c>
      <c r="E236" s="195">
        <v>5040</v>
      </c>
      <c r="F236" s="196">
        <v>14.71</v>
      </c>
      <c r="H236" s="202">
        <f t="shared" si="13"/>
        <v>0.14710000000000001</v>
      </c>
      <c r="I236" s="203">
        <f t="shared" si="14"/>
        <v>1.1502064035047166E-2</v>
      </c>
      <c r="J236" s="203">
        <f t="shared" si="15"/>
        <v>5.1997232931766391E-4</v>
      </c>
    </row>
    <row r="237" spans="1:10" x14ac:dyDescent="0.3">
      <c r="A237" s="201">
        <f t="shared" si="12"/>
        <v>49759</v>
      </c>
      <c r="B237" s="31"/>
      <c r="C237" s="194" t="s">
        <v>87</v>
      </c>
      <c r="D237" s="195">
        <v>3506</v>
      </c>
      <c r="E237" s="195">
        <v>5111</v>
      </c>
      <c r="F237" s="196">
        <v>14.71</v>
      </c>
      <c r="H237" s="202">
        <f t="shared" si="13"/>
        <v>0.14710000000000001</v>
      </c>
      <c r="I237" s="203">
        <f t="shared" si="14"/>
        <v>1.1502064035047166E-2</v>
      </c>
      <c r="J237" s="203">
        <f t="shared" si="15"/>
        <v>5.1997232931766391E-4</v>
      </c>
    </row>
    <row r="238" spans="1:10" x14ac:dyDescent="0.3">
      <c r="A238" s="201">
        <f t="shared" si="12"/>
        <v>49822</v>
      </c>
      <c r="B238" s="31"/>
      <c r="C238" s="194" t="s">
        <v>87</v>
      </c>
      <c r="D238" s="195">
        <v>3569</v>
      </c>
      <c r="E238" s="195">
        <v>5204</v>
      </c>
      <c r="F238" s="196">
        <v>14.71</v>
      </c>
      <c r="H238" s="202">
        <f t="shared" si="13"/>
        <v>0.14710000000000001</v>
      </c>
      <c r="I238" s="203">
        <f t="shared" si="14"/>
        <v>1.1502064035047166E-2</v>
      </c>
      <c r="J238" s="203">
        <f t="shared" si="15"/>
        <v>5.1997232931766391E-4</v>
      </c>
    </row>
    <row r="239" spans="1:10" x14ac:dyDescent="0.3">
      <c r="A239" s="201">
        <f t="shared" si="12"/>
        <v>49852</v>
      </c>
      <c r="B239" s="31"/>
      <c r="C239" s="194" t="s">
        <v>87</v>
      </c>
      <c r="D239" s="195">
        <v>3599</v>
      </c>
      <c r="E239" s="195">
        <v>5251</v>
      </c>
      <c r="F239" s="196">
        <v>14.7</v>
      </c>
      <c r="H239" s="202">
        <f t="shared" si="13"/>
        <v>0.14699999999999999</v>
      </c>
      <c r="I239" s="203">
        <f t="shared" si="14"/>
        <v>1.1494715485939944E-2</v>
      </c>
      <c r="J239" s="203">
        <f t="shared" si="15"/>
        <v>5.1964192979214729E-4</v>
      </c>
    </row>
    <row r="240" spans="1:10" x14ac:dyDescent="0.3">
      <c r="A240" s="201">
        <f t="shared" si="12"/>
        <v>49884</v>
      </c>
      <c r="B240" s="31"/>
      <c r="C240" s="194" t="s">
        <v>87</v>
      </c>
      <c r="D240" s="195">
        <v>3631</v>
      </c>
      <c r="E240" s="195">
        <v>5295</v>
      </c>
      <c r="F240" s="196">
        <v>14.7</v>
      </c>
      <c r="H240" s="202">
        <f t="shared" si="13"/>
        <v>0.14699999999999999</v>
      </c>
      <c r="I240" s="203">
        <f t="shared" si="14"/>
        <v>1.1494715485939944E-2</v>
      </c>
      <c r="J240" s="203">
        <f t="shared" si="15"/>
        <v>5.1964192979214729E-4</v>
      </c>
    </row>
    <row r="241" spans="1:10" x14ac:dyDescent="0.3">
      <c r="A241" s="201">
        <f t="shared" si="12"/>
        <v>49943</v>
      </c>
      <c r="B241" s="31"/>
      <c r="C241" s="194" t="s">
        <v>87</v>
      </c>
      <c r="D241" s="195">
        <v>3690</v>
      </c>
      <c r="E241" s="195">
        <v>5384</v>
      </c>
      <c r="F241" s="196">
        <v>14.7</v>
      </c>
      <c r="H241" s="202">
        <f t="shared" si="13"/>
        <v>0.14699999999999999</v>
      </c>
      <c r="I241" s="203">
        <f t="shared" si="14"/>
        <v>1.1494715485939944E-2</v>
      </c>
      <c r="J241" s="203">
        <f t="shared" si="15"/>
        <v>5.1964192979214729E-4</v>
      </c>
    </row>
    <row r="242" spans="1:10" x14ac:dyDescent="0.3">
      <c r="A242" s="201">
        <f t="shared" si="12"/>
        <v>49955</v>
      </c>
      <c r="B242" s="31"/>
      <c r="C242" s="194" t="s">
        <v>87</v>
      </c>
      <c r="D242" s="195">
        <v>3702</v>
      </c>
      <c r="E242" s="195">
        <v>5400</v>
      </c>
      <c r="F242" s="196">
        <v>14.7</v>
      </c>
      <c r="H242" s="202">
        <f t="shared" si="13"/>
        <v>0.14699999999999999</v>
      </c>
      <c r="I242" s="203">
        <f t="shared" si="14"/>
        <v>1.1494715485939944E-2</v>
      </c>
      <c r="J242" s="203">
        <f t="shared" si="15"/>
        <v>5.1964192979214729E-4</v>
      </c>
    </row>
    <row r="243" spans="1:10" x14ac:dyDescent="0.3">
      <c r="A243" s="201">
        <f t="shared" si="12"/>
        <v>50008</v>
      </c>
      <c r="B243" s="31"/>
      <c r="C243" s="194" t="s">
        <v>87</v>
      </c>
      <c r="D243" s="195">
        <v>3755</v>
      </c>
      <c r="E243" s="195">
        <v>5476</v>
      </c>
      <c r="F243" s="196">
        <v>14.7</v>
      </c>
      <c r="H243" s="202">
        <f t="shared" si="13"/>
        <v>0.14699999999999999</v>
      </c>
      <c r="I243" s="203">
        <f t="shared" si="14"/>
        <v>1.1494715485939944E-2</v>
      </c>
      <c r="J243" s="203">
        <f t="shared" si="15"/>
        <v>5.1964192979214729E-4</v>
      </c>
    </row>
    <row r="244" spans="1:10" x14ac:dyDescent="0.3">
      <c r="A244" s="201">
        <f t="shared" si="12"/>
        <v>50074</v>
      </c>
      <c r="B244" s="31"/>
      <c r="C244" s="194" t="s">
        <v>87</v>
      </c>
      <c r="D244" s="195">
        <v>3821</v>
      </c>
      <c r="E244" s="195">
        <v>5571</v>
      </c>
      <c r="F244" s="196">
        <v>14.7</v>
      </c>
      <c r="H244" s="202">
        <f t="shared" si="13"/>
        <v>0.14699999999999999</v>
      </c>
      <c r="I244" s="203">
        <f t="shared" si="14"/>
        <v>1.1494715485939944E-2</v>
      </c>
      <c r="J244" s="203">
        <f t="shared" si="15"/>
        <v>5.1964192979214729E-4</v>
      </c>
    </row>
    <row r="245" spans="1:10" x14ac:dyDescent="0.3">
      <c r="A245" s="201">
        <f t="shared" si="12"/>
        <v>50080</v>
      </c>
      <c r="B245" s="31"/>
      <c r="C245" s="194" t="s">
        <v>87</v>
      </c>
      <c r="D245" s="195">
        <v>3827</v>
      </c>
      <c r="E245" s="195">
        <v>5580</v>
      </c>
      <c r="F245" s="196">
        <v>14.7</v>
      </c>
      <c r="H245" s="202">
        <f t="shared" si="13"/>
        <v>0.14699999999999999</v>
      </c>
      <c r="I245" s="203">
        <f t="shared" si="14"/>
        <v>1.1494715485939944E-2</v>
      </c>
      <c r="J245" s="203">
        <f t="shared" si="15"/>
        <v>5.1964192979214729E-4</v>
      </c>
    </row>
    <row r="246" spans="1:10" x14ac:dyDescent="0.3">
      <c r="A246" s="201">
        <f t="shared" si="12"/>
        <v>50136</v>
      </c>
      <c r="B246" s="31"/>
      <c r="C246" s="194" t="s">
        <v>87</v>
      </c>
      <c r="D246" s="195">
        <v>3883</v>
      </c>
      <c r="E246" s="195">
        <v>5664</v>
      </c>
      <c r="F246" s="196">
        <v>14.7</v>
      </c>
      <c r="H246" s="202">
        <f t="shared" si="13"/>
        <v>0.14699999999999999</v>
      </c>
      <c r="I246" s="203">
        <f t="shared" si="14"/>
        <v>1.1494715485939944E-2</v>
      </c>
      <c r="J246" s="203">
        <f t="shared" si="15"/>
        <v>5.1964192979214729E-4</v>
      </c>
    </row>
    <row r="247" spans="1:10" x14ac:dyDescent="0.3">
      <c r="A247" s="201">
        <f t="shared" si="12"/>
        <v>50194</v>
      </c>
      <c r="B247" s="31"/>
      <c r="C247" s="194" t="s">
        <v>87</v>
      </c>
      <c r="D247" s="195">
        <v>3941</v>
      </c>
      <c r="E247" s="195">
        <v>5749</v>
      </c>
      <c r="F247" s="196">
        <v>14.69</v>
      </c>
      <c r="H247" s="202">
        <f t="shared" si="13"/>
        <v>0.1469</v>
      </c>
      <c r="I247" s="203">
        <f t="shared" si="14"/>
        <v>1.1487366349523409E-2</v>
      </c>
      <c r="J247" s="203">
        <f t="shared" si="15"/>
        <v>5.1931150156914185E-4</v>
      </c>
    </row>
    <row r="248" spans="1:10" x14ac:dyDescent="0.3">
      <c r="A248" s="201">
        <f t="shared" si="12"/>
        <v>50259</v>
      </c>
      <c r="B248" s="31"/>
      <c r="C248" s="194" t="s">
        <v>87</v>
      </c>
      <c r="D248" s="195">
        <v>4006</v>
      </c>
      <c r="E248" s="195">
        <v>5841</v>
      </c>
      <c r="F248" s="196">
        <v>14.69</v>
      </c>
      <c r="H248" s="202">
        <f t="shared" si="13"/>
        <v>0.1469</v>
      </c>
      <c r="I248" s="203">
        <f t="shared" si="14"/>
        <v>1.1487366349523409E-2</v>
      </c>
      <c r="J248" s="203">
        <f t="shared" si="15"/>
        <v>5.1931150156914185E-4</v>
      </c>
    </row>
    <row r="249" spans="1:10" x14ac:dyDescent="0.3">
      <c r="A249" s="201">
        <f t="shared" si="12"/>
        <v>50325</v>
      </c>
      <c r="B249" s="31"/>
      <c r="C249" s="194" t="s">
        <v>87</v>
      </c>
      <c r="D249" s="195">
        <v>4072</v>
      </c>
      <c r="E249" s="195">
        <v>5935</v>
      </c>
      <c r="F249" s="196">
        <v>14.69</v>
      </c>
      <c r="H249" s="202">
        <f t="shared" si="13"/>
        <v>0.1469</v>
      </c>
      <c r="I249" s="203">
        <f t="shared" si="14"/>
        <v>1.1487366349523409E-2</v>
      </c>
      <c r="J249" s="203">
        <f t="shared" si="15"/>
        <v>5.1931150156914185E-4</v>
      </c>
    </row>
    <row r="250" spans="1:10" x14ac:dyDescent="0.3">
      <c r="A250" s="201">
        <f t="shared" si="12"/>
        <v>50385</v>
      </c>
      <c r="B250" s="31"/>
      <c r="C250" s="194" t="s">
        <v>87</v>
      </c>
      <c r="D250" s="195">
        <v>4132</v>
      </c>
      <c r="E250" s="195">
        <v>6026</v>
      </c>
      <c r="F250" s="196">
        <v>14.69</v>
      </c>
      <c r="H250" s="202">
        <f t="shared" si="13"/>
        <v>0.1469</v>
      </c>
      <c r="I250" s="203">
        <f t="shared" si="14"/>
        <v>1.1487366349523409E-2</v>
      </c>
      <c r="J250" s="203">
        <f t="shared" si="15"/>
        <v>5.1931150156914185E-4</v>
      </c>
    </row>
    <row r="251" spans="1:10" x14ac:dyDescent="0.3">
      <c r="A251" s="201">
        <f t="shared" si="12"/>
        <v>50446</v>
      </c>
      <c r="B251" s="31"/>
      <c r="C251" s="194" t="s">
        <v>87</v>
      </c>
      <c r="D251" s="195">
        <v>4193</v>
      </c>
      <c r="E251" s="195">
        <v>6114</v>
      </c>
      <c r="F251" s="196">
        <v>14.69</v>
      </c>
      <c r="H251" s="202">
        <f t="shared" si="13"/>
        <v>0.1469</v>
      </c>
      <c r="I251" s="203">
        <f t="shared" si="14"/>
        <v>1.1487366349523409E-2</v>
      </c>
      <c r="J251" s="203">
        <f t="shared" si="15"/>
        <v>5.1931150156914185E-4</v>
      </c>
    </row>
    <row r="252" spans="1:10" x14ac:dyDescent="0.3">
      <c r="A252" s="201">
        <f t="shared" si="12"/>
        <v>50511</v>
      </c>
      <c r="B252" s="31"/>
      <c r="C252" s="194" t="s">
        <v>87</v>
      </c>
      <c r="D252" s="195">
        <v>4258</v>
      </c>
      <c r="E252" s="195">
        <v>6208</v>
      </c>
      <c r="F252" s="196">
        <v>14.69</v>
      </c>
      <c r="H252" s="202">
        <f t="shared" si="13"/>
        <v>0.1469</v>
      </c>
      <c r="I252" s="203">
        <f t="shared" si="14"/>
        <v>1.1487366349523409E-2</v>
      </c>
      <c r="J252" s="203">
        <f t="shared" si="15"/>
        <v>5.1931150156914185E-4</v>
      </c>
    </row>
    <row r="253" spans="1:10" x14ac:dyDescent="0.3">
      <c r="A253" s="201">
        <f t="shared" si="12"/>
        <v>50573</v>
      </c>
      <c r="B253" s="31"/>
      <c r="C253" s="194" t="s">
        <v>87</v>
      </c>
      <c r="D253" s="195">
        <v>4320</v>
      </c>
      <c r="E253" s="195">
        <v>6299</v>
      </c>
      <c r="F253" s="196">
        <v>14.68</v>
      </c>
      <c r="H253" s="202">
        <f t="shared" si="13"/>
        <v>0.14679999999999999</v>
      </c>
      <c r="I253" s="203">
        <f t="shared" si="14"/>
        <v>1.1480016625699418E-2</v>
      </c>
      <c r="J253" s="203">
        <f t="shared" si="15"/>
        <v>5.1898104464331851E-4</v>
      </c>
    </row>
    <row r="254" spans="1:10" x14ac:dyDescent="0.3">
      <c r="A254" s="201">
        <f t="shared" si="12"/>
        <v>50635</v>
      </c>
      <c r="B254" s="31"/>
      <c r="C254" s="194" t="s">
        <v>87</v>
      </c>
      <c r="D254" s="195">
        <v>4382</v>
      </c>
      <c r="E254" s="195">
        <v>6390</v>
      </c>
      <c r="F254" s="196">
        <v>14.68</v>
      </c>
      <c r="H254" s="202">
        <f t="shared" si="13"/>
        <v>0.14679999999999999</v>
      </c>
      <c r="I254" s="203">
        <f t="shared" si="14"/>
        <v>1.1480016625699418E-2</v>
      </c>
      <c r="J254" s="203">
        <f t="shared" si="15"/>
        <v>5.1898104464331851E-4</v>
      </c>
    </row>
    <row r="255" spans="1:10" x14ac:dyDescent="0.3">
      <c r="A255" s="201">
        <f t="shared" si="12"/>
        <v>50696</v>
      </c>
      <c r="B255" s="31"/>
      <c r="C255" s="194" t="s">
        <v>87</v>
      </c>
      <c r="D255" s="195">
        <v>4443</v>
      </c>
      <c r="E255" s="195">
        <v>6481</v>
      </c>
      <c r="F255" s="196">
        <v>14.68</v>
      </c>
      <c r="H255" s="202">
        <f t="shared" si="13"/>
        <v>0.14679999999999999</v>
      </c>
      <c r="I255" s="203">
        <f t="shared" si="14"/>
        <v>1.1480016625699418E-2</v>
      </c>
      <c r="J255" s="203">
        <f t="shared" si="15"/>
        <v>5.1898104464331851E-4</v>
      </c>
    </row>
    <row r="256" spans="1:10" x14ac:dyDescent="0.3">
      <c r="A256" s="201">
        <f t="shared" si="12"/>
        <v>50760</v>
      </c>
      <c r="B256" s="31"/>
      <c r="C256" s="194" t="s">
        <v>87</v>
      </c>
      <c r="D256" s="195">
        <v>4507</v>
      </c>
      <c r="E256" s="195">
        <v>6572</v>
      </c>
      <c r="F256" s="196">
        <v>14.68</v>
      </c>
      <c r="H256" s="202">
        <f t="shared" si="13"/>
        <v>0.14679999999999999</v>
      </c>
      <c r="I256" s="203">
        <f t="shared" si="14"/>
        <v>1.1480016625699418E-2</v>
      </c>
      <c r="J256" s="203">
        <f t="shared" si="15"/>
        <v>5.1898104464331851E-4</v>
      </c>
    </row>
    <row r="257" spans="1:10" x14ac:dyDescent="0.3">
      <c r="A257" s="201">
        <f t="shared" si="12"/>
        <v>50823</v>
      </c>
      <c r="B257" s="31"/>
      <c r="C257" s="194" t="s">
        <v>87</v>
      </c>
      <c r="D257" s="195">
        <v>4570</v>
      </c>
      <c r="E257" s="195">
        <v>6665</v>
      </c>
      <c r="F257" s="196">
        <v>14.68</v>
      </c>
      <c r="H257" s="202">
        <f t="shared" si="13"/>
        <v>0.14679999999999999</v>
      </c>
      <c r="I257" s="203">
        <f t="shared" si="14"/>
        <v>1.1480016625699418E-2</v>
      </c>
      <c r="J257" s="203">
        <f t="shared" si="15"/>
        <v>5.1898104464331851E-4</v>
      </c>
    </row>
    <row r="258" spans="1:10" x14ac:dyDescent="0.3">
      <c r="A258" s="201">
        <f t="shared" si="12"/>
        <v>50888</v>
      </c>
      <c r="B258" s="31"/>
      <c r="C258" s="194" t="s">
        <v>87</v>
      </c>
      <c r="D258" s="195">
        <v>4635</v>
      </c>
      <c r="E258" s="195">
        <v>6756</v>
      </c>
      <c r="F258" s="196">
        <v>14.68</v>
      </c>
      <c r="H258" s="202">
        <f t="shared" si="13"/>
        <v>0.14679999999999999</v>
      </c>
      <c r="I258" s="203">
        <f t="shared" si="14"/>
        <v>1.1480016625699418E-2</v>
      </c>
      <c r="J258" s="203">
        <f t="shared" si="15"/>
        <v>5.1898104464331851E-4</v>
      </c>
    </row>
    <row r="259" spans="1:10" x14ac:dyDescent="0.3">
      <c r="A259" s="201">
        <f t="shared" ref="A259:A282" si="16">$A$2+D259</f>
        <v>50946</v>
      </c>
      <c r="B259" s="31"/>
      <c r="C259" s="194" t="s">
        <v>87</v>
      </c>
      <c r="D259" s="195">
        <v>4693</v>
      </c>
      <c r="E259" s="195">
        <v>6845</v>
      </c>
      <c r="F259" s="196">
        <v>14.68</v>
      </c>
      <c r="H259" s="202">
        <f t="shared" ref="H259:H282" si="17">F259/100</f>
        <v>0.14679999999999999</v>
      </c>
      <c r="I259" s="203">
        <f t="shared" ref="I259:I282" si="18">(1+H259)^(1/12)-1</f>
        <v>1.1480016625699418E-2</v>
      </c>
      <c r="J259" s="203">
        <f t="shared" ref="J259:J282" si="19">(1+I259)^(1/22)-1</f>
        <v>5.1898104464331851E-4</v>
      </c>
    </row>
    <row r="260" spans="1:10" x14ac:dyDescent="0.3">
      <c r="A260" s="201">
        <f t="shared" si="16"/>
        <v>51011</v>
      </c>
      <c r="B260" s="31"/>
      <c r="C260" s="194" t="s">
        <v>87</v>
      </c>
      <c r="D260" s="195">
        <v>4758</v>
      </c>
      <c r="E260" s="195">
        <v>6937</v>
      </c>
      <c r="F260" s="196">
        <v>14.68</v>
      </c>
      <c r="H260" s="202">
        <f t="shared" si="17"/>
        <v>0.14679999999999999</v>
      </c>
      <c r="I260" s="203">
        <f t="shared" si="18"/>
        <v>1.1480016625699418E-2</v>
      </c>
      <c r="J260" s="203">
        <f t="shared" si="19"/>
        <v>5.1898104464331851E-4</v>
      </c>
    </row>
    <row r="261" spans="1:10" x14ac:dyDescent="0.3">
      <c r="A261" s="201">
        <f t="shared" si="16"/>
        <v>51134</v>
      </c>
      <c r="B261" s="31"/>
      <c r="C261" s="194" t="s">
        <v>87</v>
      </c>
      <c r="D261" s="195">
        <v>4881</v>
      </c>
      <c r="E261" s="195">
        <v>7121</v>
      </c>
      <c r="F261" s="196">
        <v>14.67</v>
      </c>
      <c r="H261" s="202">
        <f t="shared" si="17"/>
        <v>0.1467</v>
      </c>
      <c r="I261" s="203">
        <f t="shared" si="18"/>
        <v>1.1472666314369384E-2</v>
      </c>
      <c r="J261" s="203">
        <f t="shared" si="19"/>
        <v>5.1865055900979229E-4</v>
      </c>
    </row>
    <row r="262" spans="1:10" x14ac:dyDescent="0.3">
      <c r="A262" s="201">
        <f t="shared" si="16"/>
        <v>51189</v>
      </c>
      <c r="B262" s="31"/>
      <c r="C262" s="194" t="s">
        <v>87</v>
      </c>
      <c r="D262" s="195">
        <v>4936</v>
      </c>
      <c r="E262" s="195">
        <v>7202</v>
      </c>
      <c r="F262" s="196">
        <v>14.67</v>
      </c>
      <c r="H262" s="202">
        <f t="shared" si="17"/>
        <v>0.1467</v>
      </c>
      <c r="I262" s="203">
        <f t="shared" si="18"/>
        <v>1.1472666314369384E-2</v>
      </c>
      <c r="J262" s="203">
        <f t="shared" si="19"/>
        <v>5.1865055900979229E-4</v>
      </c>
    </row>
    <row r="263" spans="1:10" x14ac:dyDescent="0.3">
      <c r="A263" s="201">
        <f t="shared" si="16"/>
        <v>51260</v>
      </c>
      <c r="B263" s="31"/>
      <c r="C263" s="194" t="s">
        <v>87</v>
      </c>
      <c r="D263" s="195">
        <v>5007</v>
      </c>
      <c r="E263" s="195">
        <v>7302</v>
      </c>
      <c r="F263" s="196">
        <v>14.67</v>
      </c>
      <c r="H263" s="202">
        <f t="shared" si="17"/>
        <v>0.1467</v>
      </c>
      <c r="I263" s="203">
        <f t="shared" si="18"/>
        <v>1.1472666314369384E-2</v>
      </c>
      <c r="J263" s="203">
        <f t="shared" si="19"/>
        <v>5.1865055900979229E-4</v>
      </c>
    </row>
    <row r="264" spans="1:10" x14ac:dyDescent="0.3">
      <c r="A264" s="201">
        <f t="shared" si="16"/>
        <v>51385</v>
      </c>
      <c r="B264" s="31"/>
      <c r="C264" s="194" t="s">
        <v>87</v>
      </c>
      <c r="D264" s="195">
        <v>5132</v>
      </c>
      <c r="E264" s="195">
        <v>7486</v>
      </c>
      <c r="F264" s="196">
        <v>14.67</v>
      </c>
      <c r="H264" s="202">
        <f t="shared" si="17"/>
        <v>0.1467</v>
      </c>
      <c r="I264" s="203">
        <f t="shared" si="18"/>
        <v>1.1472666314369384E-2</v>
      </c>
      <c r="J264" s="203">
        <f t="shared" si="19"/>
        <v>5.1865055900979229E-4</v>
      </c>
    </row>
    <row r="265" spans="1:10" x14ac:dyDescent="0.3">
      <c r="A265" s="201">
        <f t="shared" si="16"/>
        <v>51509</v>
      </c>
      <c r="B265" s="31"/>
      <c r="C265" s="194" t="s">
        <v>87</v>
      </c>
      <c r="D265" s="195">
        <v>5256</v>
      </c>
      <c r="E265" s="195">
        <v>7667</v>
      </c>
      <c r="F265" s="196">
        <v>14.67</v>
      </c>
      <c r="H265" s="202">
        <f t="shared" si="17"/>
        <v>0.1467</v>
      </c>
      <c r="I265" s="203">
        <f t="shared" si="18"/>
        <v>1.1472666314369384E-2</v>
      </c>
      <c r="J265" s="203">
        <f t="shared" si="19"/>
        <v>5.1865055900979229E-4</v>
      </c>
    </row>
    <row r="266" spans="1:10" x14ac:dyDescent="0.3">
      <c r="A266" s="201">
        <f t="shared" si="16"/>
        <v>51637</v>
      </c>
      <c r="B266" s="31"/>
      <c r="C266" s="194" t="s">
        <v>87</v>
      </c>
      <c r="D266" s="195">
        <v>5384</v>
      </c>
      <c r="E266" s="195">
        <v>7855</v>
      </c>
      <c r="F266" s="196">
        <v>14.66</v>
      </c>
      <c r="H266" s="202">
        <f t="shared" si="17"/>
        <v>0.14660000000000001</v>
      </c>
      <c r="I266" s="203">
        <f t="shared" si="18"/>
        <v>1.1465315415435606E-2</v>
      </c>
      <c r="J266" s="203">
        <f t="shared" si="19"/>
        <v>5.183200446636782E-4</v>
      </c>
    </row>
    <row r="267" spans="1:10" x14ac:dyDescent="0.3">
      <c r="A267" s="201">
        <f t="shared" si="16"/>
        <v>51761</v>
      </c>
      <c r="B267" s="31"/>
      <c r="C267" s="194" t="s">
        <v>87</v>
      </c>
      <c r="D267" s="195">
        <v>5508</v>
      </c>
      <c r="E267" s="195">
        <v>8035</v>
      </c>
      <c r="F267" s="196">
        <v>14.66</v>
      </c>
      <c r="H267" s="202">
        <f t="shared" si="17"/>
        <v>0.14660000000000001</v>
      </c>
      <c r="I267" s="203">
        <f t="shared" si="18"/>
        <v>1.1465315415435606E-2</v>
      </c>
      <c r="J267" s="203">
        <f t="shared" si="19"/>
        <v>5.183200446636782E-4</v>
      </c>
    </row>
    <row r="268" spans="1:10" x14ac:dyDescent="0.3">
      <c r="A268" s="201">
        <f t="shared" si="16"/>
        <v>51885</v>
      </c>
      <c r="B268" s="31"/>
      <c r="C268" s="194" t="s">
        <v>87</v>
      </c>
      <c r="D268" s="195">
        <v>5632</v>
      </c>
      <c r="E268" s="195">
        <v>8217</v>
      </c>
      <c r="F268" s="196">
        <v>14.66</v>
      </c>
      <c r="H268" s="202">
        <f t="shared" si="17"/>
        <v>0.14660000000000001</v>
      </c>
      <c r="I268" s="203">
        <f t="shared" si="18"/>
        <v>1.1465315415435606E-2</v>
      </c>
      <c r="J268" s="203">
        <f t="shared" si="19"/>
        <v>5.183200446636782E-4</v>
      </c>
    </row>
    <row r="269" spans="1:10" x14ac:dyDescent="0.3">
      <c r="A269" s="201">
        <f t="shared" si="16"/>
        <v>52010</v>
      </c>
      <c r="B269" s="31"/>
      <c r="C269" s="194" t="s">
        <v>87</v>
      </c>
      <c r="D269" s="195">
        <v>5757</v>
      </c>
      <c r="E269" s="195">
        <v>8399</v>
      </c>
      <c r="F269" s="196">
        <v>14.66</v>
      </c>
      <c r="H269" s="202">
        <f t="shared" si="17"/>
        <v>0.14660000000000001</v>
      </c>
      <c r="I269" s="203">
        <f t="shared" si="18"/>
        <v>1.1465315415435606E-2</v>
      </c>
      <c r="J269" s="203">
        <f t="shared" si="19"/>
        <v>5.183200446636782E-4</v>
      </c>
    </row>
    <row r="270" spans="1:10" x14ac:dyDescent="0.3">
      <c r="A270" s="201">
        <f t="shared" si="16"/>
        <v>52137</v>
      </c>
      <c r="B270" s="31"/>
      <c r="C270" s="194" t="s">
        <v>87</v>
      </c>
      <c r="D270" s="195">
        <v>5884</v>
      </c>
      <c r="E270" s="195">
        <v>8582</v>
      </c>
      <c r="F270" s="196">
        <v>14.66</v>
      </c>
      <c r="H270" s="202">
        <f t="shared" si="17"/>
        <v>0.14660000000000001</v>
      </c>
      <c r="I270" s="203">
        <f t="shared" si="18"/>
        <v>1.1465315415435606E-2</v>
      </c>
      <c r="J270" s="203">
        <f t="shared" si="19"/>
        <v>5.183200446636782E-4</v>
      </c>
    </row>
    <row r="271" spans="1:10" x14ac:dyDescent="0.3">
      <c r="A271" s="201">
        <f t="shared" si="16"/>
        <v>52261</v>
      </c>
      <c r="B271" s="31"/>
      <c r="C271" s="194" t="s">
        <v>87</v>
      </c>
      <c r="D271" s="195">
        <v>6008</v>
      </c>
      <c r="E271" s="195">
        <v>8763</v>
      </c>
      <c r="F271" s="196">
        <v>14.66</v>
      </c>
      <c r="H271" s="202">
        <f t="shared" si="17"/>
        <v>0.14660000000000001</v>
      </c>
      <c r="I271" s="203">
        <f t="shared" si="18"/>
        <v>1.1465315415435606E-2</v>
      </c>
      <c r="J271" s="203">
        <f t="shared" si="19"/>
        <v>5.183200446636782E-4</v>
      </c>
    </row>
    <row r="272" spans="1:10" x14ac:dyDescent="0.3">
      <c r="A272" s="201">
        <f t="shared" si="16"/>
        <v>52424</v>
      </c>
      <c r="B272" s="31"/>
      <c r="C272" s="194" t="s">
        <v>87</v>
      </c>
      <c r="D272" s="195">
        <v>6171</v>
      </c>
      <c r="E272" s="195">
        <v>9001</v>
      </c>
      <c r="F272" s="196">
        <v>14.65</v>
      </c>
      <c r="H272" s="202">
        <f t="shared" si="17"/>
        <v>0.14649999999999999</v>
      </c>
      <c r="I272" s="203">
        <f t="shared" si="18"/>
        <v>1.1457963928799497E-2</v>
      </c>
      <c r="J272" s="203">
        <f t="shared" si="19"/>
        <v>5.1798950159986923E-4</v>
      </c>
    </row>
    <row r="273" spans="1:10" x14ac:dyDescent="0.3">
      <c r="A273" s="201">
        <f t="shared" si="16"/>
        <v>53450</v>
      </c>
      <c r="B273" s="31"/>
      <c r="C273" s="194" t="s">
        <v>87</v>
      </c>
      <c r="D273" s="195">
        <v>7197</v>
      </c>
      <c r="E273" s="195">
        <v>10499</v>
      </c>
      <c r="F273" s="196">
        <v>14.64</v>
      </c>
      <c r="H273" s="202">
        <f t="shared" si="17"/>
        <v>0.1464</v>
      </c>
      <c r="I273" s="203">
        <f t="shared" si="18"/>
        <v>1.1450611854363135E-2</v>
      </c>
      <c r="J273" s="203">
        <f t="shared" si="19"/>
        <v>5.1765892981348038E-4</v>
      </c>
    </row>
    <row r="274" spans="1:10" x14ac:dyDescent="0.3">
      <c r="A274" s="201">
        <f t="shared" si="16"/>
        <v>53658</v>
      </c>
      <c r="B274" s="31"/>
      <c r="C274" s="194" t="s">
        <v>87</v>
      </c>
      <c r="D274" s="195">
        <v>7405</v>
      </c>
      <c r="E274" s="195">
        <v>10800</v>
      </c>
      <c r="F274" s="196">
        <v>14.64</v>
      </c>
      <c r="H274" s="202">
        <f t="shared" si="17"/>
        <v>0.1464</v>
      </c>
      <c r="I274" s="203">
        <f t="shared" si="18"/>
        <v>1.1450611854363135E-2</v>
      </c>
      <c r="J274" s="203">
        <f t="shared" si="19"/>
        <v>5.1765892981348038E-4</v>
      </c>
    </row>
    <row r="275" spans="1:10" x14ac:dyDescent="0.3">
      <c r="A275" s="201">
        <f t="shared" si="16"/>
        <v>54767</v>
      </c>
      <c r="B275" s="31"/>
      <c r="C275" s="197" t="s">
        <v>87</v>
      </c>
      <c r="D275" s="198">
        <v>8514</v>
      </c>
      <c r="E275" s="198">
        <v>12417</v>
      </c>
      <c r="F275" s="199">
        <v>14.63</v>
      </c>
      <c r="H275" s="202">
        <f t="shared" si="17"/>
        <v>0.14630000000000001</v>
      </c>
      <c r="I275" s="203">
        <f t="shared" si="18"/>
        <v>1.144325919202771E-2</v>
      </c>
      <c r="J275" s="203">
        <f t="shared" si="19"/>
        <v>5.1732832929940464E-4</v>
      </c>
    </row>
    <row r="276" spans="1:10" x14ac:dyDescent="0.3">
      <c r="A276" s="201">
        <f t="shared" si="16"/>
        <v>46253</v>
      </c>
      <c r="B276" s="31"/>
      <c r="H276" s="202">
        <f t="shared" si="17"/>
        <v>0</v>
      </c>
      <c r="I276" s="203">
        <f t="shared" si="18"/>
        <v>0</v>
      </c>
      <c r="J276" s="203">
        <f t="shared" si="19"/>
        <v>0</v>
      </c>
    </row>
    <row r="277" spans="1:10" x14ac:dyDescent="0.3">
      <c r="A277" s="201">
        <f t="shared" si="16"/>
        <v>46253</v>
      </c>
      <c r="B277" s="31"/>
      <c r="H277" s="202">
        <f t="shared" si="17"/>
        <v>0</v>
      </c>
      <c r="I277" s="203">
        <f t="shared" si="18"/>
        <v>0</v>
      </c>
      <c r="J277" s="203">
        <f t="shared" si="19"/>
        <v>0</v>
      </c>
    </row>
    <row r="278" spans="1:10" x14ac:dyDescent="0.3">
      <c r="A278" s="201">
        <f t="shared" si="16"/>
        <v>46253</v>
      </c>
      <c r="B278" s="31"/>
      <c r="H278" s="202">
        <f t="shared" si="17"/>
        <v>0</v>
      </c>
      <c r="I278" s="203">
        <f t="shared" si="18"/>
        <v>0</v>
      </c>
      <c r="J278" s="203">
        <f t="shared" si="19"/>
        <v>0</v>
      </c>
    </row>
    <row r="279" spans="1:10" x14ac:dyDescent="0.3">
      <c r="A279" s="201">
        <f t="shared" si="16"/>
        <v>46253</v>
      </c>
      <c r="B279" s="31"/>
      <c r="H279" s="202">
        <f t="shared" si="17"/>
        <v>0</v>
      </c>
      <c r="I279" s="203">
        <f t="shared" si="18"/>
        <v>0</v>
      </c>
      <c r="J279" s="203">
        <f t="shared" si="19"/>
        <v>0</v>
      </c>
    </row>
    <row r="280" spans="1:10" x14ac:dyDescent="0.3">
      <c r="A280" s="201">
        <f t="shared" si="16"/>
        <v>46253</v>
      </c>
      <c r="B280" s="31"/>
      <c r="H280" s="202">
        <f t="shared" si="17"/>
        <v>0</v>
      </c>
      <c r="I280" s="203">
        <f t="shared" si="18"/>
        <v>0</v>
      </c>
      <c r="J280" s="203">
        <f t="shared" si="19"/>
        <v>0</v>
      </c>
    </row>
    <row r="281" spans="1:10" x14ac:dyDescent="0.3">
      <c r="A281" s="201">
        <f t="shared" si="16"/>
        <v>46253</v>
      </c>
      <c r="B281" s="31"/>
      <c r="H281" s="202">
        <f t="shared" si="17"/>
        <v>0</v>
      </c>
      <c r="I281" s="203">
        <f t="shared" si="18"/>
        <v>0</v>
      </c>
      <c r="J281" s="203">
        <f t="shared" si="19"/>
        <v>0</v>
      </c>
    </row>
    <row r="282" spans="1:10" x14ac:dyDescent="0.3">
      <c r="A282" s="201">
        <f t="shared" si="16"/>
        <v>46253</v>
      </c>
      <c r="B282" s="31"/>
      <c r="H282" s="202">
        <f t="shared" si="17"/>
        <v>0</v>
      </c>
      <c r="I282" s="203">
        <f t="shared" si="18"/>
        <v>0</v>
      </c>
      <c r="J282" s="203">
        <f t="shared" si="19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4674-6CDF-41F6-831B-ADA3C7ABEF65}">
  <sheetPr codeName="Planilha5">
    <tabColor rgb="FFFF0000"/>
  </sheetPr>
  <dimension ref="B1:BN72"/>
  <sheetViews>
    <sheetView showGridLines="0" tabSelected="1" workbookViewId="0">
      <selection activeCell="D10" sqref="D10"/>
    </sheetView>
  </sheetViews>
  <sheetFormatPr defaultRowHeight="16.5" x14ac:dyDescent="0.3"/>
  <cols>
    <col min="2" max="2" width="45.5" style="27" bestFit="1" customWidth="1"/>
    <col min="3" max="3" width="25.5" style="27" bestFit="1" customWidth="1"/>
    <col min="4" max="5" width="18.625" bestFit="1" customWidth="1"/>
    <col min="6" max="6" width="16.875" bestFit="1" customWidth="1"/>
    <col min="7" max="7" width="22" bestFit="1" customWidth="1"/>
    <col min="8" max="10" width="16.875" bestFit="1" customWidth="1"/>
    <col min="11" max="13" width="24.625" bestFit="1" customWidth="1"/>
    <col min="14" max="15" width="23.875" bestFit="1" customWidth="1"/>
    <col min="16" max="16" width="16.875" bestFit="1" customWidth="1"/>
    <col min="17" max="17" width="23.875" bestFit="1" customWidth="1"/>
    <col min="18" max="19" width="24.25" bestFit="1" customWidth="1"/>
    <col min="20" max="20" width="24.625" bestFit="1" customWidth="1"/>
    <col min="21" max="21" width="25.125" bestFit="1" customWidth="1"/>
    <col min="22" max="22" width="16.875" bestFit="1" customWidth="1"/>
    <col min="23" max="23" width="23.375" bestFit="1" customWidth="1"/>
    <col min="24" max="24" width="24.25" bestFit="1" customWidth="1"/>
    <col min="25" max="25" width="23.875" bestFit="1" customWidth="1"/>
    <col min="26" max="27" width="25.125" bestFit="1" customWidth="1"/>
    <col min="28" max="28" width="16.875" bestFit="1" customWidth="1"/>
    <col min="29" max="29" width="24.625" bestFit="1" customWidth="1"/>
    <col min="30" max="30" width="24.25" bestFit="1" customWidth="1"/>
    <col min="31" max="32" width="25.125" bestFit="1" customWidth="1"/>
    <col min="33" max="33" width="24.625" bestFit="1" customWidth="1"/>
    <col min="34" max="34" width="16.875" bestFit="1" customWidth="1"/>
    <col min="35" max="37" width="25.125" bestFit="1" customWidth="1"/>
    <col min="38" max="38" width="24.625" bestFit="1" customWidth="1"/>
    <col min="39" max="39" width="25.125" bestFit="1" customWidth="1"/>
    <col min="40" max="40" width="16.875" bestFit="1" customWidth="1"/>
    <col min="41" max="41" width="25.125" bestFit="1" customWidth="1"/>
    <col min="42" max="42" width="24.625" bestFit="1" customWidth="1"/>
    <col min="43" max="44" width="24.25" bestFit="1" customWidth="1"/>
    <col min="45" max="45" width="24.625" bestFit="1" customWidth="1"/>
    <col min="46" max="46" width="16.875" bestFit="1" customWidth="1"/>
    <col min="47" max="47" width="24.25" bestFit="1" customWidth="1"/>
    <col min="48" max="50" width="25.125" bestFit="1" customWidth="1"/>
    <col min="51" max="51" width="24.625" bestFit="1" customWidth="1"/>
    <col min="52" max="52" width="16.875" bestFit="1" customWidth="1"/>
    <col min="53" max="53" width="25.5" bestFit="1" customWidth="1"/>
    <col min="54" max="54" width="24.625" bestFit="1" customWidth="1"/>
    <col min="55" max="55" width="25.5" bestFit="1" customWidth="1"/>
    <col min="56" max="56" width="25.125" bestFit="1" customWidth="1"/>
    <col min="57" max="57" width="24.625" bestFit="1" customWidth="1"/>
    <col min="58" max="58" width="16.875" bestFit="1" customWidth="1"/>
    <col min="59" max="63" width="25.5" bestFit="1" customWidth="1"/>
    <col min="65" max="66" width="12" bestFit="1" customWidth="1"/>
  </cols>
  <sheetData>
    <row r="1" spans="2:63" x14ac:dyDescent="0.3">
      <c r="D1" t="s">
        <v>145</v>
      </c>
    </row>
    <row r="2" spans="2:63" x14ac:dyDescent="0.3">
      <c r="C2" s="27">
        <v>0</v>
      </c>
      <c r="D2" s="26">
        <v>1</v>
      </c>
      <c r="E2" s="26">
        <f>D2+1</f>
        <v>2</v>
      </c>
      <c r="F2" s="26">
        <f t="shared" ref="F2:BK2" si="0">E2+1</f>
        <v>3</v>
      </c>
      <c r="G2" s="26">
        <f t="shared" si="0"/>
        <v>4</v>
      </c>
      <c r="H2" s="26">
        <f t="shared" si="0"/>
        <v>5</v>
      </c>
      <c r="I2" s="26">
        <f t="shared" si="0"/>
        <v>6</v>
      </c>
      <c r="J2" s="26">
        <f t="shared" si="0"/>
        <v>7</v>
      </c>
      <c r="K2" s="26">
        <f t="shared" si="0"/>
        <v>8</v>
      </c>
      <c r="L2" s="26">
        <f t="shared" si="0"/>
        <v>9</v>
      </c>
      <c r="M2" s="26">
        <f t="shared" si="0"/>
        <v>10</v>
      </c>
      <c r="N2" s="26">
        <f t="shared" si="0"/>
        <v>11</v>
      </c>
      <c r="O2" s="26">
        <f t="shared" si="0"/>
        <v>12</v>
      </c>
      <c r="P2" s="26">
        <f t="shared" si="0"/>
        <v>13</v>
      </c>
      <c r="Q2" s="26">
        <f t="shared" si="0"/>
        <v>14</v>
      </c>
      <c r="R2" s="26">
        <f t="shared" si="0"/>
        <v>15</v>
      </c>
      <c r="S2" s="26">
        <f t="shared" si="0"/>
        <v>16</v>
      </c>
      <c r="T2" s="26">
        <f t="shared" si="0"/>
        <v>17</v>
      </c>
      <c r="U2" s="26">
        <f t="shared" si="0"/>
        <v>18</v>
      </c>
      <c r="V2" s="26">
        <f t="shared" si="0"/>
        <v>19</v>
      </c>
      <c r="W2" s="26">
        <f t="shared" si="0"/>
        <v>20</v>
      </c>
      <c r="X2" s="26">
        <f t="shared" si="0"/>
        <v>21</v>
      </c>
      <c r="Y2" s="26">
        <f t="shared" si="0"/>
        <v>22</v>
      </c>
      <c r="Z2" s="26">
        <f t="shared" si="0"/>
        <v>23</v>
      </c>
      <c r="AA2" s="26">
        <f t="shared" si="0"/>
        <v>24</v>
      </c>
      <c r="AB2" s="26">
        <f t="shared" si="0"/>
        <v>25</v>
      </c>
      <c r="AC2" s="26">
        <f t="shared" si="0"/>
        <v>26</v>
      </c>
      <c r="AD2" s="26">
        <f t="shared" si="0"/>
        <v>27</v>
      </c>
      <c r="AE2" s="26">
        <f t="shared" si="0"/>
        <v>28</v>
      </c>
      <c r="AF2" s="26">
        <f t="shared" si="0"/>
        <v>29</v>
      </c>
      <c r="AG2" s="26">
        <f t="shared" si="0"/>
        <v>30</v>
      </c>
      <c r="AH2" s="26">
        <f t="shared" si="0"/>
        <v>31</v>
      </c>
      <c r="AI2" s="26">
        <f t="shared" si="0"/>
        <v>32</v>
      </c>
      <c r="AJ2" s="26">
        <f t="shared" si="0"/>
        <v>33</v>
      </c>
      <c r="AK2" s="26">
        <f t="shared" si="0"/>
        <v>34</v>
      </c>
      <c r="AL2" s="26">
        <f t="shared" si="0"/>
        <v>35</v>
      </c>
      <c r="AM2" s="26">
        <f t="shared" si="0"/>
        <v>36</v>
      </c>
      <c r="AN2" s="26">
        <f t="shared" si="0"/>
        <v>37</v>
      </c>
      <c r="AO2" s="26">
        <f t="shared" si="0"/>
        <v>38</v>
      </c>
      <c r="AP2" s="26">
        <f t="shared" si="0"/>
        <v>39</v>
      </c>
      <c r="AQ2" s="26">
        <f t="shared" si="0"/>
        <v>40</v>
      </c>
      <c r="AR2" s="26">
        <f t="shared" si="0"/>
        <v>41</v>
      </c>
      <c r="AS2" s="26">
        <f t="shared" si="0"/>
        <v>42</v>
      </c>
      <c r="AT2" s="26">
        <f t="shared" si="0"/>
        <v>43</v>
      </c>
      <c r="AU2" s="26">
        <f t="shared" si="0"/>
        <v>44</v>
      </c>
      <c r="AV2" s="26">
        <f t="shared" si="0"/>
        <v>45</v>
      </c>
      <c r="AW2" s="26">
        <f t="shared" si="0"/>
        <v>46</v>
      </c>
      <c r="AX2" s="26">
        <f t="shared" si="0"/>
        <v>47</v>
      </c>
      <c r="AY2" s="26">
        <f t="shared" si="0"/>
        <v>48</v>
      </c>
      <c r="AZ2" s="26">
        <f t="shared" si="0"/>
        <v>49</v>
      </c>
      <c r="BA2" s="26">
        <f t="shared" si="0"/>
        <v>50</v>
      </c>
      <c r="BB2" s="26">
        <f t="shared" si="0"/>
        <v>51</v>
      </c>
      <c r="BC2" s="26">
        <f t="shared" si="0"/>
        <v>52</v>
      </c>
      <c r="BD2" s="26">
        <f t="shared" si="0"/>
        <v>53</v>
      </c>
      <c r="BE2" s="26">
        <f t="shared" si="0"/>
        <v>54</v>
      </c>
      <c r="BF2" s="26">
        <f t="shared" si="0"/>
        <v>55</v>
      </c>
      <c r="BG2" s="26">
        <f t="shared" si="0"/>
        <v>56</v>
      </c>
      <c r="BH2" s="26">
        <f t="shared" si="0"/>
        <v>57</v>
      </c>
      <c r="BI2" s="26">
        <f t="shared" si="0"/>
        <v>58</v>
      </c>
      <c r="BJ2" s="26">
        <f t="shared" si="0"/>
        <v>59</v>
      </c>
      <c r="BK2" s="26">
        <f t="shared" si="0"/>
        <v>60</v>
      </c>
    </row>
    <row r="3" spans="2:63" s="26" customFormat="1" x14ac:dyDescent="0.3">
      <c r="B3" s="27"/>
      <c r="C3" s="31">
        <f>Inputs!B3</f>
        <v>46253</v>
      </c>
      <c r="D3" s="117">
        <f>DATE(YEAR(Inputs!B3),MONTH(Inputs!B3),DAY(EOMONTH(Inputs!B3,0)))</f>
        <v>46265</v>
      </c>
      <c r="E3" s="117">
        <f>DATE(YEAR(Inputs!B3),MONTH(Inputs!B3)+1,DAY(EOMONTH(Inputs!B3,1)))</f>
        <v>46295</v>
      </c>
      <c r="F3" s="117">
        <f>DATE(YEAR(E3),MONTH(E3)+1,DAY(EOMONTH(E3,1)))</f>
        <v>46326</v>
      </c>
      <c r="G3" s="117">
        <f>DATE(YEAR(F3),MONTH(F3)+1,DAY(EOMONTH(F3,1)))</f>
        <v>46356</v>
      </c>
      <c r="H3" s="117">
        <f t="shared" ref="H3:BK3" si="1">DATE(YEAR(G3),MONTH(G3)+1,DAY(EOMONTH(G3,1)))</f>
        <v>46387</v>
      </c>
      <c r="I3" s="117">
        <f t="shared" si="1"/>
        <v>46418</v>
      </c>
      <c r="J3" s="117">
        <f t="shared" si="1"/>
        <v>46446</v>
      </c>
      <c r="K3" s="117">
        <f t="shared" si="1"/>
        <v>46477</v>
      </c>
      <c r="L3" s="117">
        <f t="shared" si="1"/>
        <v>46507</v>
      </c>
      <c r="M3" s="117">
        <f t="shared" si="1"/>
        <v>46538</v>
      </c>
      <c r="N3" s="117">
        <f t="shared" si="1"/>
        <v>46568</v>
      </c>
      <c r="O3" s="117">
        <f t="shared" si="1"/>
        <v>46599</v>
      </c>
      <c r="P3" s="117">
        <f t="shared" si="1"/>
        <v>46630</v>
      </c>
      <c r="Q3" s="117">
        <f t="shared" si="1"/>
        <v>46660</v>
      </c>
      <c r="R3" s="117">
        <f t="shared" si="1"/>
        <v>46691</v>
      </c>
      <c r="S3" s="117">
        <f t="shared" si="1"/>
        <v>46721</v>
      </c>
      <c r="T3" s="117">
        <f t="shared" si="1"/>
        <v>46752</v>
      </c>
      <c r="U3" s="117">
        <f t="shared" si="1"/>
        <v>46783</v>
      </c>
      <c r="V3" s="117">
        <f t="shared" si="1"/>
        <v>46812</v>
      </c>
      <c r="W3" s="117">
        <f t="shared" si="1"/>
        <v>46843</v>
      </c>
      <c r="X3" s="117">
        <f t="shared" si="1"/>
        <v>46873</v>
      </c>
      <c r="Y3" s="117">
        <f t="shared" si="1"/>
        <v>46904</v>
      </c>
      <c r="Z3" s="117">
        <f t="shared" si="1"/>
        <v>46934</v>
      </c>
      <c r="AA3" s="117">
        <f t="shared" si="1"/>
        <v>46965</v>
      </c>
      <c r="AB3" s="117">
        <f t="shared" si="1"/>
        <v>46996</v>
      </c>
      <c r="AC3" s="117">
        <f t="shared" si="1"/>
        <v>47026</v>
      </c>
      <c r="AD3" s="117">
        <f t="shared" si="1"/>
        <v>47057</v>
      </c>
      <c r="AE3" s="117">
        <f t="shared" si="1"/>
        <v>47087</v>
      </c>
      <c r="AF3" s="117">
        <f t="shared" si="1"/>
        <v>47118</v>
      </c>
      <c r="AG3" s="117">
        <f t="shared" si="1"/>
        <v>47149</v>
      </c>
      <c r="AH3" s="117">
        <f t="shared" si="1"/>
        <v>47177</v>
      </c>
      <c r="AI3" s="117">
        <f t="shared" si="1"/>
        <v>47208</v>
      </c>
      <c r="AJ3" s="117">
        <f t="shared" si="1"/>
        <v>47238</v>
      </c>
      <c r="AK3" s="117">
        <f t="shared" si="1"/>
        <v>47269</v>
      </c>
      <c r="AL3" s="117">
        <f t="shared" si="1"/>
        <v>47299</v>
      </c>
      <c r="AM3" s="117">
        <f t="shared" si="1"/>
        <v>47330</v>
      </c>
      <c r="AN3" s="117">
        <f t="shared" si="1"/>
        <v>47361</v>
      </c>
      <c r="AO3" s="117">
        <f t="shared" si="1"/>
        <v>47391</v>
      </c>
      <c r="AP3" s="117">
        <f t="shared" si="1"/>
        <v>47422</v>
      </c>
      <c r="AQ3" s="117">
        <f t="shared" si="1"/>
        <v>47452</v>
      </c>
      <c r="AR3" s="117">
        <f t="shared" si="1"/>
        <v>47483</v>
      </c>
      <c r="AS3" s="117">
        <f t="shared" si="1"/>
        <v>47514</v>
      </c>
      <c r="AT3" s="117">
        <f t="shared" si="1"/>
        <v>47542</v>
      </c>
      <c r="AU3" s="117">
        <f t="shared" si="1"/>
        <v>47573</v>
      </c>
      <c r="AV3" s="117">
        <f t="shared" si="1"/>
        <v>47603</v>
      </c>
      <c r="AW3" s="117">
        <f t="shared" si="1"/>
        <v>47634</v>
      </c>
      <c r="AX3" s="117">
        <f t="shared" si="1"/>
        <v>47664</v>
      </c>
      <c r="AY3" s="117">
        <f t="shared" si="1"/>
        <v>47695</v>
      </c>
      <c r="AZ3" s="117">
        <f t="shared" si="1"/>
        <v>47726</v>
      </c>
      <c r="BA3" s="117">
        <f t="shared" si="1"/>
        <v>47756</v>
      </c>
      <c r="BB3" s="117">
        <f t="shared" si="1"/>
        <v>47787</v>
      </c>
      <c r="BC3" s="117">
        <f t="shared" si="1"/>
        <v>47817</v>
      </c>
      <c r="BD3" s="117">
        <f t="shared" si="1"/>
        <v>47848</v>
      </c>
      <c r="BE3" s="117">
        <f t="shared" si="1"/>
        <v>47879</v>
      </c>
      <c r="BF3" s="117">
        <f t="shared" si="1"/>
        <v>47907</v>
      </c>
      <c r="BG3" s="117">
        <f t="shared" si="1"/>
        <v>47938</v>
      </c>
      <c r="BH3" s="117">
        <f t="shared" si="1"/>
        <v>47968</v>
      </c>
      <c r="BI3" s="117">
        <f t="shared" si="1"/>
        <v>47999</v>
      </c>
      <c r="BJ3" s="117">
        <f t="shared" si="1"/>
        <v>48029</v>
      </c>
      <c r="BK3" s="117">
        <f t="shared" si="1"/>
        <v>48060</v>
      </c>
    </row>
    <row r="4" spans="2:63" s="26" customFormat="1" x14ac:dyDescent="0.3">
      <c r="B4" s="27"/>
      <c r="C4" s="27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</row>
    <row r="5" spans="2:63" s="26" customFormat="1" x14ac:dyDescent="0.3">
      <c r="B5" s="37" t="s">
        <v>108</v>
      </c>
      <c r="C5" s="37"/>
      <c r="D5" s="34">
        <f>SUM(D6:D8)</f>
        <v>10000000</v>
      </c>
      <c r="E5" s="34">
        <f t="shared" ref="E5:BK5" si="2">SUM(E6:E8)</f>
        <v>0</v>
      </c>
      <c r="F5" s="34">
        <f t="shared" si="2"/>
        <v>0</v>
      </c>
      <c r="G5" s="34">
        <f t="shared" si="2"/>
        <v>0</v>
      </c>
      <c r="H5" s="34">
        <f t="shared" si="2"/>
        <v>0</v>
      </c>
      <c r="I5" s="34">
        <f t="shared" si="2"/>
        <v>0</v>
      </c>
      <c r="J5" s="34">
        <f t="shared" si="2"/>
        <v>0</v>
      </c>
      <c r="K5" s="34">
        <f t="shared" si="2"/>
        <v>0</v>
      </c>
      <c r="L5" s="34">
        <f>SUM(L6:L8)</f>
        <v>0</v>
      </c>
      <c r="M5" s="34">
        <f t="shared" si="2"/>
        <v>0</v>
      </c>
      <c r="N5" s="34">
        <f t="shared" si="2"/>
        <v>0</v>
      </c>
      <c r="O5" s="34">
        <f t="shared" si="2"/>
        <v>0</v>
      </c>
      <c r="P5" s="34">
        <f t="shared" si="2"/>
        <v>0</v>
      </c>
      <c r="Q5" s="34">
        <f t="shared" si="2"/>
        <v>0</v>
      </c>
      <c r="R5" s="34">
        <f t="shared" si="2"/>
        <v>0</v>
      </c>
      <c r="S5" s="34">
        <f t="shared" si="2"/>
        <v>0</v>
      </c>
      <c r="T5" s="34">
        <f t="shared" si="2"/>
        <v>0</v>
      </c>
      <c r="U5" s="34">
        <f t="shared" si="2"/>
        <v>0</v>
      </c>
      <c r="V5" s="34">
        <f t="shared" si="2"/>
        <v>0</v>
      </c>
      <c r="W5" s="34">
        <f t="shared" si="2"/>
        <v>0</v>
      </c>
      <c r="X5" s="34">
        <f t="shared" si="2"/>
        <v>0</v>
      </c>
      <c r="Y5" s="34">
        <f t="shared" si="2"/>
        <v>0</v>
      </c>
      <c r="Z5" s="34">
        <f t="shared" si="2"/>
        <v>0</v>
      </c>
      <c r="AA5" s="34">
        <f t="shared" si="2"/>
        <v>0</v>
      </c>
      <c r="AB5" s="34">
        <f t="shared" si="2"/>
        <v>0</v>
      </c>
      <c r="AC5" s="34">
        <f t="shared" si="2"/>
        <v>0</v>
      </c>
      <c r="AD5" s="34">
        <f t="shared" si="2"/>
        <v>0</v>
      </c>
      <c r="AE5" s="34">
        <f t="shared" si="2"/>
        <v>0</v>
      </c>
      <c r="AF5" s="34">
        <f t="shared" si="2"/>
        <v>0</v>
      </c>
      <c r="AG5" s="34">
        <f t="shared" si="2"/>
        <v>0</v>
      </c>
      <c r="AH5" s="34">
        <f t="shared" si="2"/>
        <v>0</v>
      </c>
      <c r="AI5" s="34">
        <f t="shared" si="2"/>
        <v>0</v>
      </c>
      <c r="AJ5" s="34">
        <f t="shared" si="2"/>
        <v>0</v>
      </c>
      <c r="AK5" s="34">
        <f t="shared" si="2"/>
        <v>0</v>
      </c>
      <c r="AL5" s="34">
        <f t="shared" si="2"/>
        <v>0</v>
      </c>
      <c r="AM5" s="34">
        <f t="shared" si="2"/>
        <v>0</v>
      </c>
      <c r="AN5" s="34">
        <f t="shared" si="2"/>
        <v>0</v>
      </c>
      <c r="AO5" s="34">
        <f t="shared" si="2"/>
        <v>0</v>
      </c>
      <c r="AP5" s="34">
        <f t="shared" si="2"/>
        <v>0</v>
      </c>
      <c r="AQ5" s="34">
        <f t="shared" si="2"/>
        <v>0</v>
      </c>
      <c r="AR5" s="34">
        <f t="shared" si="2"/>
        <v>0</v>
      </c>
      <c r="AS5" s="34">
        <f t="shared" si="2"/>
        <v>0</v>
      </c>
      <c r="AT5" s="34">
        <f t="shared" si="2"/>
        <v>0</v>
      </c>
      <c r="AU5" s="34">
        <f t="shared" si="2"/>
        <v>0</v>
      </c>
      <c r="AV5" s="34">
        <f t="shared" si="2"/>
        <v>0</v>
      </c>
      <c r="AW5" s="34">
        <f t="shared" si="2"/>
        <v>0</v>
      </c>
      <c r="AX5" s="34">
        <f t="shared" si="2"/>
        <v>0</v>
      </c>
      <c r="AY5" s="34">
        <f t="shared" si="2"/>
        <v>0</v>
      </c>
      <c r="AZ5" s="34">
        <f t="shared" si="2"/>
        <v>0</v>
      </c>
      <c r="BA5" s="34">
        <f t="shared" si="2"/>
        <v>0</v>
      </c>
      <c r="BB5" s="34">
        <f t="shared" si="2"/>
        <v>0</v>
      </c>
      <c r="BC5" s="34">
        <f t="shared" si="2"/>
        <v>0</v>
      </c>
      <c r="BD5" s="34">
        <f t="shared" si="2"/>
        <v>0</v>
      </c>
      <c r="BE5" s="34">
        <f t="shared" si="2"/>
        <v>0</v>
      </c>
      <c r="BF5" s="34">
        <f t="shared" si="2"/>
        <v>0</v>
      </c>
      <c r="BG5" s="34">
        <f t="shared" si="2"/>
        <v>0</v>
      </c>
      <c r="BH5" s="34">
        <f t="shared" si="2"/>
        <v>0</v>
      </c>
      <c r="BI5" s="34">
        <f t="shared" si="2"/>
        <v>0</v>
      </c>
      <c r="BJ5" s="34">
        <f t="shared" si="2"/>
        <v>0</v>
      </c>
      <c r="BK5" s="34">
        <f t="shared" si="2"/>
        <v>0</v>
      </c>
    </row>
    <row r="6" spans="2:63" s="26" customFormat="1" x14ac:dyDescent="0.3">
      <c r="B6" s="122" t="s">
        <v>68</v>
      </c>
      <c r="C6" s="157"/>
      <c r="D6" s="258">
        <f>SUMIFS(Inputs!$E$20:$E$31,Inputs!$B$20:$B$31,"&lt;="&amp;Caixa!D3)</f>
        <v>2500000</v>
      </c>
      <c r="E6" s="258">
        <f>SUMIFS(Inputs!$E$20:$E$31,Inputs!$B$20:$B$31,"&lt;="&amp;O3,Inputs!$B$20:$B$31,"&gt;="&amp;Caixa!D3)</f>
        <v>0</v>
      </c>
      <c r="F6" s="258">
        <f>SUMIFS(Inputs!$E$20:$E$31,Inputs!$B$20:$B$31,"&lt;="&amp;Caixa!F3,Inputs!$B$20:$B$31,"&gt;="&amp;Caixa!E3)</f>
        <v>0</v>
      </c>
      <c r="G6" s="258">
        <f>SUMIFS(Inputs!$E$20:$E$31,Inputs!$B$20:$B$31,"&lt;="&amp;Caixa!G3,Inputs!$B$20:$B$31,"&gt;="&amp;Caixa!F3)</f>
        <v>0</v>
      </c>
      <c r="H6" s="258">
        <f>SUMIFS(Inputs!$E$20:$E$31,Inputs!$B$20:$B$31,"&lt;="&amp;Caixa!H3,Inputs!$B$20:$B$31,"&gt;="&amp;Caixa!G3)</f>
        <v>0</v>
      </c>
      <c r="I6" s="258">
        <f>SUMIFS(Inputs!$E$20:$E$31,Inputs!$B$20:$B$31,"&lt;="&amp;Caixa!I3,Inputs!$B$20:$B$31,"&gt;="&amp;Caixa!H3)</f>
        <v>0</v>
      </c>
      <c r="J6" s="258">
        <f>SUMIFS(Inputs!$E$20:$E$31,Inputs!$B$20:$B$31,"&lt;="&amp;Caixa!J3,Inputs!$B$20:$B$31,"&gt;="&amp;Caixa!I3)</f>
        <v>0</v>
      </c>
      <c r="K6" s="258">
        <f>SUMIFS(Inputs!$E$20:$E$31,Inputs!$B$20:$B$31,"&lt;="&amp;Caixa!K3,Inputs!$B$20:$B$31,"&gt;="&amp;Caixa!J3)</f>
        <v>0</v>
      </c>
      <c r="L6" s="258">
        <f>SUMIFS(Inputs!$E$20:$E$31,Inputs!$B$20:$B$31,"&lt;="&amp;Caixa!L3,Inputs!$B$20:$B$31,"&gt;="&amp;Caixa!K3)</f>
        <v>0</v>
      </c>
      <c r="M6" s="258">
        <f>SUMIFS(Inputs!$E$20:$E$31,Inputs!$B$20:$B$31,"&lt;="&amp;Caixa!M3,Inputs!$B$20:$B$31,"&gt;="&amp;Caixa!L3)</f>
        <v>0</v>
      </c>
      <c r="N6" s="258">
        <f>SUMIFS(Inputs!$E$20:$E$31,Inputs!$B$20:$B$31,"&lt;="&amp;Caixa!N3,Inputs!$B$20:$B$31,"&gt;="&amp;Caixa!M3)</f>
        <v>0</v>
      </c>
      <c r="O6" s="258">
        <f>SUMIFS(Inputs!$E$20:$E$31,Inputs!$B$20:$B$31,"&lt;="&amp;Caixa!O3,Inputs!$B$20:$B$31,"&gt;="&amp;Caixa!N3)</f>
        <v>0</v>
      </c>
      <c r="P6" s="258">
        <f>SUMIFS(Inputs!$E$20:$E$31,Inputs!$B$20:$B$31,"&lt;="&amp;Caixa!P3,Inputs!$B$20:$B$31,"&gt;="&amp;Caixa!O3)</f>
        <v>0</v>
      </c>
      <c r="Q6" s="258">
        <f>SUMIFS(Inputs!$E$20:$E$31,Inputs!$B$20:$B$31,"&lt;="&amp;Caixa!Q3,Inputs!$B$20:$B$31,"&gt;="&amp;Caixa!P3)</f>
        <v>0</v>
      </c>
      <c r="R6" s="258">
        <f>SUMIFS(Inputs!$E$20:$E$31,Inputs!$B$20:$B$31,"&lt;="&amp;Caixa!R3,Inputs!$B$20:$B$31,"&gt;="&amp;Caixa!Q3)</f>
        <v>0</v>
      </c>
      <c r="S6" s="258">
        <f>SUMIFS(Inputs!$E$20:$E$31,Inputs!$B$20:$B$31,"&lt;="&amp;Caixa!S3,Inputs!$B$20:$B$31,"&gt;="&amp;Caixa!R3)</f>
        <v>0</v>
      </c>
      <c r="T6" s="258">
        <f>SUMIFS(Inputs!$E$20:$E$31,Inputs!$B$20:$B$31,"&lt;="&amp;Caixa!T3,Inputs!$B$20:$B$31,"&gt;="&amp;Caixa!S3)</f>
        <v>0</v>
      </c>
      <c r="U6" s="258">
        <f>SUMIFS(Inputs!$E$20:$E$31,Inputs!$B$20:$B$31,"&lt;="&amp;Caixa!U3,Inputs!$B$20:$B$31,"&gt;="&amp;Caixa!T3)</f>
        <v>0</v>
      </c>
      <c r="V6" s="258">
        <f>SUMIFS(Inputs!$E$20:$E$31,Inputs!$B$20:$B$31,"&lt;="&amp;Caixa!V3,Inputs!$B$20:$B$31,"&gt;="&amp;Caixa!U3)</f>
        <v>0</v>
      </c>
      <c r="W6" s="258">
        <f>SUMIFS(Inputs!$E$20:$E$31,Inputs!$B$20:$B$31,"&lt;="&amp;Caixa!W3,Inputs!$B$20:$B$31,"&gt;="&amp;Caixa!V3)</f>
        <v>0</v>
      </c>
      <c r="X6" s="258">
        <f>SUMIFS(Inputs!$E$20:$E$31,Inputs!$B$20:$B$31,"&lt;="&amp;Caixa!X3,Inputs!$B$20:$B$31,"&gt;="&amp;Caixa!W3)</f>
        <v>0</v>
      </c>
      <c r="Y6" s="258">
        <f>SUMIFS(Inputs!$E$20:$E$31,Inputs!$B$20:$B$31,"&lt;="&amp;Caixa!Y3,Inputs!$B$20:$B$31,"&gt;="&amp;Caixa!X3)</f>
        <v>0</v>
      </c>
      <c r="Z6" s="258">
        <f>SUMIFS(Inputs!$E$20:$E$31,Inputs!$B$20:$B$31,"&lt;="&amp;Caixa!Z3,Inputs!$B$20:$B$31,"&gt;="&amp;Caixa!Y3)</f>
        <v>0</v>
      </c>
      <c r="AA6" s="258">
        <f>SUMIFS(Inputs!$E$20:$E$31,Inputs!$B$20:$B$31,"&lt;="&amp;Caixa!AA3,Inputs!$B$20:$B$31,"&gt;="&amp;Caixa!Z3)</f>
        <v>0</v>
      </c>
      <c r="AB6" s="258">
        <f>SUMIFS(Inputs!$E$20:$E$31,Inputs!$B$20:$B$31,"&lt;="&amp;Caixa!AB3,Inputs!$B$20:$B$31,"&gt;="&amp;Caixa!AA3)</f>
        <v>0</v>
      </c>
      <c r="AC6" s="258">
        <f>SUMIFS(Inputs!$E$20:$E$31,Inputs!$B$20:$B$31,"&lt;="&amp;Caixa!AC3,Inputs!$B$20:$B$31,"&gt;="&amp;Caixa!AB3)</f>
        <v>0</v>
      </c>
      <c r="AD6" s="258">
        <f>SUMIFS(Inputs!$E$20:$E$31,Inputs!$B$20:$B$31,"&lt;="&amp;Caixa!AD3,Inputs!$B$20:$B$31,"&gt;="&amp;Caixa!AC3)</f>
        <v>0</v>
      </c>
      <c r="AE6" s="258">
        <f>SUMIFS(Inputs!$E$20:$E$31,Inputs!$B$20:$B$31,"&lt;="&amp;Caixa!AE3,Inputs!$B$20:$B$31,"&gt;="&amp;Caixa!AD3)</f>
        <v>0</v>
      </c>
      <c r="AF6" s="258">
        <f>SUMIFS(Inputs!$E$20:$E$31,Inputs!$B$20:$B$31,"&lt;="&amp;Caixa!AF3,Inputs!$B$20:$B$31,"&gt;="&amp;Caixa!AE3)</f>
        <v>0</v>
      </c>
      <c r="AG6" s="258">
        <f>SUMIFS(Inputs!$E$20:$E$31,Inputs!$B$20:$B$31,"&lt;="&amp;Caixa!AG3,Inputs!$B$20:$B$31,"&gt;="&amp;Caixa!AF3)</f>
        <v>0</v>
      </c>
      <c r="AH6" s="258">
        <f>SUMIFS(Inputs!$E$20:$E$31,Inputs!$B$20:$B$31,"&lt;="&amp;Caixa!AH3,Inputs!$B$20:$B$31,"&gt;="&amp;Caixa!AG3)</f>
        <v>0</v>
      </c>
      <c r="AI6" s="258">
        <f>SUMIFS(Inputs!$E$20:$E$31,Inputs!$B$20:$B$31,"&lt;="&amp;Caixa!AI3,Inputs!$B$20:$B$31,"&gt;="&amp;Caixa!AH3)</f>
        <v>0</v>
      </c>
      <c r="AJ6" s="258">
        <f>SUMIFS(Inputs!$E$20:$E$31,Inputs!$B$20:$B$31,"&lt;="&amp;Caixa!AJ3,Inputs!$B$20:$B$31,"&gt;="&amp;Caixa!AI3)</f>
        <v>0</v>
      </c>
      <c r="AK6" s="258">
        <f>SUMIFS(Inputs!$E$20:$E$31,Inputs!$B$20:$B$31,"&lt;="&amp;Caixa!AK3,Inputs!$B$20:$B$31,"&gt;="&amp;Caixa!AJ3)</f>
        <v>0</v>
      </c>
      <c r="AL6" s="258">
        <f>SUMIFS(Inputs!$E$20:$E$31,Inputs!$B$20:$B$31,"&lt;="&amp;Caixa!AL3,Inputs!$B$20:$B$31,"&gt;="&amp;Caixa!AK3)</f>
        <v>0</v>
      </c>
      <c r="AM6" s="258">
        <f>SUMIFS(Inputs!$E$20:$E$31,Inputs!$B$20:$B$31,"&lt;="&amp;Caixa!AM3,Inputs!$B$20:$B$31,"&gt;="&amp;Caixa!AL3)</f>
        <v>0</v>
      </c>
      <c r="AN6" s="258">
        <f>SUMIFS(Inputs!$E$20:$E$31,Inputs!$B$20:$B$31,"&lt;="&amp;Caixa!AN3,Inputs!$B$20:$B$31,"&gt;="&amp;Caixa!AM3)</f>
        <v>0</v>
      </c>
      <c r="AO6" s="258">
        <f>SUMIFS(Inputs!$E$20:$E$31,Inputs!$B$20:$B$31,"&lt;="&amp;Caixa!AO3,Inputs!$B$20:$B$31,"&gt;="&amp;Caixa!AN3)</f>
        <v>0</v>
      </c>
      <c r="AP6" s="258">
        <f>SUMIFS(Inputs!$E$20:$E$31,Inputs!$B$20:$B$31,"&lt;="&amp;Caixa!AP3,Inputs!$B$20:$B$31,"&gt;="&amp;Caixa!AO3)</f>
        <v>0</v>
      </c>
      <c r="AQ6" s="258">
        <f>SUMIFS(Inputs!$E$20:$E$31,Inputs!$B$20:$B$31,"&lt;="&amp;Caixa!AQ3,Inputs!$B$20:$B$31,"&gt;="&amp;Caixa!AP3)</f>
        <v>0</v>
      </c>
      <c r="AR6" s="258">
        <f>SUMIFS(Inputs!$E$20:$E$31,Inputs!$B$20:$B$31,"&lt;="&amp;Caixa!AR3,Inputs!$B$20:$B$31,"&gt;="&amp;Caixa!AQ3)</f>
        <v>0</v>
      </c>
      <c r="AS6" s="258">
        <f>SUMIFS(Inputs!$E$20:$E$31,Inputs!$B$20:$B$31,"&lt;="&amp;Caixa!AS3,Inputs!$B$20:$B$31,"&gt;="&amp;Caixa!AR3)</f>
        <v>0</v>
      </c>
      <c r="AT6" s="258">
        <f>SUMIFS(Inputs!$E$20:$E$31,Inputs!$B$20:$B$31,"&lt;="&amp;Caixa!AT3,Inputs!$B$20:$B$31,"&gt;="&amp;Caixa!AS3)</f>
        <v>0</v>
      </c>
      <c r="AU6" s="258">
        <f>SUMIFS(Inputs!$E$20:$E$31,Inputs!$B$20:$B$31,"&lt;="&amp;Caixa!AU3,Inputs!$B$20:$B$31,"&gt;="&amp;Caixa!AT3)</f>
        <v>0</v>
      </c>
      <c r="AV6" s="258">
        <f>SUMIFS(Inputs!$E$20:$E$31,Inputs!$B$20:$B$31,"&lt;="&amp;Caixa!AV3,Inputs!$B$20:$B$31,"&gt;="&amp;Caixa!AU3)</f>
        <v>0</v>
      </c>
      <c r="AW6" s="258">
        <f>SUMIFS(Inputs!$E$20:$E$31,Inputs!$B$20:$B$31,"&lt;="&amp;Caixa!AW3,Inputs!$B$20:$B$31,"&gt;="&amp;Caixa!AV3)</f>
        <v>0</v>
      </c>
      <c r="AX6" s="258">
        <f>SUMIFS(Inputs!$E$20:$E$31,Inputs!$B$20:$B$31,"&lt;="&amp;Caixa!AX3,Inputs!$B$20:$B$31,"&gt;="&amp;Caixa!AW3)</f>
        <v>0</v>
      </c>
      <c r="AY6" s="258">
        <f>SUMIFS(Inputs!$E$20:$E$31,Inputs!$B$20:$B$31,"&lt;="&amp;Caixa!AY3,Inputs!$B$20:$B$31,"&gt;="&amp;Caixa!AX3)</f>
        <v>0</v>
      </c>
      <c r="AZ6" s="258">
        <f>SUMIFS(Inputs!$E$20:$E$31,Inputs!$B$20:$B$31,"&lt;="&amp;Caixa!AZ3,Inputs!$B$20:$B$31,"&gt;="&amp;Caixa!AY3)</f>
        <v>0</v>
      </c>
      <c r="BA6" s="258">
        <f>SUMIFS(Inputs!$E$20:$E$31,Inputs!$B$20:$B$31,"&lt;="&amp;Caixa!BA3,Inputs!$B$20:$B$31,"&gt;="&amp;Caixa!AZ3)</f>
        <v>0</v>
      </c>
      <c r="BB6" s="258">
        <f>SUMIFS(Inputs!$E$20:$E$31,Inputs!$B$20:$B$31,"&lt;="&amp;Caixa!BB3,Inputs!$B$20:$B$31,"&gt;="&amp;Caixa!BA3)</f>
        <v>0</v>
      </c>
      <c r="BC6" s="258">
        <f>SUMIFS(Inputs!$E$20:$E$31,Inputs!$B$20:$B$31,"&lt;="&amp;Caixa!BC3,Inputs!$B$20:$B$31,"&gt;="&amp;Caixa!BB3)</f>
        <v>0</v>
      </c>
      <c r="BD6" s="258">
        <f>SUMIFS(Inputs!$E$20:$E$31,Inputs!$B$20:$B$31,"&lt;="&amp;Caixa!BD3,Inputs!$B$20:$B$31,"&gt;="&amp;Caixa!BC3)</f>
        <v>0</v>
      </c>
      <c r="BE6" s="258">
        <f>SUMIFS(Inputs!$E$20:$E$31,Inputs!$B$20:$B$31,"&lt;="&amp;Caixa!BE3,Inputs!$B$20:$B$31,"&gt;="&amp;Caixa!BD3)</f>
        <v>0</v>
      </c>
      <c r="BF6" s="258">
        <f>SUMIFS(Inputs!$E$20:$E$31,Inputs!$B$20:$B$31,"&lt;="&amp;Caixa!BF3,Inputs!$B$20:$B$31,"&gt;="&amp;Caixa!BE3)</f>
        <v>0</v>
      </c>
      <c r="BG6" s="258">
        <f>SUMIFS(Inputs!$E$20:$E$31,Inputs!$B$20:$B$31,"&lt;="&amp;Caixa!BG3,Inputs!$B$20:$B$31,"&gt;="&amp;Caixa!BF3)</f>
        <v>0</v>
      </c>
      <c r="BH6" s="258">
        <f>SUMIFS(Inputs!$E$20:$E$31,Inputs!$B$20:$B$31,"&lt;="&amp;Caixa!BH3,Inputs!$B$20:$B$31,"&gt;="&amp;Caixa!BG3)</f>
        <v>0</v>
      </c>
      <c r="BI6" s="258">
        <f>SUMIFS(Inputs!$E$20:$E$31,Inputs!$B$20:$B$31,"&lt;="&amp;Caixa!BI3,Inputs!$B$20:$B$31,"&gt;="&amp;Caixa!BH3)</f>
        <v>0</v>
      </c>
      <c r="BJ6" s="258">
        <f>SUMIFS(Inputs!$E$20:$E$31,Inputs!$B$20:$B$31,"&lt;="&amp;Caixa!BJ3,Inputs!$B$20:$B$31,"&gt;="&amp;Caixa!BI3)</f>
        <v>0</v>
      </c>
      <c r="BK6" s="259">
        <f>SUMIFS(Inputs!$E$20:$E$31,Inputs!$B$20:$B$31,"&lt;="&amp;Caixa!BK3,Inputs!$B$20:$B$31,"&gt;="&amp;Caixa!BJ3)</f>
        <v>0</v>
      </c>
    </row>
    <row r="7" spans="2:63" s="26" customFormat="1" x14ac:dyDescent="0.3">
      <c r="B7" s="122" t="s">
        <v>71</v>
      </c>
      <c r="C7" s="157"/>
      <c r="D7" s="260">
        <f>SUMIFS(Inputs!$J$20:$J$31,Inputs!$G$20:$G$31,"&lt;="&amp;Caixa!D3)</f>
        <v>2500000</v>
      </c>
      <c r="E7" s="260">
        <f>SUMIFS(Inputs!$J$20:$J$31,Inputs!$G$20:$G$31,"&lt;="&amp;Caixa!E3,Inputs!$B$20:$B$31,"&gt;="&amp;Caixa!D3)</f>
        <v>0</v>
      </c>
      <c r="F7" s="260">
        <f>SUMIFS(Inputs!$J$20:$J$31,Inputs!$G$20:$G$31,"&lt;="&amp;Caixa!F3,Inputs!$B$20:$B$31,"&gt;="&amp;Caixa!E3)</f>
        <v>0</v>
      </c>
      <c r="G7" s="260">
        <f>SUMIFS(Inputs!$J$20:$J$31,Inputs!$G$20:$G$31,"&lt;="&amp;Caixa!G3,Inputs!$B$20:$B$31,"&gt;="&amp;Caixa!F3)</f>
        <v>0</v>
      </c>
      <c r="H7" s="260">
        <f>SUMIFS(Inputs!$J$20:$J$31,Inputs!$G$20:$G$31,"&lt;="&amp;Caixa!H3,Inputs!$B$20:$B$31,"&gt;="&amp;Caixa!G3)</f>
        <v>0</v>
      </c>
      <c r="I7" s="260">
        <f>SUMIFS(Inputs!$J$20:$J$31,Inputs!$G$20:$G$31,"&lt;="&amp;Caixa!I3,Inputs!$B$20:$B$31,"&gt;="&amp;Caixa!H3)</f>
        <v>0</v>
      </c>
      <c r="J7" s="260">
        <f>SUMIFS(Inputs!$J$20:$J$31,Inputs!$G$20:$G$31,"&lt;="&amp;Caixa!J3,Inputs!$B$20:$B$31,"&gt;="&amp;Caixa!I3)</f>
        <v>0</v>
      </c>
      <c r="K7" s="260">
        <f>SUMIFS(Inputs!$J$20:$J$31,Inputs!$G$20:$G$31,"&lt;="&amp;Caixa!K3,Inputs!$B$20:$B$31,"&gt;="&amp;Caixa!J3)</f>
        <v>0</v>
      </c>
      <c r="L7" s="260">
        <f>SUMIFS(Inputs!$J$20:$J$31,Inputs!$G$20:$G$31,"&lt;="&amp;Caixa!L3,Inputs!$B$20:$B$31,"&gt;="&amp;Caixa!K3)</f>
        <v>0</v>
      </c>
      <c r="M7" s="260">
        <f>SUMIFS(Inputs!$J$20:$J$31,Inputs!$G$20:$G$31,"&lt;="&amp;Caixa!M3,Inputs!$B$20:$B$31,"&gt;="&amp;Caixa!L3)</f>
        <v>0</v>
      </c>
      <c r="N7" s="260">
        <f>SUMIFS(Inputs!$J$20:$J$31,Inputs!$G$20:$G$31,"&lt;="&amp;Caixa!N3,Inputs!$B$20:$B$31,"&gt;="&amp;Caixa!M3)</f>
        <v>0</v>
      </c>
      <c r="O7" s="260">
        <f>SUMIFS(Inputs!$J$20:$J$31,Inputs!$G$20:$G$31,"&lt;="&amp;Caixa!O3,Inputs!$B$20:$B$31,"&gt;="&amp;Caixa!N3)</f>
        <v>0</v>
      </c>
      <c r="P7" s="260">
        <f>SUMIFS(Inputs!$J$20:$J$31,Inputs!$G$20:$G$31,"&lt;="&amp;Caixa!P3,Inputs!$B$20:$B$31,"&gt;="&amp;Caixa!O3)</f>
        <v>0</v>
      </c>
      <c r="Q7" s="260">
        <f>SUMIFS(Inputs!$J$20:$J$31,Inputs!$G$20:$G$31,"&lt;="&amp;Caixa!Q3,Inputs!$B$20:$B$31,"&gt;="&amp;Caixa!P3)</f>
        <v>0</v>
      </c>
      <c r="R7" s="260">
        <f>SUMIFS(Inputs!$J$20:$J$31,Inputs!$G$20:$G$31,"&lt;="&amp;Caixa!R3,Inputs!$B$20:$B$31,"&gt;="&amp;Caixa!Q3)</f>
        <v>0</v>
      </c>
      <c r="S7" s="260">
        <f>SUMIFS(Inputs!$J$20:$J$31,Inputs!$G$20:$G$31,"&lt;="&amp;Caixa!S3,Inputs!$B$20:$B$31,"&gt;="&amp;Caixa!R3)</f>
        <v>0</v>
      </c>
      <c r="T7" s="260">
        <f>SUMIFS(Inputs!$J$20:$J$31,Inputs!$G$20:$G$31,"&lt;="&amp;Caixa!T3,Inputs!$B$20:$B$31,"&gt;="&amp;Caixa!S3)</f>
        <v>0</v>
      </c>
      <c r="U7" s="260">
        <f>SUMIFS(Inputs!$J$20:$J$31,Inputs!$G$20:$G$31,"&lt;="&amp;Caixa!U3,Inputs!$B$20:$B$31,"&gt;="&amp;Caixa!T3)</f>
        <v>0</v>
      </c>
      <c r="V7" s="260">
        <f>SUMIFS(Inputs!$J$20:$J$31,Inputs!$G$20:$G$31,"&lt;="&amp;Caixa!V3,Inputs!$B$20:$B$31,"&gt;="&amp;Caixa!U3)</f>
        <v>0</v>
      </c>
      <c r="W7" s="260">
        <f>SUMIFS(Inputs!$J$20:$J$31,Inputs!$G$20:$G$31,"&lt;="&amp;Caixa!W3,Inputs!$B$20:$B$31,"&gt;="&amp;Caixa!V3)</f>
        <v>0</v>
      </c>
      <c r="X7" s="260">
        <f>SUMIFS(Inputs!$J$20:$J$31,Inputs!$G$20:$G$31,"&lt;="&amp;Caixa!X3,Inputs!$B$20:$B$31,"&gt;="&amp;Caixa!W3)</f>
        <v>0</v>
      </c>
      <c r="Y7" s="260">
        <f>SUMIFS(Inputs!$J$20:$J$31,Inputs!$G$20:$G$31,"&lt;="&amp;Caixa!Y3,Inputs!$B$20:$B$31,"&gt;="&amp;Caixa!X3)</f>
        <v>0</v>
      </c>
      <c r="Z7" s="260">
        <f>SUMIFS(Inputs!$J$20:$J$31,Inputs!$G$20:$G$31,"&lt;="&amp;Caixa!Z3,Inputs!$B$20:$B$31,"&gt;="&amp;Caixa!Y3)</f>
        <v>0</v>
      </c>
      <c r="AA7" s="260">
        <f>SUMIFS(Inputs!$J$20:$J$31,Inputs!$G$20:$G$31,"&lt;="&amp;Caixa!AA3,Inputs!$B$20:$B$31,"&gt;="&amp;Caixa!Z3)</f>
        <v>0</v>
      </c>
      <c r="AB7" s="260">
        <f>SUMIFS(Inputs!$J$20:$J$31,Inputs!$G$20:$G$31,"&lt;="&amp;Caixa!AB3,Inputs!$B$20:$B$31,"&gt;="&amp;Caixa!AA3)</f>
        <v>0</v>
      </c>
      <c r="AC7" s="260">
        <f>SUMIFS(Inputs!$J$20:$J$31,Inputs!$G$20:$G$31,"&lt;="&amp;Caixa!AC3,Inputs!$B$20:$B$31,"&gt;="&amp;Caixa!AB3)</f>
        <v>0</v>
      </c>
      <c r="AD7" s="260">
        <f>SUMIFS(Inputs!$J$20:$J$31,Inputs!$G$20:$G$31,"&lt;="&amp;Caixa!AD3,Inputs!$B$20:$B$31,"&gt;="&amp;Caixa!AC3)</f>
        <v>0</v>
      </c>
      <c r="AE7" s="260">
        <f>SUMIFS(Inputs!$J$20:$J$31,Inputs!$G$20:$G$31,"&lt;="&amp;Caixa!AE3,Inputs!$B$20:$B$31,"&gt;="&amp;Caixa!AD3)</f>
        <v>0</v>
      </c>
      <c r="AF7" s="260">
        <f>SUMIFS(Inputs!$J$20:$J$31,Inputs!$G$20:$G$31,"&lt;="&amp;Caixa!AF3,Inputs!$B$20:$B$31,"&gt;="&amp;Caixa!AE3)</f>
        <v>0</v>
      </c>
      <c r="AG7" s="260">
        <f>SUMIFS(Inputs!$J$20:$J$31,Inputs!$G$20:$G$31,"&lt;="&amp;Caixa!AG3,Inputs!$B$20:$B$31,"&gt;="&amp;Caixa!AF3)</f>
        <v>0</v>
      </c>
      <c r="AH7" s="260">
        <f>SUMIFS(Inputs!$J$20:$J$31,Inputs!$G$20:$G$31,"&lt;="&amp;Caixa!AH3,Inputs!$B$20:$B$31,"&gt;="&amp;Caixa!AG3)</f>
        <v>0</v>
      </c>
      <c r="AI7" s="260">
        <f>SUMIFS(Inputs!$J$20:$J$31,Inputs!$G$20:$G$31,"&lt;="&amp;Caixa!AI3,Inputs!$B$20:$B$31,"&gt;="&amp;Caixa!AH3)</f>
        <v>0</v>
      </c>
      <c r="AJ7" s="260">
        <f>SUMIFS(Inputs!$J$20:$J$31,Inputs!$G$20:$G$31,"&lt;="&amp;Caixa!AJ3,Inputs!$B$20:$B$31,"&gt;="&amp;Caixa!AI3)</f>
        <v>0</v>
      </c>
      <c r="AK7" s="260">
        <f>SUMIFS(Inputs!$J$20:$J$31,Inputs!$G$20:$G$31,"&lt;="&amp;Caixa!AK3,Inputs!$B$20:$B$31,"&gt;="&amp;Caixa!AJ3)</f>
        <v>0</v>
      </c>
      <c r="AL7" s="260">
        <f>SUMIFS(Inputs!$J$20:$J$31,Inputs!$G$20:$G$31,"&lt;="&amp;Caixa!AL3,Inputs!$B$20:$B$31,"&gt;="&amp;Caixa!AK3)</f>
        <v>0</v>
      </c>
      <c r="AM7" s="260">
        <f>SUMIFS(Inputs!$J$20:$J$31,Inputs!$G$20:$G$31,"&lt;="&amp;Caixa!AM3,Inputs!$B$20:$B$31,"&gt;="&amp;Caixa!AL3)</f>
        <v>0</v>
      </c>
      <c r="AN7" s="260">
        <f>SUMIFS(Inputs!$J$20:$J$31,Inputs!$G$20:$G$31,"&lt;="&amp;Caixa!AN3,Inputs!$B$20:$B$31,"&gt;="&amp;Caixa!AM3)</f>
        <v>0</v>
      </c>
      <c r="AO7" s="260">
        <f>SUMIFS(Inputs!$J$20:$J$31,Inputs!$G$20:$G$31,"&lt;="&amp;Caixa!AO3,Inputs!$B$20:$B$31,"&gt;="&amp;Caixa!AN3)</f>
        <v>0</v>
      </c>
      <c r="AP7" s="260">
        <f>SUMIFS(Inputs!$J$20:$J$31,Inputs!$G$20:$G$31,"&lt;="&amp;Caixa!AP3,Inputs!$B$20:$B$31,"&gt;="&amp;Caixa!AO3)</f>
        <v>0</v>
      </c>
      <c r="AQ7" s="260">
        <f>SUMIFS(Inputs!$J$20:$J$31,Inputs!$G$20:$G$31,"&lt;="&amp;Caixa!AQ3,Inputs!$B$20:$B$31,"&gt;="&amp;Caixa!AP3)</f>
        <v>0</v>
      </c>
      <c r="AR7" s="260">
        <f>SUMIFS(Inputs!$J$20:$J$31,Inputs!$G$20:$G$31,"&lt;="&amp;Caixa!AR3,Inputs!$B$20:$B$31,"&gt;="&amp;Caixa!AQ3)</f>
        <v>0</v>
      </c>
      <c r="AS7" s="260">
        <f>SUMIFS(Inputs!$J$20:$J$31,Inputs!$G$20:$G$31,"&lt;="&amp;Caixa!AS3,Inputs!$B$20:$B$31,"&gt;="&amp;Caixa!AR3)</f>
        <v>0</v>
      </c>
      <c r="AT7" s="260">
        <f>SUMIFS(Inputs!$J$20:$J$31,Inputs!$G$20:$G$31,"&lt;="&amp;Caixa!AT3,Inputs!$B$20:$B$31,"&gt;="&amp;Caixa!AS3)</f>
        <v>0</v>
      </c>
      <c r="AU7" s="260">
        <f>SUMIFS(Inputs!$J$20:$J$31,Inputs!$G$20:$G$31,"&lt;="&amp;Caixa!AU3,Inputs!$B$20:$B$31,"&gt;="&amp;Caixa!AT3)</f>
        <v>0</v>
      </c>
      <c r="AV7" s="260">
        <f>SUMIFS(Inputs!$J$20:$J$31,Inputs!$G$20:$G$31,"&lt;="&amp;Caixa!AV3,Inputs!$B$20:$B$31,"&gt;="&amp;Caixa!AU3)</f>
        <v>0</v>
      </c>
      <c r="AW7" s="260">
        <f>SUMIFS(Inputs!$J$20:$J$31,Inputs!$G$20:$G$31,"&lt;="&amp;Caixa!AW3,Inputs!$B$20:$B$31,"&gt;="&amp;Caixa!AV3)</f>
        <v>0</v>
      </c>
      <c r="AX7" s="260">
        <f>SUMIFS(Inputs!$J$20:$J$31,Inputs!$G$20:$G$31,"&lt;="&amp;Caixa!AX3,Inputs!$B$20:$B$31,"&gt;="&amp;Caixa!AW3)</f>
        <v>0</v>
      </c>
      <c r="AY7" s="260">
        <f>SUMIFS(Inputs!$J$20:$J$31,Inputs!$G$20:$G$31,"&lt;="&amp;Caixa!AY3,Inputs!$B$20:$B$31,"&gt;="&amp;Caixa!AX3)</f>
        <v>0</v>
      </c>
      <c r="AZ7" s="260">
        <f>SUMIFS(Inputs!$J$20:$J$31,Inputs!$G$20:$G$31,"&lt;="&amp;Caixa!AZ3,Inputs!$B$20:$B$31,"&gt;="&amp;Caixa!AY3)</f>
        <v>0</v>
      </c>
      <c r="BA7" s="260">
        <f>SUMIFS(Inputs!$J$20:$J$31,Inputs!$G$20:$G$31,"&lt;="&amp;Caixa!BA3,Inputs!$B$20:$B$31,"&gt;="&amp;Caixa!AZ3)</f>
        <v>0</v>
      </c>
      <c r="BB7" s="260">
        <f>SUMIFS(Inputs!$J$20:$J$31,Inputs!$G$20:$G$31,"&lt;="&amp;Caixa!BB3,Inputs!$B$20:$B$31,"&gt;="&amp;Caixa!BA3)</f>
        <v>0</v>
      </c>
      <c r="BC7" s="260">
        <f>SUMIFS(Inputs!$J$20:$J$31,Inputs!$G$20:$G$31,"&lt;="&amp;Caixa!BC3,Inputs!$B$20:$B$31,"&gt;="&amp;Caixa!BB3)</f>
        <v>0</v>
      </c>
      <c r="BD7" s="260">
        <f>SUMIFS(Inputs!$J$20:$J$31,Inputs!$G$20:$G$31,"&lt;="&amp;Caixa!BD3,Inputs!$B$20:$B$31,"&gt;="&amp;Caixa!BC3)</f>
        <v>0</v>
      </c>
      <c r="BE7" s="260">
        <f>SUMIFS(Inputs!$J$20:$J$31,Inputs!$G$20:$G$31,"&lt;="&amp;Caixa!BE3,Inputs!$B$20:$B$31,"&gt;="&amp;Caixa!BD3)</f>
        <v>0</v>
      </c>
      <c r="BF7" s="260">
        <f>SUMIFS(Inputs!$J$20:$J$31,Inputs!$G$20:$G$31,"&lt;="&amp;Caixa!BF3,Inputs!$B$20:$B$31,"&gt;="&amp;Caixa!BE3)</f>
        <v>0</v>
      </c>
      <c r="BG7" s="260">
        <f>SUMIFS(Inputs!$J$20:$J$31,Inputs!$G$20:$G$31,"&lt;="&amp;Caixa!BG3,Inputs!$B$20:$B$31,"&gt;="&amp;Caixa!BF3)</f>
        <v>0</v>
      </c>
      <c r="BH7" s="260">
        <f>SUMIFS(Inputs!$J$20:$J$31,Inputs!$G$20:$G$31,"&lt;="&amp;Caixa!BH3,Inputs!$B$20:$B$31,"&gt;="&amp;Caixa!BG3)</f>
        <v>0</v>
      </c>
      <c r="BI7" s="260">
        <f>SUMIFS(Inputs!$J$20:$J$31,Inputs!$G$20:$G$31,"&lt;="&amp;Caixa!BI3,Inputs!$B$20:$B$31,"&gt;="&amp;Caixa!BH3)</f>
        <v>0</v>
      </c>
      <c r="BJ7" s="260">
        <f>SUMIFS(Inputs!$J$20:$J$31,Inputs!$G$20:$G$31,"&lt;="&amp;Caixa!BJ3,Inputs!$B$20:$B$31,"&gt;="&amp;Caixa!BI3)</f>
        <v>0</v>
      </c>
      <c r="BK7" s="261">
        <f>SUMIFS(Inputs!$J$20:$J$31,Inputs!$G$20:$G$31,"&lt;="&amp;Caixa!BK3,Inputs!$B$20:$B$31,"&gt;="&amp;Caixa!BJ3)</f>
        <v>0</v>
      </c>
    </row>
    <row r="8" spans="2:63" s="26" customFormat="1" x14ac:dyDescent="0.3">
      <c r="B8" s="122" t="s">
        <v>113</v>
      </c>
      <c r="C8" s="157"/>
      <c r="D8" s="262">
        <f>SUMIFS(Inputs!$O$20:$O$31,Inputs!$L$20:$L$31,"&lt;="&amp;Caixa!D3)</f>
        <v>5000000</v>
      </c>
      <c r="E8" s="262">
        <f>SUMIFS(Inputs!$O$20:$O$31,Inputs!$L$20:$L$31,"&lt;="&amp;Caixa!E3,Inputs!$B$20:$B$31,"&gt;="&amp;Caixa!D3)</f>
        <v>0</v>
      </c>
      <c r="F8" s="262">
        <f>SUMIFS(Inputs!$O$20:$O$31,Inputs!$L$20:$L$31,"&lt;="&amp;Caixa!F3,Inputs!$B$20:$B$31,"&gt;="&amp;Caixa!E3)</f>
        <v>0</v>
      </c>
      <c r="G8" s="262">
        <f>SUMIFS(Inputs!$O$20:$O$31,Inputs!$L$20:$L$31,"&lt;="&amp;Caixa!G3,Inputs!$B$20:$B$31,"&gt;="&amp;Caixa!F3)</f>
        <v>0</v>
      </c>
      <c r="H8" s="262">
        <f>SUMIFS(Inputs!$O$20:$O$31,Inputs!$L$20:$L$31,"&lt;="&amp;Caixa!H3,Inputs!$B$20:$B$31,"&gt;="&amp;Caixa!G3)</f>
        <v>0</v>
      </c>
      <c r="I8" s="262">
        <f>SUMIFS(Inputs!$O$20:$O$31,Inputs!$L$20:$L$31,"&lt;="&amp;Caixa!I3,Inputs!$B$20:$B$31,"&gt;="&amp;Caixa!H3)</f>
        <v>0</v>
      </c>
      <c r="J8" s="262">
        <f>SUMIFS(Inputs!$O$20:$O$31,Inputs!$L$20:$L$31,"&lt;="&amp;Caixa!J3,Inputs!$B$20:$B$31,"&gt;="&amp;Caixa!I3)</f>
        <v>0</v>
      </c>
      <c r="K8" s="262">
        <f>SUMIFS(Inputs!$O$20:$O$31,Inputs!$L$20:$L$31,"&lt;="&amp;Caixa!K3,Inputs!$B$20:$B$31,"&gt;="&amp;Caixa!J3)</f>
        <v>0</v>
      </c>
      <c r="L8" s="262">
        <f>SUMIFS(Inputs!$O$20:$O$31,Inputs!$L$20:$L$31,"&lt;="&amp;Caixa!L3,Inputs!$B$20:$B$31,"&gt;="&amp;Caixa!K3)</f>
        <v>0</v>
      </c>
      <c r="M8" s="262">
        <f>SUMIFS(Inputs!$O$20:$O$31,Inputs!$L$20:$L$31,"&lt;="&amp;Caixa!M3,Inputs!$B$20:$B$31,"&gt;="&amp;Caixa!L3)</f>
        <v>0</v>
      </c>
      <c r="N8" s="262">
        <f>SUMIFS(Inputs!$O$20:$O$31,Inputs!$L$20:$L$31,"&lt;="&amp;Caixa!N3,Inputs!$B$20:$B$31,"&gt;="&amp;Caixa!M3)</f>
        <v>0</v>
      </c>
      <c r="O8" s="262">
        <f>SUMIFS(Inputs!$O$20:$O$31,Inputs!$L$20:$L$31,"&lt;="&amp;Caixa!O3,Inputs!$B$20:$B$31,"&gt;="&amp;Caixa!N3)</f>
        <v>0</v>
      </c>
      <c r="P8" s="262">
        <f>SUMIFS(Inputs!$O$20:$O$31,Inputs!$L$20:$L$31,"&lt;="&amp;Caixa!P3,Inputs!$B$20:$B$31,"&gt;="&amp;Caixa!O3)</f>
        <v>0</v>
      </c>
      <c r="Q8" s="262">
        <f>SUMIFS(Inputs!$O$20:$O$31,Inputs!$L$20:$L$31,"&lt;="&amp;Caixa!Q3,Inputs!$B$20:$B$31,"&gt;="&amp;Caixa!P3)</f>
        <v>0</v>
      </c>
      <c r="R8" s="262">
        <f>SUMIFS(Inputs!$O$20:$O$31,Inputs!$L$20:$L$31,"&lt;="&amp;Caixa!R3,Inputs!$B$20:$B$31,"&gt;="&amp;Caixa!Q3)</f>
        <v>0</v>
      </c>
      <c r="S8" s="262">
        <f>SUMIFS(Inputs!$O$20:$O$31,Inputs!$L$20:$L$31,"&lt;="&amp;Caixa!S3,Inputs!$B$20:$B$31,"&gt;="&amp;Caixa!R3)</f>
        <v>0</v>
      </c>
      <c r="T8" s="262">
        <f>SUMIFS(Inputs!$O$20:$O$31,Inputs!$L$20:$L$31,"&lt;="&amp;Caixa!T3,Inputs!$B$20:$B$31,"&gt;="&amp;Caixa!S3)</f>
        <v>0</v>
      </c>
      <c r="U8" s="262">
        <f>SUMIFS(Inputs!$O$20:$O$31,Inputs!$L$20:$L$31,"&lt;="&amp;Caixa!U3,Inputs!$B$20:$B$31,"&gt;="&amp;Caixa!T3)</f>
        <v>0</v>
      </c>
      <c r="V8" s="262">
        <f>SUMIFS(Inputs!$O$20:$O$31,Inputs!$L$20:$L$31,"&lt;="&amp;Caixa!V3,Inputs!$B$20:$B$31,"&gt;="&amp;Caixa!U3)</f>
        <v>0</v>
      </c>
      <c r="W8" s="262">
        <f>SUMIFS(Inputs!$O$20:$O$31,Inputs!$L$20:$L$31,"&lt;="&amp;Caixa!W3,Inputs!$B$20:$B$31,"&gt;="&amp;Caixa!V3)</f>
        <v>0</v>
      </c>
      <c r="X8" s="262">
        <f>SUMIFS(Inputs!$O$20:$O$31,Inputs!$L$20:$L$31,"&lt;="&amp;Caixa!X3,Inputs!$B$20:$B$31,"&gt;="&amp;Caixa!W3)</f>
        <v>0</v>
      </c>
      <c r="Y8" s="262">
        <f>SUMIFS(Inputs!$O$20:$O$31,Inputs!$L$20:$L$31,"&lt;="&amp;Caixa!Y3,Inputs!$B$20:$B$31,"&gt;="&amp;Caixa!X3)</f>
        <v>0</v>
      </c>
      <c r="Z8" s="262">
        <f>SUMIFS(Inputs!$O$20:$O$31,Inputs!$L$20:$L$31,"&lt;="&amp;Caixa!Z3,Inputs!$B$20:$B$31,"&gt;="&amp;Caixa!Y3)</f>
        <v>0</v>
      </c>
      <c r="AA8" s="262">
        <f>SUMIFS(Inputs!$O$20:$O$31,Inputs!$L$20:$L$31,"&lt;="&amp;Caixa!AA3,Inputs!$B$20:$B$31,"&gt;="&amp;Caixa!Z3)</f>
        <v>0</v>
      </c>
      <c r="AB8" s="262">
        <f>SUMIFS(Inputs!$O$20:$O$31,Inputs!$L$20:$L$31,"&lt;="&amp;Caixa!AB3,Inputs!$B$20:$B$31,"&gt;="&amp;Caixa!AA3)</f>
        <v>0</v>
      </c>
      <c r="AC8" s="262">
        <f>SUMIFS(Inputs!$O$20:$O$31,Inputs!$L$20:$L$31,"&lt;="&amp;Caixa!AC3,Inputs!$B$20:$B$31,"&gt;="&amp;Caixa!AB3)</f>
        <v>0</v>
      </c>
      <c r="AD8" s="262">
        <f>SUMIFS(Inputs!$O$20:$O$31,Inputs!$L$20:$L$31,"&lt;="&amp;Caixa!AD3,Inputs!$B$20:$B$31,"&gt;="&amp;Caixa!AC3)</f>
        <v>0</v>
      </c>
      <c r="AE8" s="262">
        <f>SUMIFS(Inputs!$O$20:$O$31,Inputs!$L$20:$L$31,"&lt;="&amp;Caixa!AE3,Inputs!$B$20:$B$31,"&gt;="&amp;Caixa!AD3)</f>
        <v>0</v>
      </c>
      <c r="AF8" s="262">
        <f>SUMIFS(Inputs!$O$20:$O$31,Inputs!$L$20:$L$31,"&lt;="&amp;Caixa!AF3,Inputs!$B$20:$B$31,"&gt;="&amp;Caixa!AE3)</f>
        <v>0</v>
      </c>
      <c r="AG8" s="262">
        <f>SUMIFS(Inputs!$O$20:$O$31,Inputs!$L$20:$L$31,"&lt;="&amp;Caixa!AG3,Inputs!$B$20:$B$31,"&gt;="&amp;Caixa!AF3)</f>
        <v>0</v>
      </c>
      <c r="AH8" s="262">
        <f>SUMIFS(Inputs!$O$20:$O$31,Inputs!$L$20:$L$31,"&lt;="&amp;Caixa!AH3,Inputs!$B$20:$B$31,"&gt;="&amp;Caixa!AG3)</f>
        <v>0</v>
      </c>
      <c r="AI8" s="262">
        <f>SUMIFS(Inputs!$O$20:$O$31,Inputs!$L$20:$L$31,"&lt;="&amp;Caixa!AI3,Inputs!$B$20:$B$31,"&gt;="&amp;Caixa!AH3)</f>
        <v>0</v>
      </c>
      <c r="AJ8" s="262">
        <f>SUMIFS(Inputs!$O$20:$O$31,Inputs!$L$20:$L$31,"&lt;="&amp;Caixa!AJ3,Inputs!$B$20:$B$31,"&gt;="&amp;Caixa!AI3)</f>
        <v>0</v>
      </c>
      <c r="AK8" s="262">
        <f>SUMIFS(Inputs!$O$20:$O$31,Inputs!$L$20:$L$31,"&lt;="&amp;Caixa!AK3,Inputs!$B$20:$B$31,"&gt;="&amp;Caixa!AJ3)</f>
        <v>0</v>
      </c>
      <c r="AL8" s="262">
        <f>SUMIFS(Inputs!$O$20:$O$31,Inputs!$L$20:$L$31,"&lt;="&amp;Caixa!AL3,Inputs!$B$20:$B$31,"&gt;="&amp;Caixa!AK3)</f>
        <v>0</v>
      </c>
      <c r="AM8" s="262">
        <f>SUMIFS(Inputs!$O$20:$O$31,Inputs!$L$20:$L$31,"&lt;="&amp;Caixa!AM3,Inputs!$B$20:$B$31,"&gt;="&amp;Caixa!AL3)</f>
        <v>0</v>
      </c>
      <c r="AN8" s="262">
        <f>SUMIFS(Inputs!$O$20:$O$31,Inputs!$L$20:$L$31,"&lt;="&amp;Caixa!AN3,Inputs!$B$20:$B$31,"&gt;="&amp;Caixa!AM3)</f>
        <v>0</v>
      </c>
      <c r="AO8" s="262">
        <f>SUMIFS(Inputs!$O$20:$O$31,Inputs!$L$20:$L$31,"&lt;="&amp;Caixa!AO3,Inputs!$B$20:$B$31,"&gt;="&amp;Caixa!AN3)</f>
        <v>0</v>
      </c>
      <c r="AP8" s="262">
        <f>SUMIFS(Inputs!$O$20:$O$31,Inputs!$L$20:$L$31,"&lt;="&amp;Caixa!AP3,Inputs!$B$20:$B$31,"&gt;="&amp;Caixa!AO3)</f>
        <v>0</v>
      </c>
      <c r="AQ8" s="262">
        <f>SUMIFS(Inputs!$O$20:$O$31,Inputs!$L$20:$L$31,"&lt;="&amp;Caixa!AQ3,Inputs!$B$20:$B$31,"&gt;="&amp;Caixa!AP3)</f>
        <v>0</v>
      </c>
      <c r="AR8" s="262">
        <f>SUMIFS(Inputs!$O$20:$O$31,Inputs!$L$20:$L$31,"&lt;="&amp;Caixa!AR3,Inputs!$B$20:$B$31,"&gt;="&amp;Caixa!AQ3)</f>
        <v>0</v>
      </c>
      <c r="AS8" s="262">
        <f>SUMIFS(Inputs!$O$20:$O$31,Inputs!$L$20:$L$31,"&lt;="&amp;Caixa!AS3,Inputs!$B$20:$B$31,"&gt;="&amp;Caixa!AR3)</f>
        <v>0</v>
      </c>
      <c r="AT8" s="262">
        <f>SUMIFS(Inputs!$O$20:$O$31,Inputs!$L$20:$L$31,"&lt;="&amp;Caixa!AT3,Inputs!$B$20:$B$31,"&gt;="&amp;Caixa!AS3)</f>
        <v>0</v>
      </c>
      <c r="AU8" s="262">
        <f>SUMIFS(Inputs!$O$20:$O$31,Inputs!$L$20:$L$31,"&lt;="&amp;Caixa!AU3,Inputs!$B$20:$B$31,"&gt;="&amp;Caixa!AT3)</f>
        <v>0</v>
      </c>
      <c r="AV8" s="262">
        <f>SUMIFS(Inputs!$O$20:$O$31,Inputs!$L$20:$L$31,"&lt;="&amp;Caixa!AV3,Inputs!$B$20:$B$31,"&gt;="&amp;Caixa!AU3)</f>
        <v>0</v>
      </c>
      <c r="AW8" s="262">
        <f>SUMIFS(Inputs!$O$20:$O$31,Inputs!$L$20:$L$31,"&lt;="&amp;Caixa!AW3,Inputs!$B$20:$B$31,"&gt;="&amp;Caixa!AV3)</f>
        <v>0</v>
      </c>
      <c r="AX8" s="262">
        <f>SUMIFS(Inputs!$O$20:$O$31,Inputs!$L$20:$L$31,"&lt;="&amp;Caixa!AX3,Inputs!$B$20:$B$31,"&gt;="&amp;Caixa!AW3)</f>
        <v>0</v>
      </c>
      <c r="AY8" s="262">
        <f>SUMIFS(Inputs!$O$20:$O$31,Inputs!$L$20:$L$31,"&lt;="&amp;Caixa!AY3,Inputs!$B$20:$B$31,"&gt;="&amp;Caixa!AX3)</f>
        <v>0</v>
      </c>
      <c r="AZ8" s="262">
        <f>SUMIFS(Inputs!$O$20:$O$31,Inputs!$L$20:$L$31,"&lt;="&amp;Caixa!AZ3,Inputs!$B$20:$B$31,"&gt;="&amp;Caixa!AY3)</f>
        <v>0</v>
      </c>
      <c r="BA8" s="262">
        <f>SUMIFS(Inputs!$O$20:$O$31,Inputs!$L$20:$L$31,"&lt;="&amp;Caixa!BA3,Inputs!$B$20:$B$31,"&gt;="&amp;Caixa!AZ3)</f>
        <v>0</v>
      </c>
      <c r="BB8" s="262">
        <f>SUMIFS(Inputs!$O$20:$O$31,Inputs!$L$20:$L$31,"&lt;="&amp;Caixa!BB3,Inputs!$B$20:$B$31,"&gt;="&amp;Caixa!BA3)</f>
        <v>0</v>
      </c>
      <c r="BC8" s="262">
        <f>SUMIFS(Inputs!$O$20:$O$31,Inputs!$L$20:$L$31,"&lt;="&amp;Caixa!BC3,Inputs!$B$20:$B$31,"&gt;="&amp;Caixa!BB3)</f>
        <v>0</v>
      </c>
      <c r="BD8" s="262">
        <f>SUMIFS(Inputs!$O$20:$O$31,Inputs!$L$20:$L$31,"&lt;="&amp;Caixa!BD3,Inputs!$B$20:$B$31,"&gt;="&amp;Caixa!BC3)</f>
        <v>0</v>
      </c>
      <c r="BE8" s="262">
        <f>SUMIFS(Inputs!$O$20:$O$31,Inputs!$L$20:$L$31,"&lt;="&amp;Caixa!BE3,Inputs!$B$20:$B$31,"&gt;="&amp;Caixa!BD3)</f>
        <v>0</v>
      </c>
      <c r="BF8" s="262">
        <f>SUMIFS(Inputs!$O$20:$O$31,Inputs!$L$20:$L$31,"&lt;="&amp;Caixa!BF3,Inputs!$B$20:$B$31,"&gt;="&amp;Caixa!BE3)</f>
        <v>0</v>
      </c>
      <c r="BG8" s="262">
        <f>SUMIFS(Inputs!$O$20:$O$31,Inputs!$L$20:$L$31,"&lt;="&amp;Caixa!BG3,Inputs!$B$20:$B$31,"&gt;="&amp;Caixa!BF3)</f>
        <v>0</v>
      </c>
      <c r="BH8" s="262">
        <f>SUMIFS(Inputs!$O$20:$O$31,Inputs!$L$20:$L$31,"&lt;="&amp;Caixa!BH3,Inputs!$B$20:$B$31,"&gt;="&amp;Caixa!BG3)</f>
        <v>0</v>
      </c>
      <c r="BI8" s="262">
        <f>SUMIFS(Inputs!$O$20:$O$31,Inputs!$L$20:$L$31,"&lt;="&amp;Caixa!BI3,Inputs!$B$20:$B$31,"&gt;="&amp;Caixa!BH3)</f>
        <v>0</v>
      </c>
      <c r="BJ8" s="262">
        <f>SUMIFS(Inputs!$O$20:$O$31,Inputs!$L$20:$L$31,"&lt;="&amp;Caixa!BJ3,Inputs!$B$20:$B$31,"&gt;="&amp;Caixa!BI3)</f>
        <v>0</v>
      </c>
      <c r="BK8" s="263">
        <f>SUMIFS(Inputs!$O$20:$O$31,Inputs!$L$20:$L$31,"&lt;="&amp;Caixa!BK3,Inputs!$B$20:$B$31,"&gt;="&amp;Caixa!BJ3)</f>
        <v>0</v>
      </c>
    </row>
    <row r="9" spans="2:63" s="26" customFormat="1" x14ac:dyDescent="0.3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</row>
    <row r="10" spans="2:63" s="26" customFormat="1" x14ac:dyDescent="0.3">
      <c r="B10" s="208" t="s">
        <v>142</v>
      </c>
      <c r="C10" s="206"/>
      <c r="D10" s="249">
        <v>3200000</v>
      </c>
      <c r="E10" s="249">
        <v>3200000</v>
      </c>
      <c r="F10" s="249">
        <v>3200000</v>
      </c>
      <c r="G10" s="209">
        <v>3653652.7780703395</v>
      </c>
      <c r="H10" s="209">
        <v>3451990.0902865082</v>
      </c>
      <c r="I10" s="209">
        <v>3451994.4370888826</v>
      </c>
      <c r="J10" s="209">
        <v>3945101.0766235078</v>
      </c>
      <c r="K10" s="209">
        <v>3725905.3990215226</v>
      </c>
      <c r="L10" s="209">
        <v>3725914.4668877935</v>
      </c>
      <c r="M10" s="209">
        <v>4261904.2864848329</v>
      </c>
      <c r="N10" s="209">
        <v>4023649.5621837634</v>
      </c>
      <c r="O10" s="209">
        <v>4023663.7587511223</v>
      </c>
      <c r="P10" s="209">
        <v>4328191.4272618843</v>
      </c>
      <c r="Q10" s="209">
        <v>4070745.7041237135</v>
      </c>
      <c r="R10" s="209">
        <v>4075479.4866178315</v>
      </c>
      <c r="S10" s="209">
        <v>4409619.149327998</v>
      </c>
      <c r="T10" s="209">
        <v>4130567.5353561132</v>
      </c>
      <c r="U10" s="209">
        <v>4141259.7039645873</v>
      </c>
      <c r="V10" s="209">
        <v>4507639.6002609199</v>
      </c>
      <c r="W10" s="209">
        <v>4206047.952508294</v>
      </c>
      <c r="X10" s="209">
        <v>4222971.3336404655</v>
      </c>
      <c r="Y10" s="209">
        <v>4623412.5069466094</v>
      </c>
      <c r="Z10" s="209">
        <v>4298992.8946834449</v>
      </c>
      <c r="AA10" s="209">
        <v>4320947.3781192377</v>
      </c>
      <c r="AB10" s="209">
        <v>4656208.9976290297</v>
      </c>
      <c r="AC10" s="209">
        <v>4312330.2413214911</v>
      </c>
      <c r="AD10" s="209">
        <v>4340337.2006473392</v>
      </c>
      <c r="AE10" s="209">
        <v>4707194.6884452859</v>
      </c>
      <c r="AF10" s="209">
        <v>4339297.9981393516</v>
      </c>
      <c r="AG10" s="209">
        <v>4372575.4030121323</v>
      </c>
      <c r="AH10" s="209">
        <v>4778013.9822732965</v>
      </c>
      <c r="AI10" s="209">
        <v>4380193.073742155</v>
      </c>
      <c r="AJ10" s="209">
        <v>4422285.3095908202</v>
      </c>
      <c r="AK10" s="209">
        <v>4865258.4066008274</v>
      </c>
      <c r="AL10" s="209">
        <v>4438203.7785504973</v>
      </c>
      <c r="AM10" s="209">
        <v>4488165.5801543519</v>
      </c>
      <c r="AN10" s="209">
        <v>5262177.6942762099</v>
      </c>
      <c r="AO10" s="209">
        <v>4797989.3184778448</v>
      </c>
      <c r="AP10" s="209">
        <v>4852298.498761245</v>
      </c>
      <c r="AQ10" s="209">
        <v>5693617.4510035692</v>
      </c>
      <c r="AR10" s="209">
        <v>5189066.3053707937</v>
      </c>
      <c r="AS10" s="209">
        <v>5248099.4596911864</v>
      </c>
      <c r="AT10" s="209">
        <v>6162576.581693707</v>
      </c>
      <c r="AU10" s="209">
        <v>5614154.296232284</v>
      </c>
      <c r="AV10" s="209">
        <v>5678323.6406122083</v>
      </c>
      <c r="AW10" s="209">
        <v>6672320.5123540759</v>
      </c>
      <c r="AX10" s="209">
        <v>6076209.3325047046</v>
      </c>
      <c r="AY10" s="209">
        <v>6145960.0558170713</v>
      </c>
      <c r="AZ10" s="209">
        <v>7226391.4381451812</v>
      </c>
      <c r="BA10" s="209">
        <v>6578445.9393336307</v>
      </c>
      <c r="BB10" s="209">
        <v>6653958.9896006938</v>
      </c>
      <c r="BC10" s="209">
        <v>7828342.3625856442</v>
      </c>
      <c r="BD10" s="209">
        <v>7124053.7769209202</v>
      </c>
      <c r="BE10" s="209">
        <v>7206133.1793851191</v>
      </c>
      <c r="BF10" s="209">
        <v>8000000</v>
      </c>
      <c r="BG10" s="209">
        <v>8000000</v>
      </c>
      <c r="BH10" s="209">
        <v>8000000</v>
      </c>
      <c r="BI10" s="209">
        <v>8000000</v>
      </c>
      <c r="BJ10" s="209">
        <v>8000000</v>
      </c>
      <c r="BK10" s="209">
        <v>8000000</v>
      </c>
    </row>
    <row r="11" spans="2:63" s="26" customFormat="1" x14ac:dyDescent="0.3">
      <c r="B11" s="27"/>
      <c r="C11" s="27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</row>
    <row r="12" spans="2:63" x14ac:dyDescent="0.3">
      <c r="B12" s="37" t="s">
        <v>101</v>
      </c>
      <c r="C12" s="37"/>
      <c r="D12" s="34">
        <f>D13+D14</f>
        <v>6814647.9699547691</v>
      </c>
      <c r="E12" s="34">
        <f>E13+E14</f>
        <v>-3189331.0788654801</v>
      </c>
      <c r="F12" s="34">
        <f>F13+F14</f>
        <v>-3223886.2580807009</v>
      </c>
      <c r="G12" s="34">
        <f t="shared" ref="G12:BK12" si="3">G13+G14</f>
        <v>-201430.63300858717</v>
      </c>
      <c r="H12" s="34">
        <f t="shared" si="3"/>
        <v>0</v>
      </c>
      <c r="I12" s="34">
        <f t="shared" si="3"/>
        <v>0</v>
      </c>
      <c r="J12" s="34">
        <f t="shared" si="3"/>
        <v>0</v>
      </c>
      <c r="K12" s="34">
        <f t="shared" si="3"/>
        <v>0</v>
      </c>
      <c r="L12" s="34">
        <f t="shared" si="3"/>
        <v>0</v>
      </c>
      <c r="M12" s="34">
        <f t="shared" si="3"/>
        <v>0</v>
      </c>
      <c r="N12" s="34">
        <f t="shared" si="3"/>
        <v>0</v>
      </c>
      <c r="O12" s="34">
        <f t="shared" si="3"/>
        <v>0</v>
      </c>
      <c r="P12" s="34">
        <f t="shared" si="3"/>
        <v>0</v>
      </c>
      <c r="Q12" s="34">
        <f t="shared" si="3"/>
        <v>0</v>
      </c>
      <c r="R12" s="34">
        <f t="shared" si="3"/>
        <v>0</v>
      </c>
      <c r="S12" s="34">
        <f t="shared" si="3"/>
        <v>0</v>
      </c>
      <c r="T12" s="34">
        <f t="shared" si="3"/>
        <v>0</v>
      </c>
      <c r="U12" s="34">
        <f t="shared" si="3"/>
        <v>1.1175870895385742E-8</v>
      </c>
      <c r="V12" s="34">
        <f t="shared" si="3"/>
        <v>0</v>
      </c>
      <c r="W12" s="34">
        <f t="shared" si="3"/>
        <v>0</v>
      </c>
      <c r="X12" s="34">
        <f t="shared" si="3"/>
        <v>0</v>
      </c>
      <c r="Y12" s="34">
        <f t="shared" si="3"/>
        <v>0</v>
      </c>
      <c r="Z12" s="34">
        <f t="shared" si="3"/>
        <v>0</v>
      </c>
      <c r="AA12" s="34">
        <f t="shared" si="3"/>
        <v>0</v>
      </c>
      <c r="AB12" s="34">
        <f t="shared" si="3"/>
        <v>0</v>
      </c>
      <c r="AC12" s="34">
        <f t="shared" si="3"/>
        <v>0</v>
      </c>
      <c r="AD12" s="34">
        <f t="shared" si="3"/>
        <v>0</v>
      </c>
      <c r="AE12" s="34">
        <f t="shared" si="3"/>
        <v>0</v>
      </c>
      <c r="AF12" s="34">
        <f t="shared" si="3"/>
        <v>0</v>
      </c>
      <c r="AG12" s="34">
        <f t="shared" si="3"/>
        <v>0</v>
      </c>
      <c r="AH12" s="34">
        <f t="shared" si="3"/>
        <v>0</v>
      </c>
      <c r="AI12" s="34">
        <f t="shared" si="3"/>
        <v>0</v>
      </c>
      <c r="AJ12" s="34">
        <f t="shared" si="3"/>
        <v>0</v>
      </c>
      <c r="AK12" s="34">
        <f t="shared" si="3"/>
        <v>0</v>
      </c>
      <c r="AL12" s="34">
        <f t="shared" si="3"/>
        <v>0</v>
      </c>
      <c r="AM12" s="34">
        <f t="shared" si="3"/>
        <v>0</v>
      </c>
      <c r="AN12" s="34">
        <f t="shared" si="3"/>
        <v>0</v>
      </c>
      <c r="AO12" s="34">
        <f t="shared" si="3"/>
        <v>0</v>
      </c>
      <c r="AP12" s="34">
        <f t="shared" si="3"/>
        <v>0</v>
      </c>
      <c r="AQ12" s="34">
        <f t="shared" si="3"/>
        <v>0</v>
      </c>
      <c r="AR12" s="34">
        <f t="shared" si="3"/>
        <v>0</v>
      </c>
      <c r="AS12" s="34">
        <f t="shared" si="3"/>
        <v>0</v>
      </c>
      <c r="AT12" s="34">
        <f t="shared" si="3"/>
        <v>0</v>
      </c>
      <c r="AU12" s="34">
        <f t="shared" si="3"/>
        <v>0</v>
      </c>
      <c r="AV12" s="34">
        <f t="shared" si="3"/>
        <v>0</v>
      </c>
      <c r="AW12" s="34">
        <f t="shared" si="3"/>
        <v>0</v>
      </c>
      <c r="AX12" s="34">
        <f t="shared" si="3"/>
        <v>0</v>
      </c>
      <c r="AY12" s="34">
        <f t="shared" si="3"/>
        <v>0</v>
      </c>
      <c r="AZ12" s="34">
        <f t="shared" si="3"/>
        <v>0</v>
      </c>
      <c r="BA12" s="34">
        <f t="shared" si="3"/>
        <v>0</v>
      </c>
      <c r="BB12" s="34">
        <f t="shared" si="3"/>
        <v>0</v>
      </c>
      <c r="BC12" s="34">
        <f t="shared" si="3"/>
        <v>0</v>
      </c>
      <c r="BD12" s="34">
        <f t="shared" si="3"/>
        <v>0</v>
      </c>
      <c r="BE12" s="34">
        <f t="shared" si="3"/>
        <v>0</v>
      </c>
      <c r="BF12" s="34">
        <f t="shared" si="3"/>
        <v>488209.43971113209</v>
      </c>
      <c r="BG12" s="34">
        <f t="shared" si="3"/>
        <v>-280523.62688021548</v>
      </c>
      <c r="BH12" s="34">
        <f t="shared" si="3"/>
        <v>-193514.18671847042</v>
      </c>
      <c r="BI12" s="34">
        <f t="shared" si="3"/>
        <v>677118.25711815152</v>
      </c>
      <c r="BJ12" s="34">
        <f t="shared" si="3"/>
        <v>684941.33439876791</v>
      </c>
      <c r="BK12" s="34">
        <f t="shared" si="3"/>
        <v>692854.79550450575</v>
      </c>
    </row>
    <row r="13" spans="2:63" x14ac:dyDescent="0.3">
      <c r="B13" s="143" t="s">
        <v>105</v>
      </c>
      <c r="C13" s="158"/>
      <c r="D13" s="256">
        <f>D5+SUM(D24:D25)+D21</f>
        <v>10073560.873288102</v>
      </c>
      <c r="E13" s="256">
        <f>E5+SUM(E24:E25)+E21</f>
        <v>38844.824467853017</v>
      </c>
      <c r="F13" s="256">
        <f>F5+SUM(F24:F25)+F21</f>
        <v>4289.6452526326721</v>
      </c>
      <c r="G13" s="256">
        <f t="shared" ref="G13:BK13" si="4">G5+SUM(G24:G25)+G21</f>
        <v>3480398.0483950856</v>
      </c>
      <c r="H13" s="256">
        <f t="shared" si="4"/>
        <v>3480400.9469531765</v>
      </c>
      <c r="I13" s="256">
        <f t="shared" si="4"/>
        <v>3480405.2937555481</v>
      </c>
      <c r="J13" s="256">
        <f t="shared" si="4"/>
        <v>3973511.9332901728</v>
      </c>
      <c r="K13" s="256">
        <f t="shared" si="4"/>
        <v>3754316.25568819</v>
      </c>
      <c r="L13" s="256">
        <f t="shared" si="4"/>
        <v>3754325.3235544595</v>
      </c>
      <c r="M13" s="256">
        <f t="shared" si="4"/>
        <v>4290315.1431514975</v>
      </c>
      <c r="N13" s="256">
        <f t="shared" si="4"/>
        <v>4052060.4188504312</v>
      </c>
      <c r="O13" s="256">
        <f t="shared" si="4"/>
        <v>4052074.6154177873</v>
      </c>
      <c r="P13" s="256">
        <f t="shared" si="4"/>
        <v>4637736.5544021288</v>
      </c>
      <c r="Q13" s="256">
        <f t="shared" si="4"/>
        <v>4378757.7571026767</v>
      </c>
      <c r="R13" s="256">
        <f t="shared" si="4"/>
        <v>4378738.5555957537</v>
      </c>
      <c r="S13" s="256">
        <f t="shared" si="4"/>
        <v>4709729.5025169048</v>
      </c>
      <c r="T13" s="256">
        <f t="shared" si="4"/>
        <v>4429909.1589920893</v>
      </c>
      <c r="U13" s="256">
        <f t="shared" si="4"/>
        <v>4435003.0021169866</v>
      </c>
      <c r="V13" s="256">
        <f t="shared" si="4"/>
        <v>4798179.6112144999</v>
      </c>
      <c r="W13" s="256">
        <f t="shared" si="4"/>
        <v>4494856.7533209361</v>
      </c>
      <c r="X13" s="256">
        <f t="shared" si="4"/>
        <v>4506432.4452464646</v>
      </c>
      <c r="Y13" s="256">
        <f t="shared" si="4"/>
        <v>4904653.2828401197</v>
      </c>
      <c r="Z13" s="256">
        <f t="shared" si="4"/>
        <v>4576811.0905306069</v>
      </c>
      <c r="AA13" s="256">
        <f t="shared" si="4"/>
        <v>4595172.3542159842</v>
      </c>
      <c r="AB13" s="256">
        <f t="shared" si="4"/>
        <v>5031577.5319478363</v>
      </c>
      <c r="AC13" s="256">
        <f t="shared" si="4"/>
        <v>4678852.2583923563</v>
      </c>
      <c r="AD13" s="256">
        <f t="shared" si="4"/>
        <v>4702676.6120488849</v>
      </c>
      <c r="AE13" s="256">
        <f t="shared" si="4"/>
        <v>5067067.5467033517</v>
      </c>
      <c r="AF13" s="256">
        <f t="shared" si="4"/>
        <v>4693227.0748004029</v>
      </c>
      <c r="AG13" s="256">
        <f t="shared" si="4"/>
        <v>4723640.969658182</v>
      </c>
      <c r="AH13" s="256">
        <f t="shared" si="4"/>
        <v>5122326.8085808679</v>
      </c>
      <c r="AI13" s="256">
        <f t="shared" si="4"/>
        <v>4722423.0317748198</v>
      </c>
      <c r="AJ13" s="256">
        <f t="shared" si="4"/>
        <v>4758533.9708283059</v>
      </c>
      <c r="AK13" s="256">
        <f t="shared" si="4"/>
        <v>5199202.0499356622</v>
      </c>
      <c r="AL13" s="256">
        <f t="shared" si="4"/>
        <v>4766730.4446279313</v>
      </c>
      <c r="AM13" s="256">
        <f t="shared" si="4"/>
        <v>4812441.978108611</v>
      </c>
      <c r="AN13" s="256">
        <f t="shared" si="4"/>
        <v>5290588.5509428782</v>
      </c>
      <c r="AO13" s="256">
        <f t="shared" si="4"/>
        <v>4826400.1751445141</v>
      </c>
      <c r="AP13" s="256">
        <f t="shared" si="4"/>
        <v>4880709.3554279124</v>
      </c>
      <c r="AQ13" s="256">
        <f t="shared" si="4"/>
        <v>5722028.3076702384</v>
      </c>
      <c r="AR13" s="256">
        <f t="shared" si="4"/>
        <v>5217477.1620374611</v>
      </c>
      <c r="AS13" s="256">
        <f t="shared" si="4"/>
        <v>5276510.3163578529</v>
      </c>
      <c r="AT13" s="256">
        <f t="shared" si="4"/>
        <v>6190987.4383603791</v>
      </c>
      <c r="AU13" s="256">
        <f t="shared" si="4"/>
        <v>5642565.1528989514</v>
      </c>
      <c r="AV13" s="256">
        <f t="shared" si="4"/>
        <v>5706734.4972788738</v>
      </c>
      <c r="AW13" s="256">
        <f t="shared" si="4"/>
        <v>6700731.3690207442</v>
      </c>
      <c r="AX13" s="256">
        <f t="shared" si="4"/>
        <v>6104620.189171372</v>
      </c>
      <c r="AY13" s="256">
        <f t="shared" si="4"/>
        <v>6174370.9124837369</v>
      </c>
      <c r="AZ13" s="256">
        <f t="shared" si="4"/>
        <v>7254802.2948118541</v>
      </c>
      <c r="BA13" s="256">
        <f t="shared" si="4"/>
        <v>6606856.7960002972</v>
      </c>
      <c r="BB13" s="256">
        <f t="shared" si="4"/>
        <v>6682672.7996006962</v>
      </c>
      <c r="BC13" s="256">
        <f t="shared" si="4"/>
        <v>7857056.1725856494</v>
      </c>
      <c r="BD13" s="256">
        <f t="shared" si="4"/>
        <v>7152767.5869209208</v>
      </c>
      <c r="BE13" s="256">
        <f t="shared" si="4"/>
        <v>7234846.9893851196</v>
      </c>
      <c r="BF13" s="256">
        <f t="shared" si="4"/>
        <v>8516923.2497111317</v>
      </c>
      <c r="BG13" s="256">
        <f t="shared" si="4"/>
        <v>7748190.1831197841</v>
      </c>
      <c r="BH13" s="256">
        <f t="shared" si="4"/>
        <v>7835199.6232815292</v>
      </c>
      <c r="BI13" s="256">
        <f t="shared" si="4"/>
        <v>8705832.0671181511</v>
      </c>
      <c r="BJ13" s="256">
        <f t="shared" si="4"/>
        <v>8713655.1443987675</v>
      </c>
      <c r="BK13" s="256">
        <f t="shared" si="4"/>
        <v>8721568.6055045053</v>
      </c>
    </row>
    <row r="14" spans="2:63" x14ac:dyDescent="0.3">
      <c r="B14" s="144" t="s">
        <v>106</v>
      </c>
      <c r="C14" s="159"/>
      <c r="D14" s="257">
        <f>-D20-D28-D36-D41-D45-D49</f>
        <v>-3258912.9033333333</v>
      </c>
      <c r="E14" s="257">
        <f t="shared" ref="E14:BK14" si="5">-E20-E28-E36-E41-E45-E49</f>
        <v>-3228175.9033333333</v>
      </c>
      <c r="F14" s="257">
        <f t="shared" si="5"/>
        <v>-3228175.9033333333</v>
      </c>
      <c r="G14" s="257">
        <f t="shared" si="5"/>
        <v>-3681828.6814036728</v>
      </c>
      <c r="H14" s="257">
        <f t="shared" si="5"/>
        <v>-3480400.9469531747</v>
      </c>
      <c r="I14" s="257">
        <f t="shared" si="5"/>
        <v>-3480405.293755549</v>
      </c>
      <c r="J14" s="257">
        <f t="shared" si="5"/>
        <v>-3973511.9332901742</v>
      </c>
      <c r="K14" s="257">
        <f t="shared" si="5"/>
        <v>-3754316.2556881891</v>
      </c>
      <c r="L14" s="257">
        <f t="shared" si="5"/>
        <v>-3754325.32355446</v>
      </c>
      <c r="M14" s="257">
        <f t="shared" si="5"/>
        <v>-4290315.1431514993</v>
      </c>
      <c r="N14" s="257">
        <f t="shared" si="5"/>
        <v>-4052060.4188504298</v>
      </c>
      <c r="O14" s="257">
        <f t="shared" si="5"/>
        <v>-4052074.6154177887</v>
      </c>
      <c r="P14" s="257">
        <f t="shared" si="5"/>
        <v>-4637736.5544021279</v>
      </c>
      <c r="Q14" s="257">
        <f t="shared" si="5"/>
        <v>-4378757.7571026748</v>
      </c>
      <c r="R14" s="257">
        <f t="shared" si="5"/>
        <v>-4378738.5555957546</v>
      </c>
      <c r="S14" s="257">
        <f t="shared" si="5"/>
        <v>-4709729.5025169048</v>
      </c>
      <c r="T14" s="257">
        <f t="shared" si="5"/>
        <v>-4429909.1589920875</v>
      </c>
      <c r="U14" s="257">
        <f t="shared" si="5"/>
        <v>-4435003.0021169754</v>
      </c>
      <c r="V14" s="257">
        <f t="shared" si="5"/>
        <v>-4798179.6112144953</v>
      </c>
      <c r="W14" s="257">
        <f t="shared" si="5"/>
        <v>-4494856.7533209352</v>
      </c>
      <c r="X14" s="257">
        <f t="shared" si="5"/>
        <v>-4506432.4452464627</v>
      </c>
      <c r="Y14" s="257">
        <f t="shared" si="5"/>
        <v>-4904653.2828401178</v>
      </c>
      <c r="Z14" s="257">
        <f t="shared" si="5"/>
        <v>-4576811.0905306051</v>
      </c>
      <c r="AA14" s="257">
        <f t="shared" si="5"/>
        <v>-4595172.3542159833</v>
      </c>
      <c r="AB14" s="257">
        <f t="shared" si="5"/>
        <v>-5031577.5319478363</v>
      </c>
      <c r="AC14" s="257">
        <f t="shared" si="5"/>
        <v>-4678852.2583923545</v>
      </c>
      <c r="AD14" s="257">
        <f t="shared" si="5"/>
        <v>-4702676.6120488821</v>
      </c>
      <c r="AE14" s="257">
        <f t="shared" si="5"/>
        <v>-5067067.5467033479</v>
      </c>
      <c r="AF14" s="257">
        <f t="shared" si="5"/>
        <v>-4693227.0748004029</v>
      </c>
      <c r="AG14" s="257">
        <f t="shared" si="5"/>
        <v>-4723640.9696581811</v>
      </c>
      <c r="AH14" s="257">
        <f t="shared" si="5"/>
        <v>-5122326.8085808661</v>
      </c>
      <c r="AI14" s="257">
        <f t="shared" si="5"/>
        <v>-4722423.0317748189</v>
      </c>
      <c r="AJ14" s="257">
        <f t="shared" si="5"/>
        <v>-4758533.970828305</v>
      </c>
      <c r="AK14" s="257">
        <f t="shared" si="5"/>
        <v>-5199202.0499356603</v>
      </c>
      <c r="AL14" s="257">
        <f t="shared" si="5"/>
        <v>-4766730.4446279295</v>
      </c>
      <c r="AM14" s="257">
        <f t="shared" si="5"/>
        <v>-4812441.9781086091</v>
      </c>
      <c r="AN14" s="257">
        <f t="shared" si="5"/>
        <v>-5290588.5509428764</v>
      </c>
      <c r="AO14" s="257">
        <f t="shared" si="5"/>
        <v>-4826400.1751445113</v>
      </c>
      <c r="AP14" s="257">
        <f t="shared" si="5"/>
        <v>-4880709.3554279115</v>
      </c>
      <c r="AQ14" s="257">
        <f t="shared" si="5"/>
        <v>-5722028.3076702356</v>
      </c>
      <c r="AR14" s="257">
        <f t="shared" si="5"/>
        <v>-5217477.1620374601</v>
      </c>
      <c r="AS14" s="257">
        <f t="shared" si="5"/>
        <v>-5276510.3163578529</v>
      </c>
      <c r="AT14" s="257">
        <f t="shared" si="5"/>
        <v>-6190987.4383603735</v>
      </c>
      <c r="AU14" s="257">
        <f t="shared" si="5"/>
        <v>-5642565.1528989505</v>
      </c>
      <c r="AV14" s="257">
        <f t="shared" si="5"/>
        <v>-5706734.4972788747</v>
      </c>
      <c r="AW14" s="257">
        <f t="shared" si="5"/>
        <v>-6700731.3690207424</v>
      </c>
      <c r="AX14" s="257">
        <f t="shared" si="5"/>
        <v>-6104620.1891713711</v>
      </c>
      <c r="AY14" s="257">
        <f t="shared" si="5"/>
        <v>-6174370.9124837378</v>
      </c>
      <c r="AZ14" s="257">
        <f t="shared" si="5"/>
        <v>-7254802.2948118476</v>
      </c>
      <c r="BA14" s="257">
        <f t="shared" si="5"/>
        <v>-6606856.7960002972</v>
      </c>
      <c r="BB14" s="257">
        <f t="shared" si="5"/>
        <v>-6682672.7996006934</v>
      </c>
      <c r="BC14" s="257">
        <f t="shared" si="5"/>
        <v>-7857056.1725856438</v>
      </c>
      <c r="BD14" s="257">
        <f t="shared" si="5"/>
        <v>-7152767.5869209198</v>
      </c>
      <c r="BE14" s="257">
        <f t="shared" si="5"/>
        <v>-7234846.9893851187</v>
      </c>
      <c r="BF14" s="257">
        <f t="shared" si="5"/>
        <v>-8028713.8099999996</v>
      </c>
      <c r="BG14" s="257">
        <f t="shared" si="5"/>
        <v>-8028713.8099999996</v>
      </c>
      <c r="BH14" s="257">
        <f t="shared" si="5"/>
        <v>-8028713.8099999996</v>
      </c>
      <c r="BI14" s="257">
        <f t="shared" si="5"/>
        <v>-8028713.8099999996</v>
      </c>
      <c r="BJ14" s="257">
        <f t="shared" si="5"/>
        <v>-8028713.8099999996</v>
      </c>
      <c r="BK14" s="257">
        <f t="shared" si="5"/>
        <v>-8028713.8099999996</v>
      </c>
    </row>
    <row r="15" spans="2:63" x14ac:dyDescent="0.3">
      <c r="D15" s="1"/>
    </row>
    <row r="16" spans="2:63" x14ac:dyDescent="0.3">
      <c r="B16" s="37" t="s">
        <v>127</v>
      </c>
      <c r="C16" s="37"/>
      <c r="D16" s="44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</row>
    <row r="17" spans="2:63" x14ac:dyDescent="0.3">
      <c r="B17" s="207" t="s">
        <v>72</v>
      </c>
      <c r="C17" s="164"/>
      <c r="D17" s="155">
        <f>D12</f>
        <v>6814647.9699547691</v>
      </c>
      <c r="E17" s="155">
        <f>D17+E12</f>
        <v>3625316.891089289</v>
      </c>
      <c r="F17" s="155">
        <f t="shared" ref="F17:BK17" si="6">E17+F12</f>
        <v>401430.63300858811</v>
      </c>
      <c r="G17" s="155">
        <f t="shared" si="6"/>
        <v>200000.00000000093</v>
      </c>
      <c r="H17" s="155">
        <f t="shared" si="6"/>
        <v>200000.00000000093</v>
      </c>
      <c r="I17" s="155">
        <f t="shared" si="6"/>
        <v>200000.00000000093</v>
      </c>
      <c r="J17" s="155">
        <f t="shared" si="6"/>
        <v>200000.00000000093</v>
      </c>
      <c r="K17" s="155">
        <f t="shared" si="6"/>
        <v>200000.00000000093</v>
      </c>
      <c r="L17" s="155">
        <f t="shared" si="6"/>
        <v>200000.00000000093</v>
      </c>
      <c r="M17" s="155">
        <f t="shared" si="6"/>
        <v>200000.00000000093</v>
      </c>
      <c r="N17" s="155">
        <f t="shared" si="6"/>
        <v>200000.00000000093</v>
      </c>
      <c r="O17" s="155">
        <f t="shared" si="6"/>
        <v>200000.00000000093</v>
      </c>
      <c r="P17" s="155">
        <f t="shared" si="6"/>
        <v>200000.00000000093</v>
      </c>
      <c r="Q17" s="155">
        <f t="shared" si="6"/>
        <v>200000.00000000093</v>
      </c>
      <c r="R17" s="155">
        <f t="shared" si="6"/>
        <v>200000.00000000093</v>
      </c>
      <c r="S17" s="155">
        <f t="shared" si="6"/>
        <v>200000.00000000093</v>
      </c>
      <c r="T17" s="155">
        <f t="shared" si="6"/>
        <v>200000.00000000093</v>
      </c>
      <c r="U17" s="155">
        <f t="shared" si="6"/>
        <v>200000.00000001211</v>
      </c>
      <c r="V17" s="155">
        <f t="shared" si="6"/>
        <v>200000.00000001211</v>
      </c>
      <c r="W17" s="155">
        <f t="shared" si="6"/>
        <v>200000.00000001211</v>
      </c>
      <c r="X17" s="155">
        <f t="shared" si="6"/>
        <v>200000.00000001211</v>
      </c>
      <c r="Y17" s="155">
        <f t="shared" si="6"/>
        <v>200000.00000001211</v>
      </c>
      <c r="Z17" s="155">
        <f t="shared" si="6"/>
        <v>200000.00000001211</v>
      </c>
      <c r="AA17" s="155">
        <f t="shared" si="6"/>
        <v>200000.00000001211</v>
      </c>
      <c r="AB17" s="155">
        <f t="shared" si="6"/>
        <v>200000.00000001211</v>
      </c>
      <c r="AC17" s="155">
        <f t="shared" si="6"/>
        <v>200000.00000001211</v>
      </c>
      <c r="AD17" s="155">
        <f t="shared" si="6"/>
        <v>200000.00000001211</v>
      </c>
      <c r="AE17" s="155">
        <f t="shared" si="6"/>
        <v>200000.00000001211</v>
      </c>
      <c r="AF17" s="155">
        <f t="shared" si="6"/>
        <v>200000.00000001211</v>
      </c>
      <c r="AG17" s="155">
        <f t="shared" si="6"/>
        <v>200000.00000001211</v>
      </c>
      <c r="AH17" s="155">
        <f t="shared" si="6"/>
        <v>200000.00000001211</v>
      </c>
      <c r="AI17" s="155">
        <f t="shared" si="6"/>
        <v>200000.00000001211</v>
      </c>
      <c r="AJ17" s="155">
        <f t="shared" si="6"/>
        <v>200000.00000001211</v>
      </c>
      <c r="AK17" s="155">
        <f t="shared" si="6"/>
        <v>200000.00000001211</v>
      </c>
      <c r="AL17" s="155">
        <f t="shared" si="6"/>
        <v>200000.00000001211</v>
      </c>
      <c r="AM17" s="155">
        <f t="shared" si="6"/>
        <v>200000.00000001211</v>
      </c>
      <c r="AN17" s="155">
        <f t="shared" si="6"/>
        <v>200000.00000001211</v>
      </c>
      <c r="AO17" s="155">
        <f t="shared" si="6"/>
        <v>200000.00000001211</v>
      </c>
      <c r="AP17" s="155">
        <f t="shared" si="6"/>
        <v>200000.00000001211</v>
      </c>
      <c r="AQ17" s="155">
        <f t="shared" si="6"/>
        <v>200000.00000001211</v>
      </c>
      <c r="AR17" s="155">
        <f t="shared" si="6"/>
        <v>200000.00000001211</v>
      </c>
      <c r="AS17" s="155">
        <f t="shared" si="6"/>
        <v>200000.00000001211</v>
      </c>
      <c r="AT17" s="155">
        <f t="shared" si="6"/>
        <v>200000.00000001211</v>
      </c>
      <c r="AU17" s="155">
        <f t="shared" si="6"/>
        <v>200000.00000001211</v>
      </c>
      <c r="AV17" s="155">
        <f t="shared" si="6"/>
        <v>200000.00000001211</v>
      </c>
      <c r="AW17" s="155">
        <f t="shared" si="6"/>
        <v>200000.00000001211</v>
      </c>
      <c r="AX17" s="155">
        <f t="shared" si="6"/>
        <v>200000.00000001211</v>
      </c>
      <c r="AY17" s="155">
        <f t="shared" si="6"/>
        <v>200000.00000001211</v>
      </c>
      <c r="AZ17" s="155">
        <f t="shared" si="6"/>
        <v>200000.00000001211</v>
      </c>
      <c r="BA17" s="155">
        <f t="shared" si="6"/>
        <v>200000.00000001211</v>
      </c>
      <c r="BB17" s="155">
        <f t="shared" si="6"/>
        <v>200000.00000001211</v>
      </c>
      <c r="BC17" s="155">
        <f t="shared" si="6"/>
        <v>200000.00000001211</v>
      </c>
      <c r="BD17" s="155">
        <f t="shared" si="6"/>
        <v>200000.00000001211</v>
      </c>
      <c r="BE17" s="155">
        <f t="shared" si="6"/>
        <v>200000.00000001211</v>
      </c>
      <c r="BF17" s="155">
        <f t="shared" si="6"/>
        <v>688209.43971114419</v>
      </c>
      <c r="BG17" s="155">
        <f t="shared" si="6"/>
        <v>407685.81283092871</v>
      </c>
      <c r="BH17" s="155">
        <f t="shared" si="6"/>
        <v>214171.6261124583</v>
      </c>
      <c r="BI17" s="155">
        <f t="shared" si="6"/>
        <v>891289.88323060982</v>
      </c>
      <c r="BJ17" s="155">
        <f t="shared" si="6"/>
        <v>1576231.2176293777</v>
      </c>
      <c r="BK17" s="156">
        <f t="shared" si="6"/>
        <v>2269086.0131338835</v>
      </c>
    </row>
    <row r="18" spans="2:63" x14ac:dyDescent="0.3">
      <c r="B18" s="107"/>
      <c r="C18" s="107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</row>
    <row r="19" spans="2:63" x14ac:dyDescent="0.3">
      <c r="B19" s="27" t="s">
        <v>128</v>
      </c>
      <c r="D19" s="34">
        <f>D20-D21</f>
        <v>3200000</v>
      </c>
      <c r="E19" s="34">
        <f t="shared" ref="E19:AJ19" si="7">D19+(E20-E21)</f>
        <v>6400000</v>
      </c>
      <c r="F19" s="34">
        <f t="shared" si="7"/>
        <v>9600000</v>
      </c>
      <c r="G19" s="34">
        <f t="shared" si="7"/>
        <v>10053652.77807034</v>
      </c>
      <c r="H19" s="34">
        <f t="shared" si="7"/>
        <v>10305642.868356848</v>
      </c>
      <c r="I19" s="34">
        <f t="shared" si="7"/>
        <v>10557637.305445731</v>
      </c>
      <c r="J19" s="34">
        <f t="shared" si="7"/>
        <v>10849085.603998899</v>
      </c>
      <c r="K19" s="34">
        <f t="shared" si="7"/>
        <v>11123000.912733914</v>
      </c>
      <c r="L19" s="34">
        <f t="shared" si="7"/>
        <v>11396920.942532826</v>
      </c>
      <c r="M19" s="34">
        <f t="shared" si="7"/>
        <v>11713724.152394151</v>
      </c>
      <c r="N19" s="34">
        <f t="shared" si="7"/>
        <v>12011468.315556392</v>
      </c>
      <c r="O19" s="34">
        <f t="shared" si="7"/>
        <v>12309217.607419722</v>
      </c>
      <c r="P19" s="34">
        <f t="shared" si="7"/>
        <v>12375504.748196773</v>
      </c>
      <c r="Q19" s="34">
        <f t="shared" si="7"/>
        <v>12422600.890136722</v>
      </c>
      <c r="R19" s="34">
        <f t="shared" si="7"/>
        <v>12474416.618003432</v>
      </c>
      <c r="S19" s="34">
        <f t="shared" si="7"/>
        <v>12555844.340069545</v>
      </c>
      <c r="T19" s="34">
        <f t="shared" si="7"/>
        <v>12615666.171301946</v>
      </c>
      <c r="U19" s="34">
        <f t="shared" si="7"/>
        <v>12681446.388648702</v>
      </c>
      <c r="V19" s="34">
        <f t="shared" si="7"/>
        <v>12779466.839581624</v>
      </c>
      <c r="W19" s="34">
        <f t="shared" si="7"/>
        <v>12854947.256733805</v>
      </c>
      <c r="X19" s="34">
        <f t="shared" si="7"/>
        <v>12936658.886409683</v>
      </c>
      <c r="Y19" s="34">
        <f t="shared" si="7"/>
        <v>13052431.793095373</v>
      </c>
      <c r="Z19" s="34">
        <f t="shared" si="7"/>
        <v>13145376.735270523</v>
      </c>
      <c r="AA19" s="34">
        <f t="shared" si="7"/>
        <v>13243352.779749295</v>
      </c>
      <c r="AB19" s="34">
        <f t="shared" si="7"/>
        <v>13276149.270431716</v>
      </c>
      <c r="AC19" s="34">
        <f t="shared" si="7"/>
        <v>13289486.617069762</v>
      </c>
      <c r="AD19" s="34">
        <f t="shared" si="7"/>
        <v>13308876.439597864</v>
      </c>
      <c r="AE19" s="34">
        <f t="shared" si="7"/>
        <v>13359862.130414121</v>
      </c>
      <c r="AF19" s="34">
        <f t="shared" si="7"/>
        <v>13386829.887231981</v>
      </c>
      <c r="AG19" s="34">
        <f t="shared" si="7"/>
        <v>13419068.089596774</v>
      </c>
      <c r="AH19" s="34">
        <f t="shared" si="7"/>
        <v>13489887.383424785</v>
      </c>
      <c r="AI19" s="34">
        <f t="shared" si="7"/>
        <v>13530782.459027588</v>
      </c>
      <c r="AJ19" s="34">
        <f t="shared" si="7"/>
        <v>13580492.365606276</v>
      </c>
      <c r="AK19" s="34">
        <f t="shared" ref="AK19:BK19" si="8">AJ19+(AK20-AK21)</f>
        <v>13667736.789933808</v>
      </c>
      <c r="AL19" s="34">
        <f t="shared" si="8"/>
        <v>13725747.494742151</v>
      </c>
      <c r="AM19" s="34">
        <f t="shared" si="8"/>
        <v>13791627.765305683</v>
      </c>
      <c r="AN19" s="34">
        <f t="shared" si="8"/>
        <v>14188547.052981066</v>
      </c>
      <c r="AO19" s="34">
        <f t="shared" si="8"/>
        <v>14548332.592908412</v>
      </c>
      <c r="AP19" s="34">
        <f t="shared" si="8"/>
        <v>14912465.511515304</v>
      </c>
      <c r="AQ19" s="34">
        <f t="shared" si="8"/>
        <v>15343905.268242665</v>
      </c>
      <c r="AR19" s="34">
        <f t="shared" si="8"/>
        <v>15734982.255135614</v>
      </c>
      <c r="AS19" s="34">
        <f t="shared" si="8"/>
        <v>16130783.216065556</v>
      </c>
      <c r="AT19" s="34">
        <f t="shared" si="8"/>
        <v>16599742.346755695</v>
      </c>
      <c r="AU19" s="34">
        <f t="shared" si="8"/>
        <v>17024830.337617185</v>
      </c>
      <c r="AV19" s="34">
        <f t="shared" si="8"/>
        <v>17455054.518538207</v>
      </c>
      <c r="AW19" s="34">
        <f t="shared" si="8"/>
        <v>17964798.449198574</v>
      </c>
      <c r="AX19" s="34">
        <f t="shared" si="8"/>
        <v>18426853.485470995</v>
      </c>
      <c r="AY19" s="34">
        <f t="shared" si="8"/>
        <v>18894489.900675859</v>
      </c>
      <c r="AZ19" s="34">
        <f t="shared" si="8"/>
        <v>19448560.826466963</v>
      </c>
      <c r="BA19" s="34">
        <f t="shared" si="8"/>
        <v>19950797.433295891</v>
      </c>
      <c r="BB19" s="34">
        <f t="shared" si="8"/>
        <v>20458796.367079511</v>
      </c>
      <c r="BC19" s="34">
        <f t="shared" si="8"/>
        <v>21060747.291519973</v>
      </c>
      <c r="BD19" s="34">
        <f t="shared" si="8"/>
        <v>21606355.129107263</v>
      </c>
      <c r="BE19" s="34">
        <f t="shared" si="8"/>
        <v>22158529.318891689</v>
      </c>
      <c r="BF19" s="34">
        <f t="shared" si="8"/>
        <v>22330186.956306044</v>
      </c>
      <c r="BG19" s="34">
        <f t="shared" si="8"/>
        <v>23206133.179385126</v>
      </c>
      <c r="BH19" s="34">
        <f t="shared" si="8"/>
        <v>24000000.000000007</v>
      </c>
      <c r="BI19" s="34">
        <f t="shared" si="8"/>
        <v>24000000.000000007</v>
      </c>
      <c r="BJ19" s="34">
        <f t="shared" si="8"/>
        <v>24000000.000000007</v>
      </c>
      <c r="BK19" s="34">
        <f t="shared" si="8"/>
        <v>24000000.000000007</v>
      </c>
    </row>
    <row r="20" spans="2:63" x14ac:dyDescent="0.3">
      <c r="B20" s="143" t="s">
        <v>116</v>
      </c>
      <c r="C20" s="158"/>
      <c r="D20" s="216">
        <f>SUMIFS(Tabela1[Valor de Cessão],Tabela1[Data de Cessão],"&lt;="&amp;Caixa!D3)</f>
        <v>3200000</v>
      </c>
      <c r="E20" s="38">
        <f>SUMIFS(Tabela1[Valor de Cessão],Tabela1[Data de Cessão],"&gt;"&amp;Caixa!D3,Tabela1[Data de Cessão],"&lt;="&amp;E3)</f>
        <v>3200000</v>
      </c>
      <c r="F20" s="38">
        <f>SUMIFS(Tabela1[Valor de Cessão],Tabela1[Data de Cessão],"&gt;"&amp;Caixa!E3,Tabela1[Data de Cessão],"&lt;="&amp;F3)</f>
        <v>3200000</v>
      </c>
      <c r="G20" s="38">
        <f>SUMIFS(Tabela1[Valor de Cessão],Tabela1[Data de Cessão],"&gt;"&amp;Caixa!F3,Tabela1[Data de Cessão],"&lt;="&amp;G3)</f>
        <v>3653652.7780703395</v>
      </c>
      <c r="H20" s="38">
        <f>SUMIFS(Tabela1[Valor de Cessão],Tabela1[Data de Cessão],"&gt;"&amp;Caixa!G3,Tabela1[Data de Cessão],"&lt;="&amp;H3)</f>
        <v>3451990.0902865082</v>
      </c>
      <c r="I20" s="38">
        <f>SUMIFS(Tabela1[Valor de Cessão],Tabela1[Data de Cessão],"&gt;"&amp;Caixa!H3,Tabela1[Data de Cessão],"&lt;="&amp;I3)</f>
        <v>3451994.4370888826</v>
      </c>
      <c r="J20" s="38">
        <f>SUMIFS(Tabela1[Valor de Cessão],Tabela1[Data de Cessão],"&gt;"&amp;Caixa!I3,Tabela1[Data de Cessão],"&lt;="&amp;J3)</f>
        <v>3945101.0766235078</v>
      </c>
      <c r="K20" s="38">
        <f>SUMIFS(Tabela1[Valor de Cessão],Tabela1[Data de Cessão],"&gt;"&amp;Caixa!J3,Tabela1[Data de Cessão],"&lt;="&amp;K3)</f>
        <v>3725905.3990215226</v>
      </c>
      <c r="L20" s="38">
        <f>SUMIFS(Tabela1[Valor de Cessão],Tabela1[Data de Cessão],"&gt;"&amp;Caixa!K3,Tabela1[Data de Cessão],"&lt;="&amp;L3)</f>
        <v>3725914.4668877935</v>
      </c>
      <c r="M20" s="38">
        <f>SUMIFS(Tabela1[Valor de Cessão],Tabela1[Data de Cessão],"&gt;"&amp;Caixa!L3,Tabela1[Data de Cessão],"&lt;="&amp;M3)</f>
        <v>4261904.2864848329</v>
      </c>
      <c r="N20" s="38">
        <f>SUMIFS(Tabela1[Valor de Cessão],Tabela1[Data de Cessão],"&gt;"&amp;Caixa!M3,Tabela1[Data de Cessão],"&lt;="&amp;N3)</f>
        <v>4023649.5621837634</v>
      </c>
      <c r="O20" s="38">
        <f>SUMIFS(Tabela1[Valor de Cessão],Tabela1[Data de Cessão],"&gt;"&amp;Caixa!N3,Tabela1[Data de Cessão],"&lt;="&amp;O3)</f>
        <v>4023663.7587511223</v>
      </c>
      <c r="P20" s="38">
        <f>SUMIFS(Tabela1[Valor de Cessão],Tabela1[Data de Cessão],"&gt;"&amp;Caixa!O3,Tabela1[Data de Cessão],"&lt;="&amp;P3)</f>
        <v>4328191.4272618843</v>
      </c>
      <c r="Q20" s="38">
        <f>SUMIFS(Tabela1[Valor de Cessão],Tabela1[Data de Cessão],"&gt;"&amp;Caixa!P3,Tabela1[Data de Cessão],"&lt;="&amp;Q3)</f>
        <v>4070745.7041237135</v>
      </c>
      <c r="R20" s="38">
        <f>SUMIFS(Tabela1[Valor de Cessão],Tabela1[Data de Cessão],"&gt;"&amp;Caixa!Q3,Tabela1[Data de Cessão],"&lt;="&amp;R3)</f>
        <v>4075479.4866178315</v>
      </c>
      <c r="S20" s="38">
        <f>SUMIFS(Tabela1[Valor de Cessão],Tabela1[Data de Cessão],"&gt;"&amp;Caixa!R3,Tabela1[Data de Cessão],"&lt;="&amp;S3)</f>
        <v>4409619.149327998</v>
      </c>
      <c r="T20" s="38">
        <f>SUMIFS(Tabela1[Valor de Cessão],Tabela1[Data de Cessão],"&gt;"&amp;Caixa!S3,Tabela1[Data de Cessão],"&lt;="&amp;T3)</f>
        <v>4130567.5353561132</v>
      </c>
      <c r="U20" s="38">
        <f>SUMIFS(Tabela1[Valor de Cessão],Tabela1[Data de Cessão],"&gt;"&amp;Caixa!T3,Tabela1[Data de Cessão],"&lt;="&amp;U3)</f>
        <v>4141259.7039645873</v>
      </c>
      <c r="V20" s="38">
        <f>SUMIFS(Tabela1[Valor de Cessão],Tabela1[Data de Cessão],"&gt;"&amp;Caixa!U3,Tabela1[Data de Cessão],"&lt;="&amp;V3)</f>
        <v>4507639.6002609199</v>
      </c>
      <c r="W20" s="38">
        <f>SUMIFS(Tabela1[Valor de Cessão],Tabela1[Data de Cessão],"&gt;"&amp;Caixa!V3,Tabela1[Data de Cessão],"&lt;="&amp;W3)</f>
        <v>4206047.952508294</v>
      </c>
      <c r="X20" s="38">
        <f>SUMIFS(Tabela1[Valor de Cessão],Tabela1[Data de Cessão],"&gt;"&amp;Caixa!W3,Tabela1[Data de Cessão],"&lt;="&amp;X3)</f>
        <v>4222971.3336404655</v>
      </c>
      <c r="Y20" s="38">
        <f>SUMIFS(Tabela1[Valor de Cessão],Tabela1[Data de Cessão],"&gt;"&amp;Caixa!X3,Tabela1[Data de Cessão],"&lt;="&amp;Y3)</f>
        <v>4623412.5069466094</v>
      </c>
      <c r="Z20" s="38">
        <f>SUMIFS(Tabela1[Valor de Cessão],Tabela1[Data de Cessão],"&gt;"&amp;Caixa!Y3,Tabela1[Data de Cessão],"&lt;="&amp;Z3)</f>
        <v>4298992.8946834449</v>
      </c>
      <c r="AA20" s="38">
        <f>SUMIFS(Tabela1[Valor de Cessão],Tabela1[Data de Cessão],"&gt;"&amp;Caixa!Z3,Tabela1[Data de Cessão],"&lt;="&amp;AA3)</f>
        <v>4320947.3781192377</v>
      </c>
      <c r="AB20" s="38">
        <f>SUMIFS(Tabela1[Valor de Cessão],Tabela1[Data de Cessão],"&gt;"&amp;Caixa!AA3,Tabela1[Data de Cessão],"&lt;="&amp;AB3)</f>
        <v>4656208.9976290297</v>
      </c>
      <c r="AC20" s="38">
        <f>SUMIFS(Tabela1[Valor de Cessão],Tabela1[Data de Cessão],"&gt;"&amp;Caixa!AB3,Tabela1[Data de Cessão],"&lt;="&amp;AC3)</f>
        <v>4312330.2413214911</v>
      </c>
      <c r="AD20" s="38">
        <f>SUMIFS(Tabela1[Valor de Cessão],Tabela1[Data de Cessão],"&gt;"&amp;Caixa!AC3,Tabela1[Data de Cessão],"&lt;="&amp;AD3)</f>
        <v>4340337.2006473392</v>
      </c>
      <c r="AE20" s="38">
        <f>SUMIFS(Tabela1[Valor de Cessão],Tabela1[Data de Cessão],"&gt;"&amp;Caixa!AD3,Tabela1[Data de Cessão],"&lt;="&amp;AE3)</f>
        <v>4707194.6884452859</v>
      </c>
      <c r="AF20" s="38">
        <f>SUMIFS(Tabela1[Valor de Cessão],Tabela1[Data de Cessão],"&gt;"&amp;Caixa!AE3,Tabela1[Data de Cessão],"&lt;="&amp;AF3)</f>
        <v>4339297.9981393516</v>
      </c>
      <c r="AG20" s="38">
        <f>SUMIFS(Tabela1[Valor de Cessão],Tabela1[Data de Cessão],"&gt;"&amp;Caixa!AF3,Tabela1[Data de Cessão],"&lt;="&amp;AG3)</f>
        <v>4372575.4030121323</v>
      </c>
      <c r="AH20" s="38">
        <f>SUMIFS(Tabela1[Valor de Cessão],Tabela1[Data de Cessão],"&gt;"&amp;Caixa!AG3,Tabela1[Data de Cessão],"&lt;="&amp;AH3)</f>
        <v>4778013.9822732965</v>
      </c>
      <c r="AI20" s="38">
        <f>SUMIFS(Tabela1[Valor de Cessão],Tabela1[Data de Cessão],"&gt;"&amp;Caixa!AH3,Tabela1[Data de Cessão],"&lt;="&amp;AI3)</f>
        <v>4380193.073742155</v>
      </c>
      <c r="AJ20" s="38">
        <f>SUMIFS(Tabela1[Valor de Cessão],Tabela1[Data de Cessão],"&gt;"&amp;Caixa!AI3,Tabela1[Data de Cessão],"&lt;="&amp;AJ3)</f>
        <v>4422285.3095908202</v>
      </c>
      <c r="AK20" s="38">
        <f>SUMIFS(Tabela1[Valor de Cessão],Tabela1[Data de Cessão],"&gt;"&amp;Caixa!AJ3,Tabela1[Data de Cessão],"&lt;="&amp;AK3)</f>
        <v>4865258.4066008274</v>
      </c>
      <c r="AL20" s="38">
        <f>SUMIFS(Tabela1[Valor de Cessão],Tabela1[Data de Cessão],"&gt;"&amp;Caixa!AK3,Tabela1[Data de Cessão],"&lt;="&amp;AL3)</f>
        <v>4438203.7785504973</v>
      </c>
      <c r="AM20" s="38">
        <f>SUMIFS(Tabela1[Valor de Cessão],Tabela1[Data de Cessão],"&gt;"&amp;Caixa!AL3,Tabela1[Data de Cessão],"&lt;="&amp;AM3)</f>
        <v>4488165.5801543519</v>
      </c>
      <c r="AN20" s="38">
        <f>SUMIFS(Tabela1[Valor de Cessão],Tabela1[Data de Cessão],"&gt;"&amp;Caixa!AM3,Tabela1[Data de Cessão],"&lt;="&amp;AN3)</f>
        <v>5262177.6942762099</v>
      </c>
      <c r="AO20" s="38">
        <f>SUMIFS(Tabela1[Valor de Cessão],Tabela1[Data de Cessão],"&gt;"&amp;Caixa!AN3,Tabela1[Data de Cessão],"&lt;="&amp;AO3)</f>
        <v>4797989.3184778448</v>
      </c>
      <c r="AP20" s="38">
        <f>SUMIFS(Tabela1[Valor de Cessão],Tabela1[Data de Cessão],"&gt;"&amp;Caixa!AO3,Tabela1[Data de Cessão],"&lt;="&amp;AP3)</f>
        <v>4852298.498761245</v>
      </c>
      <c r="AQ20" s="38">
        <f>SUMIFS(Tabela1[Valor de Cessão],Tabela1[Data de Cessão],"&gt;"&amp;Caixa!AP3,Tabela1[Data de Cessão],"&lt;="&amp;AQ3)</f>
        <v>5693617.4510035692</v>
      </c>
      <c r="AR20" s="38">
        <f>SUMIFS(Tabela1[Valor de Cessão],Tabela1[Data de Cessão],"&gt;"&amp;Caixa!AQ3,Tabela1[Data de Cessão],"&lt;="&amp;AR3)</f>
        <v>5189066.3053707937</v>
      </c>
      <c r="AS20" s="38">
        <f>SUMIFS(Tabela1[Valor de Cessão],Tabela1[Data de Cessão],"&gt;"&amp;Caixa!AR3,Tabela1[Data de Cessão],"&lt;="&amp;AS3)</f>
        <v>5248099.4596911864</v>
      </c>
      <c r="AT20" s="38">
        <f>SUMIFS(Tabela1[Valor de Cessão],Tabela1[Data de Cessão],"&gt;"&amp;Caixa!AS3,Tabela1[Data de Cessão],"&lt;="&amp;AT3)</f>
        <v>6162576.581693707</v>
      </c>
      <c r="AU20" s="38">
        <f>SUMIFS(Tabela1[Valor de Cessão],Tabela1[Data de Cessão],"&gt;"&amp;Caixa!AT3,Tabela1[Data de Cessão],"&lt;="&amp;AU3)</f>
        <v>5614154.296232284</v>
      </c>
      <c r="AV20" s="38">
        <f>SUMIFS(Tabela1[Valor de Cessão],Tabela1[Data de Cessão],"&gt;"&amp;Caixa!AU3,Tabela1[Data de Cessão],"&lt;="&amp;AV3)</f>
        <v>5678323.6406122083</v>
      </c>
      <c r="AW20" s="38">
        <f>SUMIFS(Tabela1[Valor de Cessão],Tabela1[Data de Cessão],"&gt;"&amp;Caixa!AV3,Tabela1[Data de Cessão],"&lt;="&amp;AW3)</f>
        <v>6672320.5123540759</v>
      </c>
      <c r="AX20" s="38">
        <f>SUMIFS(Tabela1[Valor de Cessão],Tabela1[Data de Cessão],"&gt;"&amp;Caixa!AW3,Tabela1[Data de Cessão],"&lt;="&amp;AX3)</f>
        <v>6076209.3325047046</v>
      </c>
      <c r="AY20" s="38">
        <f>SUMIFS(Tabela1[Valor de Cessão],Tabela1[Data de Cessão],"&gt;"&amp;Caixa!AX3,Tabela1[Data de Cessão],"&lt;="&amp;AY3)</f>
        <v>6145960.0558170713</v>
      </c>
      <c r="AZ20" s="38">
        <f>SUMIFS(Tabela1[Valor de Cessão],Tabela1[Data de Cessão],"&gt;"&amp;Caixa!AY3,Tabela1[Data de Cessão],"&lt;="&amp;AZ3)</f>
        <v>7226391.4381451812</v>
      </c>
      <c r="BA20" s="38">
        <f>SUMIFS(Tabela1[Valor de Cessão],Tabela1[Data de Cessão],"&gt;"&amp;Caixa!AZ3,Tabela1[Data de Cessão],"&lt;="&amp;BA3)</f>
        <v>6578445.9393336307</v>
      </c>
      <c r="BB20" s="38">
        <f>SUMIFS(Tabela1[Valor de Cessão],Tabela1[Data de Cessão],"&gt;"&amp;Caixa!BA3,Tabela1[Data de Cessão],"&lt;="&amp;BB3)</f>
        <v>6653958.9896006938</v>
      </c>
      <c r="BC20" s="38">
        <f>SUMIFS(Tabela1[Valor de Cessão],Tabela1[Data de Cessão],"&gt;"&amp;Caixa!BB3,Tabela1[Data de Cessão],"&lt;="&amp;BC3)</f>
        <v>7828342.3625856442</v>
      </c>
      <c r="BD20" s="38">
        <f>SUMIFS(Tabela1[Valor de Cessão],Tabela1[Data de Cessão],"&gt;"&amp;Caixa!BC3,Tabela1[Data de Cessão],"&lt;="&amp;BD3)</f>
        <v>7124053.7769209202</v>
      </c>
      <c r="BE20" s="38">
        <f>SUMIFS(Tabela1[Valor de Cessão],Tabela1[Data de Cessão],"&gt;"&amp;Caixa!BD3,Tabela1[Data de Cessão],"&lt;="&amp;BE3)</f>
        <v>7206133.1793851191</v>
      </c>
      <c r="BF20" s="38">
        <f>SUMIFS(Tabela1[Valor de Cessão],Tabela1[Data de Cessão],"&gt;"&amp;Caixa!BE3,Tabela1[Data de Cessão],"&lt;="&amp;BF3)</f>
        <v>8000000</v>
      </c>
      <c r="BG20" s="38">
        <f>SUMIFS(Tabela1[Valor de Cessão],Tabela1[Data de Cessão],"&gt;"&amp;Caixa!BF3,Tabela1[Data de Cessão],"&lt;="&amp;BG3)</f>
        <v>8000000</v>
      </c>
      <c r="BH20" s="38">
        <f>SUMIFS(Tabela1[Valor de Cessão],Tabela1[Data de Cessão],"&gt;"&amp;Caixa!BG3,Tabela1[Data de Cessão],"&lt;="&amp;BH3)</f>
        <v>8000000</v>
      </c>
      <c r="BI20" s="38">
        <f>SUMIFS(Tabela1[Valor de Cessão],Tabela1[Data de Cessão],"&gt;"&amp;Caixa!BH3,Tabela1[Data de Cessão],"&lt;="&amp;BI3)</f>
        <v>8000000</v>
      </c>
      <c r="BJ20" s="38">
        <f>SUMIFS(Tabela1[Valor de Cessão],Tabela1[Data de Cessão],"&gt;"&amp;Caixa!BI3,Tabela1[Data de Cessão],"&lt;="&amp;BJ3)</f>
        <v>8000000</v>
      </c>
      <c r="BK20" s="39">
        <f>SUMIFS(Tabela1[Valor de Cessão],Tabela1[Data de Cessão],"&gt;"&amp;Caixa!BJ3,Tabela1[Data de Cessão],"&lt;="&amp;BK3)</f>
        <v>8000000</v>
      </c>
    </row>
    <row r="21" spans="2:63" x14ac:dyDescent="0.3">
      <c r="B21" s="144" t="s">
        <v>111</v>
      </c>
      <c r="C21" s="159"/>
      <c r="D21" s="41">
        <f>SUMIFS(Tabela1[Valor de Cessão],Tabela1[Venc.],"&lt;="&amp;Caixa!D3)*_xlfn.XLOOKUP(D3,Tabela1[Venc.],Tabela1[PERFORMADO],0,-1)</f>
        <v>0</v>
      </c>
      <c r="E21" s="42">
        <f>SUMIFS(Tabela1[Valor de Cessão],Tabela1[Venc.],"&lt;="&amp;Caixa!E3,Tabela1[Venc.],"&gt;="&amp;Caixa!D3)*_xlfn.XLOOKUP(E3,Tabela1[Venc.],Tabela1[PERFORMADO],0,-1)</f>
        <v>0</v>
      </c>
      <c r="F21" s="42">
        <f>SUMIFS(Tabela1[Valor de Cessão],Tabela1[Venc.],"&lt;="&amp;Caixa!F3,Tabela1[Venc.],"&gt;="&amp;Caixa!E3)*_xlfn.XLOOKUP(F3,Tabela1[Venc.],Tabela1[PERFORMADO],0,-1)</f>
        <v>0</v>
      </c>
      <c r="G21" s="42">
        <f>SUMIFS(Tabela1[Valor de Cessão],Tabela1[Venc.],"&lt;="&amp;Caixa!G3,Tabela1[Venc.],"&gt;="&amp;Caixa!F3)*_xlfn.XLOOKUP(G3,Tabela1[Venc.],Tabela1[PERFORMADO],0,-1)</f>
        <v>3200000</v>
      </c>
      <c r="H21" s="42">
        <f>SUMIFS(Tabela1[Valor de Cessão],Tabela1[Venc.],"&lt;="&amp;Caixa!H3,Tabela1[Venc.],"&gt;="&amp;Caixa!G3)*_xlfn.XLOOKUP(H3,Tabela1[Venc.],Tabela1[PERFORMADO],0,-1)</f>
        <v>3200000</v>
      </c>
      <c r="I21" s="42">
        <f>SUMIFS(Tabela1[Valor de Cessão],Tabela1[Venc.],"&lt;="&amp;Caixa!I3,Tabela1[Venc.],"&gt;="&amp;Caixa!H3)*_xlfn.XLOOKUP(I3,Tabela1[Venc.],Tabela1[PERFORMADO],0,-1)</f>
        <v>3200000</v>
      </c>
      <c r="J21" s="42">
        <f>SUMIFS(Tabela1[Valor de Cessão],Tabela1[Venc.],"&lt;="&amp;Caixa!J3,Tabela1[Venc.],"&gt;="&amp;Caixa!I3)*_xlfn.XLOOKUP(J3,Tabela1[Venc.],Tabela1[PERFORMADO],0,-1)</f>
        <v>3653652.7780703395</v>
      </c>
      <c r="K21" s="42">
        <f>SUMIFS(Tabela1[Valor de Cessão],Tabela1[Venc.],"&lt;="&amp;Caixa!K3,Tabela1[Venc.],"&gt;="&amp;Caixa!J3)*_xlfn.XLOOKUP(K3,Tabela1[Venc.],Tabela1[PERFORMADO],0,-1)</f>
        <v>3451990.0902865082</v>
      </c>
      <c r="L21" s="42">
        <f>SUMIFS(Tabela1[Valor de Cessão],Tabela1[Venc.],"&lt;="&amp;Caixa!L3,Tabela1[Venc.],"&gt;="&amp;Caixa!K3)*_xlfn.XLOOKUP(L3,Tabela1[Venc.],Tabela1[PERFORMADO],0,-1)</f>
        <v>3451994.4370888826</v>
      </c>
      <c r="M21" s="42">
        <f>SUMIFS(Tabela1[Valor de Cessão],Tabela1[Venc.],"&lt;="&amp;Caixa!M3,Tabela1[Venc.],"&gt;="&amp;Caixa!L3)*_xlfn.XLOOKUP(M3,Tabela1[Venc.],Tabela1[PERFORMADO],0,-1)</f>
        <v>3945101.0766235078</v>
      </c>
      <c r="N21" s="42">
        <f>SUMIFS(Tabela1[Valor de Cessão],Tabela1[Venc.],"&lt;="&amp;Caixa!N3,Tabela1[Venc.],"&gt;="&amp;Caixa!M3)*_xlfn.XLOOKUP(N3,Tabela1[Venc.],Tabela1[PERFORMADO],0,-1)</f>
        <v>3725905.3990215226</v>
      </c>
      <c r="O21" s="42">
        <f>SUMIFS(Tabela1[Valor de Cessão],Tabela1[Venc.],"&lt;="&amp;Caixa!O3,Tabela1[Venc.],"&gt;="&amp;Caixa!N3)*_xlfn.XLOOKUP(O3,Tabela1[Venc.],Tabela1[PERFORMADO],0,-1)</f>
        <v>3725914.4668877935</v>
      </c>
      <c r="P21" s="42">
        <f>SUMIFS(Tabela1[Valor de Cessão],Tabela1[Venc.],"&lt;="&amp;Caixa!P3,Tabela1[Venc.],"&gt;="&amp;Caixa!O3)*_xlfn.XLOOKUP(P3,Tabela1[Venc.],Tabela1[PERFORMADO],0,-1)</f>
        <v>4261904.2864848329</v>
      </c>
      <c r="Q21" s="42">
        <f>SUMIFS(Tabela1[Valor de Cessão],Tabela1[Venc.],"&lt;="&amp;Caixa!Q3,Tabela1[Venc.],"&gt;="&amp;Caixa!P3)*_xlfn.XLOOKUP(Q3,Tabela1[Venc.],Tabela1[PERFORMADO],0,-1)</f>
        <v>4023649.5621837634</v>
      </c>
      <c r="R21" s="42">
        <f>SUMIFS(Tabela1[Valor de Cessão],Tabela1[Venc.],"&lt;="&amp;Caixa!R3,Tabela1[Venc.],"&gt;="&amp;Caixa!Q3)*_xlfn.XLOOKUP(R3,Tabela1[Venc.],Tabela1[PERFORMADO],0,-1)</f>
        <v>4023663.7587511223</v>
      </c>
      <c r="S21" s="42">
        <f>SUMIFS(Tabela1[Valor de Cessão],Tabela1[Venc.],"&lt;="&amp;Caixa!S3,Tabela1[Venc.],"&gt;="&amp;Caixa!R3)*_xlfn.XLOOKUP(S3,Tabela1[Venc.],Tabela1[PERFORMADO],0,-1)</f>
        <v>4328191.4272618843</v>
      </c>
      <c r="T21" s="42">
        <f>SUMIFS(Tabela1[Valor de Cessão],Tabela1[Venc.],"&lt;="&amp;Caixa!T3,Tabela1[Venc.],"&gt;="&amp;Caixa!S3)*_xlfn.XLOOKUP(T3,Tabela1[Venc.],Tabela1[PERFORMADO],0,-1)</f>
        <v>4070745.7041237135</v>
      </c>
      <c r="U21" s="42">
        <f>SUMIFS(Tabela1[Valor de Cessão],Tabela1[Venc.],"&lt;="&amp;Caixa!U3,Tabela1[Venc.],"&gt;="&amp;Caixa!T3)*_xlfn.XLOOKUP(U3,Tabela1[Venc.],Tabela1[PERFORMADO],0,-1)</f>
        <v>4075479.4866178315</v>
      </c>
      <c r="V21" s="42">
        <f>SUMIFS(Tabela1[Valor de Cessão],Tabela1[Venc.],"&lt;="&amp;Caixa!V3,Tabela1[Venc.],"&gt;="&amp;Caixa!U3)*_xlfn.XLOOKUP(V3,Tabela1[Venc.],Tabela1[PERFORMADO],0,-1)</f>
        <v>4409619.149327998</v>
      </c>
      <c r="W21" s="42">
        <f>SUMIFS(Tabela1[Valor de Cessão],Tabela1[Venc.],"&lt;="&amp;Caixa!W3,Tabela1[Venc.],"&gt;="&amp;Caixa!V3)*_xlfn.XLOOKUP(W3,Tabela1[Venc.],Tabela1[PERFORMADO],0,-1)</f>
        <v>4130567.5353561132</v>
      </c>
      <c r="X21" s="42">
        <f>SUMIFS(Tabela1[Valor de Cessão],Tabela1[Venc.],"&lt;="&amp;Caixa!X3,Tabela1[Venc.],"&gt;="&amp;Caixa!W3)*_xlfn.XLOOKUP(X3,Tabela1[Venc.],Tabela1[PERFORMADO],0,-1)</f>
        <v>4141259.7039645873</v>
      </c>
      <c r="Y21" s="42">
        <f>SUMIFS(Tabela1[Valor de Cessão],Tabela1[Venc.],"&lt;="&amp;Caixa!Y3,Tabela1[Venc.],"&gt;="&amp;Caixa!X3)*_xlfn.XLOOKUP(Y3,Tabela1[Venc.],Tabela1[PERFORMADO],0,-1)</f>
        <v>4507639.6002609199</v>
      </c>
      <c r="Z21" s="42">
        <f>SUMIFS(Tabela1[Valor de Cessão],Tabela1[Venc.],"&lt;="&amp;Caixa!Z3,Tabela1[Venc.],"&gt;="&amp;Caixa!Y3)*_xlfn.XLOOKUP(Z3,Tabela1[Venc.],Tabela1[PERFORMADO],0,-1)</f>
        <v>4206047.952508294</v>
      </c>
      <c r="AA21" s="42">
        <f>SUMIFS(Tabela1[Valor de Cessão],Tabela1[Venc.],"&lt;="&amp;Caixa!AA3,Tabela1[Venc.],"&gt;="&amp;Caixa!Z3)*_xlfn.XLOOKUP(AA3,Tabela1[Venc.],Tabela1[PERFORMADO],0,-1)</f>
        <v>4222971.3336404655</v>
      </c>
      <c r="AB21" s="42">
        <f>SUMIFS(Tabela1[Valor de Cessão],Tabela1[Venc.],"&lt;="&amp;Caixa!AB3,Tabela1[Venc.],"&gt;="&amp;Caixa!AA3)*_xlfn.XLOOKUP(AB3,Tabela1[Venc.],Tabela1[PERFORMADO],0,-1)</f>
        <v>4623412.5069466094</v>
      </c>
      <c r="AC21" s="42">
        <f>SUMIFS(Tabela1[Valor de Cessão],Tabela1[Venc.],"&lt;="&amp;Caixa!AC3,Tabela1[Venc.],"&gt;="&amp;Caixa!AB3)*_xlfn.XLOOKUP(AC3,Tabela1[Venc.],Tabela1[PERFORMADO],0,-1)</f>
        <v>4298992.8946834449</v>
      </c>
      <c r="AD21" s="42">
        <f>SUMIFS(Tabela1[Valor de Cessão],Tabela1[Venc.],"&lt;="&amp;Caixa!AD3,Tabela1[Venc.],"&gt;="&amp;Caixa!AC3)*_xlfn.XLOOKUP(AD3,Tabela1[Venc.],Tabela1[PERFORMADO],0,-1)</f>
        <v>4320947.3781192377</v>
      </c>
      <c r="AE21" s="42">
        <f>SUMIFS(Tabela1[Valor de Cessão],Tabela1[Venc.],"&lt;="&amp;Caixa!AE3,Tabela1[Venc.],"&gt;="&amp;Caixa!AD3)*_xlfn.XLOOKUP(AE3,Tabela1[Venc.],Tabela1[PERFORMADO],0,-1)</f>
        <v>4656208.9976290297</v>
      </c>
      <c r="AF21" s="42">
        <f>SUMIFS(Tabela1[Valor de Cessão],Tabela1[Venc.],"&lt;="&amp;Caixa!AF3,Tabela1[Venc.],"&gt;="&amp;Caixa!AE3)*_xlfn.XLOOKUP(AF3,Tabela1[Venc.],Tabela1[PERFORMADO],0,-1)</f>
        <v>4312330.2413214911</v>
      </c>
      <c r="AG21" s="42">
        <f>SUMIFS(Tabela1[Valor de Cessão],Tabela1[Venc.],"&lt;="&amp;Caixa!AG3,Tabela1[Venc.],"&gt;="&amp;Caixa!AF3)*_xlfn.XLOOKUP(AG3,Tabela1[Venc.],Tabela1[PERFORMADO],0,-1)</f>
        <v>4340337.2006473392</v>
      </c>
      <c r="AH21" s="42">
        <f>SUMIFS(Tabela1[Valor de Cessão],Tabela1[Venc.],"&lt;="&amp;Caixa!AH3,Tabela1[Venc.],"&gt;="&amp;Caixa!AG3)*_xlfn.XLOOKUP(AH3,Tabela1[Venc.],Tabela1[PERFORMADO],0,-1)</f>
        <v>4707194.6884452859</v>
      </c>
      <c r="AI21" s="42">
        <f>SUMIFS(Tabela1[Valor de Cessão],Tabela1[Venc.],"&lt;="&amp;Caixa!AI3,Tabela1[Venc.],"&gt;="&amp;Caixa!AH3)*_xlfn.XLOOKUP(AI3,Tabela1[Venc.],Tabela1[PERFORMADO],0,-1)</f>
        <v>4339297.9981393516</v>
      </c>
      <c r="AJ21" s="42">
        <f>SUMIFS(Tabela1[Valor de Cessão],Tabela1[Venc.],"&lt;="&amp;Caixa!AJ3,Tabela1[Venc.],"&gt;="&amp;Caixa!AI3)*_xlfn.XLOOKUP(AJ3,Tabela1[Venc.],Tabela1[PERFORMADO],0,-1)</f>
        <v>4372575.4030121323</v>
      </c>
      <c r="AK21" s="42">
        <f>SUMIFS(Tabela1[Valor de Cessão],Tabela1[Venc.],"&lt;="&amp;Caixa!AK3,Tabela1[Venc.],"&gt;="&amp;Caixa!AJ3)*_xlfn.XLOOKUP(AK3,Tabela1[Venc.],Tabela1[PERFORMADO],0,-1)</f>
        <v>4778013.9822732965</v>
      </c>
      <c r="AL21" s="42">
        <f>SUMIFS(Tabela1[Valor de Cessão],Tabela1[Venc.],"&lt;="&amp;Caixa!AL3,Tabela1[Venc.],"&gt;="&amp;Caixa!AK3)*_xlfn.XLOOKUP(AL3,Tabela1[Venc.],Tabela1[PERFORMADO],0,-1)</f>
        <v>4380193.073742155</v>
      </c>
      <c r="AM21" s="42">
        <f>SUMIFS(Tabela1[Valor de Cessão],Tabela1[Venc.],"&lt;="&amp;Caixa!AM3,Tabela1[Venc.],"&gt;="&amp;Caixa!AL3)*_xlfn.XLOOKUP(AM3,Tabela1[Venc.],Tabela1[PERFORMADO],0,-1)</f>
        <v>4422285.3095908202</v>
      </c>
      <c r="AN21" s="42">
        <f>SUMIFS(Tabela1[Valor de Cessão],Tabela1[Venc.],"&lt;="&amp;Caixa!AN3,Tabela1[Venc.],"&gt;="&amp;Caixa!AM3)*_xlfn.XLOOKUP(AN3,Tabela1[Venc.],Tabela1[PERFORMADO],0,-1)</f>
        <v>4865258.4066008274</v>
      </c>
      <c r="AO21" s="42">
        <f>SUMIFS(Tabela1[Valor de Cessão],Tabela1[Venc.],"&lt;="&amp;Caixa!AO3,Tabela1[Venc.],"&gt;="&amp;Caixa!AN3)*_xlfn.XLOOKUP(AO3,Tabela1[Venc.],Tabela1[PERFORMADO],0,-1)</f>
        <v>4438203.7785504973</v>
      </c>
      <c r="AP21" s="42">
        <f>SUMIFS(Tabela1[Valor de Cessão],Tabela1[Venc.],"&lt;="&amp;Caixa!AP3,Tabela1[Venc.],"&gt;="&amp;Caixa!AO3)*_xlfn.XLOOKUP(AP3,Tabela1[Venc.],Tabela1[PERFORMADO],0,-1)</f>
        <v>4488165.5801543519</v>
      </c>
      <c r="AQ21" s="42">
        <f>SUMIFS(Tabela1[Valor de Cessão],Tabela1[Venc.],"&lt;="&amp;Caixa!AQ3,Tabela1[Venc.],"&gt;="&amp;Caixa!AP3)*_xlfn.XLOOKUP(AQ3,Tabela1[Venc.],Tabela1[PERFORMADO],0,-1)</f>
        <v>5262177.6942762099</v>
      </c>
      <c r="AR21" s="42">
        <f>SUMIFS(Tabela1[Valor de Cessão],Tabela1[Venc.],"&lt;="&amp;Caixa!AR3,Tabela1[Venc.],"&gt;="&amp;Caixa!AQ3)*_xlfn.XLOOKUP(AR3,Tabela1[Venc.],Tabela1[PERFORMADO],0,-1)</f>
        <v>4797989.3184778448</v>
      </c>
      <c r="AS21" s="42">
        <f>SUMIFS(Tabela1[Valor de Cessão],Tabela1[Venc.],"&lt;="&amp;Caixa!AS3,Tabela1[Venc.],"&gt;="&amp;Caixa!AR3)*_xlfn.XLOOKUP(AS3,Tabela1[Venc.],Tabela1[PERFORMADO],0,-1)</f>
        <v>4852298.498761245</v>
      </c>
      <c r="AT21" s="42">
        <f>SUMIFS(Tabela1[Valor de Cessão],Tabela1[Venc.],"&lt;="&amp;Caixa!AT3,Tabela1[Venc.],"&gt;="&amp;Caixa!AS3)*_xlfn.XLOOKUP(AT3,Tabela1[Venc.],Tabela1[PERFORMADO],0,-1)</f>
        <v>5693617.4510035692</v>
      </c>
      <c r="AU21" s="42">
        <f>SUMIFS(Tabela1[Valor de Cessão],Tabela1[Venc.],"&lt;="&amp;Caixa!AU3,Tabela1[Venc.],"&gt;="&amp;Caixa!AT3)*_xlfn.XLOOKUP(AU3,Tabela1[Venc.],Tabela1[PERFORMADO],0,-1)</f>
        <v>5189066.3053707937</v>
      </c>
      <c r="AV21" s="42">
        <f>SUMIFS(Tabela1[Valor de Cessão],Tabela1[Venc.],"&lt;="&amp;Caixa!AV3,Tabela1[Venc.],"&gt;="&amp;Caixa!AU3)*_xlfn.XLOOKUP(AV3,Tabela1[Venc.],Tabela1[PERFORMADO],0,-1)</f>
        <v>5248099.4596911864</v>
      </c>
      <c r="AW21" s="42">
        <f>SUMIFS(Tabela1[Valor de Cessão],Tabela1[Venc.],"&lt;="&amp;Caixa!AW3,Tabela1[Venc.],"&gt;="&amp;Caixa!AV3)*_xlfn.XLOOKUP(AW3,Tabela1[Venc.],Tabela1[PERFORMADO],0,-1)</f>
        <v>6162576.581693707</v>
      </c>
      <c r="AX21" s="42">
        <f>SUMIFS(Tabela1[Valor de Cessão],Tabela1[Venc.],"&lt;="&amp;Caixa!AX3,Tabela1[Venc.],"&gt;="&amp;Caixa!AW3)*_xlfn.XLOOKUP(AX3,Tabela1[Venc.],Tabela1[PERFORMADO],0,-1)</f>
        <v>5614154.296232284</v>
      </c>
      <c r="AY21" s="42">
        <f>SUMIFS(Tabela1[Valor de Cessão],Tabela1[Venc.],"&lt;="&amp;Caixa!AY3,Tabela1[Venc.],"&gt;="&amp;Caixa!AX3)*_xlfn.XLOOKUP(AY3,Tabela1[Venc.],Tabela1[PERFORMADO],0,-1)</f>
        <v>5678323.6406122083</v>
      </c>
      <c r="AZ21" s="42">
        <f>SUMIFS(Tabela1[Valor de Cessão],Tabela1[Venc.],"&lt;="&amp;Caixa!AZ3,Tabela1[Venc.],"&gt;="&amp;Caixa!AY3)*_xlfn.XLOOKUP(AZ3,Tabela1[Venc.],Tabela1[PERFORMADO],0,-1)</f>
        <v>6672320.5123540759</v>
      </c>
      <c r="BA21" s="42">
        <f>SUMIFS(Tabela1[Valor de Cessão],Tabela1[Venc.],"&lt;="&amp;Caixa!BA3,Tabela1[Venc.],"&gt;="&amp;Caixa!AZ3)*_xlfn.XLOOKUP(BA3,Tabela1[Venc.],Tabela1[PERFORMADO],0,-1)</f>
        <v>6076209.3325047046</v>
      </c>
      <c r="BB21" s="42">
        <f>SUMIFS(Tabela1[Valor de Cessão],Tabela1[Venc.],"&lt;="&amp;Caixa!BB3,Tabela1[Venc.],"&gt;="&amp;Caixa!BA3)*_xlfn.XLOOKUP(BB3,Tabela1[Venc.],Tabela1[PERFORMADO],0,-1)</f>
        <v>6145960.0558170713</v>
      </c>
      <c r="BC21" s="42">
        <f>SUMIFS(Tabela1[Valor de Cessão],Tabela1[Venc.],"&lt;="&amp;Caixa!BC3,Tabela1[Venc.],"&gt;="&amp;Caixa!BB3)*_xlfn.XLOOKUP(BC3,Tabela1[Venc.],Tabela1[PERFORMADO],0,-1)</f>
        <v>7226391.4381451812</v>
      </c>
      <c r="BD21" s="42">
        <f>SUMIFS(Tabela1[Valor de Cessão],Tabela1[Venc.],"&lt;="&amp;Caixa!BD3,Tabela1[Venc.],"&gt;="&amp;Caixa!BC3)*_xlfn.XLOOKUP(BD3,Tabela1[Venc.],Tabela1[PERFORMADO],0,-1)</f>
        <v>6578445.9393336307</v>
      </c>
      <c r="BE21" s="42">
        <f>SUMIFS(Tabela1[Valor de Cessão],Tabela1[Venc.],"&lt;="&amp;Caixa!BE3,Tabela1[Venc.],"&gt;="&amp;Caixa!BD3)*_xlfn.XLOOKUP(BE3,Tabela1[Venc.],Tabela1[PERFORMADO],0,-1)</f>
        <v>6653958.9896006938</v>
      </c>
      <c r="BF21" s="42">
        <f>SUMIFS(Tabela1[Valor de Cessão],Tabela1[Venc.],"&lt;="&amp;Caixa!BF3,Tabela1[Venc.],"&gt;="&amp;Caixa!BE3)*_xlfn.XLOOKUP(BF3,Tabela1[Venc.],Tabela1[PERFORMADO],0,-1)</f>
        <v>7828342.3625856442</v>
      </c>
      <c r="BG21" s="42">
        <f>SUMIFS(Tabela1[Valor de Cessão],Tabela1[Venc.],"&lt;="&amp;Caixa!BG3,Tabela1[Venc.],"&gt;="&amp;Caixa!BF3)*_xlfn.XLOOKUP(BG3,Tabela1[Venc.],Tabela1[PERFORMADO],0,-1)</f>
        <v>7124053.7769209202</v>
      </c>
      <c r="BH21" s="42">
        <f>SUMIFS(Tabela1[Valor de Cessão],Tabela1[Venc.],"&lt;="&amp;Caixa!BH3,Tabela1[Venc.],"&gt;="&amp;Caixa!BG3)*_xlfn.XLOOKUP(BH3,Tabela1[Venc.],Tabela1[PERFORMADO],0,-1)</f>
        <v>7206133.1793851191</v>
      </c>
      <c r="BI21" s="42">
        <f>SUMIFS(Tabela1[Valor de Cessão],Tabela1[Venc.],"&lt;="&amp;Caixa!BI3,Tabela1[Venc.],"&gt;="&amp;Caixa!BH3)*_xlfn.XLOOKUP(BI3,Tabela1[Venc.],Tabela1[PERFORMADO],0,-1)</f>
        <v>8000000</v>
      </c>
      <c r="BJ21" s="42">
        <f>SUMIFS(Tabela1[Valor de Cessão],Tabela1[Venc.],"&lt;="&amp;Caixa!BJ3,Tabela1[Venc.],"&gt;="&amp;Caixa!BI3)*_xlfn.XLOOKUP(BJ3,Tabela1[Venc.],Tabela1[PERFORMADO],0,-1)</f>
        <v>8000000</v>
      </c>
      <c r="BK21" s="43">
        <f>SUMIFS(Tabela1[Valor de Cessão],Tabela1[Venc.],"&lt;="&amp;Caixa!BK3,Tabela1[Venc.],"&gt;="&amp;Caixa!BJ3)*_xlfn.XLOOKUP(BK3,Tabela1[Venc.],Tabela1[PERFORMADO],0,-1)</f>
        <v>8000000</v>
      </c>
    </row>
    <row r="22" spans="2:63" x14ac:dyDescent="0.3">
      <c r="B22" s="30"/>
      <c r="C22" s="30"/>
      <c r="D22" s="21"/>
      <c r="E22" s="21"/>
      <c r="F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</row>
    <row r="23" spans="2:63" x14ac:dyDescent="0.3">
      <c r="B23" s="27" t="s">
        <v>129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</row>
    <row r="24" spans="2:63" x14ac:dyDescent="0.3">
      <c r="B24" s="143" t="s">
        <v>158</v>
      </c>
      <c r="C24" s="158"/>
      <c r="D24" s="38">
        <f>SUMIFS(Tabela1[[Deságio ]],Tabela1[Venc.],"&lt;="&amp;Caixa!D3)*_xlfn.XLOOKUP(D3,Tabela1[Venc.],Tabela1[PERFORMADO],0,-1)</f>
        <v>0</v>
      </c>
      <c r="E24" s="38">
        <f>SUMIFS(Tabela1[[Deságio ]],Tabela1[Venc.],"&lt;="&amp;Caixa!E3,Tabela1[Venc.],"&gt;="&amp;Caixa!D3)*_xlfn.XLOOKUP(E3,Tabela1[Venc.],Tabela1[PERFORMADO],0,-1)</f>
        <v>0</v>
      </c>
      <c r="F24" s="38">
        <f>SUMIFS(Tabela1[[Deságio ]],Tabela1[Venc.],"&lt;="&amp;Caixa!F3,Tabela1[Venc.],"&gt;="&amp;Caixa!E3)*_xlfn.XLOOKUP(F3,Tabela1[Venc.],Tabela1[PERFORMADO],0,-1)</f>
        <v>0</v>
      </c>
      <c r="G24" s="38">
        <f>SUMIFS(Tabela1[[Deságio ]],Tabela1[Venc.],"&lt;="&amp;Caixa!G3,Tabela1[Venc.],"&gt;="&amp;Caixa!F3)*_xlfn.XLOOKUP(G3,Tabela1[Venc.],Tabela1[PERFORMADO],0,-1)</f>
        <v>278260.86956521729</v>
      </c>
      <c r="H24" s="38">
        <f>SUMIFS(Tabela1[[Deságio ]],Tabela1[Venc.],"&lt;="&amp;Caixa!H3,Tabela1[Venc.],"&gt;="&amp;Caixa!G3)</f>
        <v>278260.86956521729</v>
      </c>
      <c r="I24" s="38">
        <f>SUMIFS(Tabela1[[Deságio ]],Tabela1[Venc.],"&lt;="&amp;Caixa!I3,Tabela1[Venc.],"&gt;="&amp;Caixa!H3)</f>
        <v>278260.86956521729</v>
      </c>
      <c r="J24" s="38">
        <f>SUMIFS(Tabela1[[Deságio ]],Tabela1[Venc.],"&lt;="&amp;Caixa!J3,Tabela1[Venc.],"&gt;="&amp;Caixa!I3)</f>
        <v>317708.93722350756</v>
      </c>
      <c r="K24" s="38">
        <f>SUMIFS(Tabela1[[Deságio ]],Tabela1[Venc.],"&lt;="&amp;Caixa!K3,Tabela1[Venc.],"&gt;="&amp;Caixa!J3)</f>
        <v>300173.05132926162</v>
      </c>
      <c r="L24" s="38">
        <f>SUMIFS(Tabela1[[Deságio ]],Tabela1[Venc.],"&lt;="&amp;Caixa!L3,Tabela1[Venc.],"&gt;="&amp;Caixa!K3)</f>
        <v>300173.42931207642</v>
      </c>
      <c r="M24" s="38">
        <f>SUMIFS(Tabela1[[Deságio ]],Tabela1[Venc.],"&lt;="&amp;Caixa!M3,Tabela1[Venc.],"&gt;="&amp;Caixa!L3)</f>
        <v>343052.26753247902</v>
      </c>
      <c r="N24" s="38">
        <f>SUMIFS(Tabela1[[Deságio ]],Tabela1[Venc.],"&lt;="&amp;Caixa!N3,Tabela1[Venc.],"&gt;="&amp;Caixa!M3)</f>
        <v>323991.77382795839</v>
      </c>
      <c r="O24" s="38">
        <f>SUMIFS(Tabela1[[Deságio ]],Tabela1[Venc.],"&lt;="&amp;Caixa!O3,Tabela1[Venc.],"&gt;="&amp;Caixa!N3)</f>
        <v>323992.56233806862</v>
      </c>
      <c r="P24" s="38">
        <f>SUMIFS(Tabela1[[Deságio ]],Tabela1[Venc.],"&lt;="&amp;Caixa!P3,Tabela1[Venc.],"&gt;="&amp;Caixa!O3)</f>
        <v>370600.37273781095</v>
      </c>
      <c r="Q24" s="38">
        <f>SUMIFS(Tabela1[[Deságio ]],Tabela1[Venc.],"&lt;="&amp;Caixa!Q3,Tabela1[Venc.],"&gt;="&amp;Caixa!P3)</f>
        <v>349882.57062467514</v>
      </c>
      <c r="R24" s="38">
        <f>SUMIFS(Tabela1[[Deságio ]],Tabela1[Venc.],"&lt;="&amp;Caixa!R3,Tabela1[Venc.],"&gt;="&amp;Caixa!Q3)</f>
        <v>349883.80510879308</v>
      </c>
      <c r="S24" s="38">
        <f>SUMIFS(Tabela1[[Deságio ]],Tabela1[Venc.],"&lt;="&amp;Caixa!S3,Tabela1[Venc.],"&gt;="&amp;Caixa!R3)</f>
        <v>376364.47193581611</v>
      </c>
      <c r="T24" s="38">
        <f>SUMIFS(Tabela1[[Deságio ]],Tabela1[Venc.],"&lt;="&amp;Caixa!T3,Tabela1[Venc.],"&gt;="&amp;Caixa!S3)</f>
        <v>353977.88731510518</v>
      </c>
      <c r="U24" s="38">
        <f>SUMIFS(Tabela1[[Deságio ]],Tabela1[Venc.],"&lt;="&amp;Caixa!U3,Tabela1[Venc.],"&gt;="&amp;Caixa!T3)</f>
        <v>354389.52057546377</v>
      </c>
      <c r="V24" s="38">
        <f>SUMIFS(Tabela1[[Deságio ]],Tabela1[Venc.],"&lt;="&amp;Caixa!V3,Tabela1[Venc.],"&gt;="&amp;Caixa!U3)</f>
        <v>383445.14341982547</v>
      </c>
      <c r="W24" s="38">
        <f>SUMIFS(Tabela1[[Deságio ]],Tabela1[Venc.],"&lt;="&amp;Caixa!W3,Tabela1[Venc.],"&gt;="&amp;Caixa!V3)</f>
        <v>359179.78568313969</v>
      </c>
      <c r="X24" s="38">
        <f>SUMIFS(Tabela1[[Deságio ]],Tabela1[Venc.],"&lt;="&amp;Caixa!X3,Tabela1[Venc.],"&gt;="&amp;Caixa!W3)</f>
        <v>360109.53947518114</v>
      </c>
      <c r="Y24" s="38">
        <f>SUMIFS(Tabela1[[Deságio ]],Tabela1[Venc.],"&lt;="&amp;Caixa!Y3,Tabela1[Venc.],"&gt;="&amp;Caixa!X3)</f>
        <v>391968.66089225374</v>
      </c>
      <c r="Z24" s="38">
        <f>SUMIFS(Tabela1[[Deságio ]],Tabela1[Venc.],"&lt;="&amp;Caixa!Z3,Tabela1[Venc.],"&gt;="&amp;Caixa!Y3)</f>
        <v>365743.30021811277</v>
      </c>
      <c r="AA24" s="38">
        <f>SUMIFS(Tabela1[[Deságio ]],Tabela1[Venc.],"&lt;="&amp;Caixa!AA3,Tabela1[Venc.],"&gt;="&amp;Caixa!Z3)</f>
        <v>367214.89857743122</v>
      </c>
      <c r="AB24" s="38">
        <f>SUMIFS(Tabela1[[Deságio ]],Tabela1[Venc.],"&lt;="&amp;Caixa!AB3,Tabela1[Venc.],"&gt;="&amp;Caixa!AA3)</f>
        <v>402035.87016926985</v>
      </c>
      <c r="AC24" s="38">
        <f>SUMIFS(Tabela1[[Deságio ]],Tabela1[Venc.],"&lt;="&amp;Caixa!AC3,Tabela1[Venc.],"&gt;="&amp;Caixa!AB3)</f>
        <v>373825.46910290793</v>
      </c>
      <c r="AD24" s="38">
        <f>SUMIFS(Tabela1[[Deságio ]],Tabela1[Venc.],"&lt;="&amp;Caixa!AD3,Tabela1[Venc.],"&gt;="&amp;Caixa!AC3)</f>
        <v>375734.55461906362</v>
      </c>
      <c r="AE24" s="38">
        <f>SUMIFS(Tabela1[[Deságio ]],Tabela1[Venc.],"&lt;="&amp;Caixa!AE3,Tabela1[Venc.],"&gt;="&amp;Caixa!AD3)</f>
        <v>404887.73892426305</v>
      </c>
      <c r="AF24" s="38">
        <f>SUMIFS(Tabela1[[Deságio ]],Tabela1[Venc.],"&lt;="&amp;Caixa!AF3,Tabela1[Venc.],"&gt;="&amp;Caixa!AE3)</f>
        <v>374985.23837578204</v>
      </c>
      <c r="AG24" s="38">
        <f>SUMIFS(Tabela1[[Deságio ]],Tabela1[Venc.],"&lt;="&amp;Caixa!AG3,Tabela1[Venc.],"&gt;="&amp;Caixa!AF3)</f>
        <v>377420.62614324689</v>
      </c>
      <c r="AH24" s="38">
        <f>SUMIFS(Tabela1[[Deságio ]],Tabela1[Venc.],"&lt;="&amp;Caixa!AH3,Tabela1[Venc.],"&gt;="&amp;Caixa!AG3)</f>
        <v>409321.27725611161</v>
      </c>
      <c r="AI24" s="38">
        <f>SUMIFS(Tabela1[[Deságio ]],Tabela1[Venc.],"&lt;="&amp;Caixa!AI3,Tabela1[Venc.],"&gt;="&amp;Caixa!AH3)</f>
        <v>377330.26070776954</v>
      </c>
      <c r="AJ24" s="38">
        <f>SUMIFS(Tabela1[[Deságio ]],Tabela1[Venc.],"&lt;="&amp;Caixa!AJ3,Tabela1[Venc.],"&gt;="&amp;Caixa!AI3)</f>
        <v>380223.9480880117</v>
      </c>
      <c r="AK24" s="38">
        <f>SUMIFS(Tabela1[[Deságio ]],Tabela1[Venc.],"&lt;="&amp;Caixa!AK3,Tabela1[Venc.],"&gt;="&amp;Caixa!AJ3)</f>
        <v>415479.47671941668</v>
      </c>
      <c r="AL24" s="38">
        <f>SUMIFS(Tabela1[[Deságio ]],Tabela1[Venc.],"&lt;="&amp;Caixa!AL3,Tabela1[Venc.],"&gt;="&amp;Caixa!AK3)</f>
        <v>380886.35423844773</v>
      </c>
      <c r="AM24" s="38">
        <f>SUMIFS(Tabela1[[Deságio ]],Tabela1[Venc.],"&lt;="&amp;Caixa!AM3,Tabela1[Venc.],"&gt;="&amp;Caixa!AL3)</f>
        <v>384546.54866007157</v>
      </c>
      <c r="AN24" s="38">
        <f>SUMIFS(Tabela1[[Deságio ]],Tabela1[Venc.],"&lt;="&amp;Caixa!AN3,Tabela1[Venc.],"&gt;="&amp;Caixa!AM3)</f>
        <v>423065.94840007182</v>
      </c>
      <c r="AO24" s="38">
        <f>SUMIFS(Tabela1[[Deságio ]],Tabela1[Venc.],"&lt;="&amp;Caixa!AO3,Tabela1[Venc.],"&gt;="&amp;Caixa!AN3)</f>
        <v>385930.76335221715</v>
      </c>
      <c r="AP24" s="38">
        <f>SUMIFS(Tabela1[[Deságio ]],Tabela1[Venc.],"&lt;="&amp;Caixa!AP3,Tabela1[Venc.],"&gt;="&amp;Caixa!AO3)</f>
        <v>390275.26783950906</v>
      </c>
      <c r="AQ24" s="38">
        <f>SUMIFS(Tabela1[[Deságio ]],Tabela1[Venc.],"&lt;="&amp;Caixa!AQ3,Tabela1[Venc.],"&gt;="&amp;Caixa!AP3)</f>
        <v>457580.66906749643</v>
      </c>
      <c r="AR24" s="38">
        <f>SUMIFS(Tabela1[[Deságio ]],Tabela1[Venc.],"&lt;="&amp;Caixa!AR3,Tabela1[Venc.],"&gt;="&amp;Caixa!AQ3)</f>
        <v>417216.46247633453</v>
      </c>
      <c r="AS24" s="38">
        <f>SUMIFS(Tabela1[[Deságio ]],Tabela1[Venc.],"&lt;="&amp;Caixa!AS3,Tabela1[Venc.],"&gt;="&amp;Caixa!AR3)</f>
        <v>421938.9998922823</v>
      </c>
      <c r="AT24" s="38">
        <f>SUMIFS(Tabela1[[Deságio ]],Tabela1[Venc.],"&lt;="&amp;Caixa!AT3,Tabela1[Venc.],"&gt;="&amp;Caixa!AS3)</f>
        <v>495097.16965248436</v>
      </c>
      <c r="AU24" s="38">
        <f>SUMIFS(Tabela1[[Deságio ]],Tabela1[Venc.],"&lt;="&amp;Caixa!AU3,Tabela1[Venc.],"&gt;="&amp;Caixa!AT3)</f>
        <v>451223.15698876418</v>
      </c>
      <c r="AV24" s="38">
        <f>SUMIFS(Tabela1[[Deságio ]],Tabela1[Venc.],"&lt;="&amp;Caixa!AV3,Tabela1[Venc.],"&gt;="&amp;Caixa!AU3)</f>
        <v>456356.47475575469</v>
      </c>
      <c r="AW24" s="38">
        <f>SUMIFS(Tabela1[[Deságio ]],Tabela1[Venc.],"&lt;="&amp;Caixa!AW3,Tabela1[Venc.],"&gt;="&amp;Caixa!AV3)</f>
        <v>535876.22449510451</v>
      </c>
      <c r="AX24" s="38">
        <f>SUMIFS(Tabela1[[Deságio ]],Tabela1[Venc.],"&lt;="&amp;Caixa!AX3,Tabela1[Venc.],"&gt;="&amp;Caixa!AW3)</f>
        <v>488187.33010715526</v>
      </c>
      <c r="AY24" s="38">
        <f>SUMIFS(Tabela1[[Deságio ]],Tabela1[Venc.],"&lt;="&amp;Caixa!AY3,Tabela1[Venc.],"&gt;="&amp;Caixa!AX3)</f>
        <v>493767.27309671324</v>
      </c>
      <c r="AZ24" s="38">
        <f>SUMIFS(Tabela1[[Deságio ]],Tabela1[Venc.],"&lt;="&amp;Caixa!AZ3,Tabela1[Venc.],"&gt;="&amp;Caixa!AY3)</f>
        <v>580201.78368296288</v>
      </c>
      <c r="BA24" s="38">
        <f>SUMIFS(Tabela1[[Deságio ]],Tabela1[Venc.],"&lt;="&amp;Caixa!BA3,Tabela1[Venc.],"&gt;="&amp;Caixa!AZ3)</f>
        <v>528366.02891345229</v>
      </c>
      <c r="BB24" s="38">
        <f>SUMIFS(Tabela1[[Deságio ]],Tabela1[Venc.],"&lt;="&amp;Caixa!BB3,Tabela1[Venc.],"&gt;="&amp;Caixa!BA3)</f>
        <v>534431.30920148455</v>
      </c>
      <c r="BC24" s="38">
        <f>SUMIFS(Tabela1[[Deságio ]],Tabela1[Venc.],"&lt;="&amp;Caixa!BC3,Tabela1[Venc.],"&gt;="&amp;Caixa!BB3)</f>
        <v>628381.86418653745</v>
      </c>
      <c r="BD24" s="38">
        <f>SUMIFS(Tabela1[[Deságio ]],Tabela1[Venc.],"&lt;="&amp;Caixa!BD3,Tabela1[Venc.],"&gt;="&amp;Caixa!BC3)</f>
        <v>572038.77733335923</v>
      </c>
      <c r="BE24" s="38">
        <f>SUMIFS(Tabela1[[Deságio ]],Tabela1[Venc.],"&lt;="&amp;Caixa!BE3,Tabela1[Venc.],"&gt;="&amp;Caixa!BD3)</f>
        <v>578605.12953049503</v>
      </c>
      <c r="BF24" s="38">
        <f>SUMIFS(Tabela1[[Deságio ]],Tabela1[Venc.],"&lt;="&amp;Caixa!BF3,Tabela1[Venc.],"&gt;="&amp;Caixa!BE3)</f>
        <v>680725.42283353303</v>
      </c>
      <c r="BG24" s="38">
        <f>SUMIFS(Tabela1[[Deságio ]],Tabela1[Venc.],"&lt;="&amp;Caixa!BG3,Tabela1[Venc.],"&gt;="&amp;Caixa!BF3)</f>
        <v>619482.93712355755</v>
      </c>
      <c r="BH24" s="38">
        <f>SUMIFS(Tabela1[[Deságio ]],Tabela1[Venc.],"&lt;="&amp;Caixa!BH3,Tabela1[Venc.],"&gt;="&amp;Caixa!BG3)</f>
        <v>626620.27646827046</v>
      </c>
      <c r="BI24" s="38">
        <f>SUMIFS(Tabela1[[Deságio ]],Tabela1[Venc.],"&lt;="&amp;Caixa!BI3,Tabela1[Venc.],"&gt;="&amp;Caixa!BH3)</f>
        <v>695652.17391304299</v>
      </c>
      <c r="BJ24" s="38">
        <f>SUMIFS(Tabela1[[Deságio ]],Tabela1[Venc.],"&lt;="&amp;Caixa!BJ3,Tabela1[Venc.],"&gt;="&amp;Caixa!BI3)</f>
        <v>695652.17391304299</v>
      </c>
      <c r="BK24" s="39">
        <f>SUMIFS(Tabela1[[Deságio ]],Tabela1[Venc.],"&lt;="&amp;Caixa!BK3,Tabela1[Venc.],"&gt;="&amp;Caixa!BJ3)</f>
        <v>695652.17391304299</v>
      </c>
    </row>
    <row r="25" spans="2:63" x14ac:dyDescent="0.3">
      <c r="B25" s="144" t="s">
        <v>121</v>
      </c>
      <c r="C25" s="159"/>
      <c r="D25" s="123">
        <f>(D5-D20-D28-D36)*_xlfn.XLOOKUP(D3,'Curva DI'!$A$2:$A$282,'Curva DI'!$I$2:$I$282,"TAXA ERRO",-1,1)</f>
        <v>73560.873288102142</v>
      </c>
      <c r="E25" s="123">
        <f>(D17+E21+E24-E20-E28-E36)*_xlfn.XLOOKUP(E3,'Curva DI'!$A$2:$A$282,'Curva DI'!$I$2:$I$282,"TAXA ERRO",-1,1)</f>
        <v>38844.824467853017</v>
      </c>
      <c r="F25" s="123">
        <f>(E17+F21+F24-F20-F28-F36)*_xlfn.XLOOKUP(F3,'Curva DI'!$A$2:$A$282,'Curva DI'!$I$2:$I$282,"TAXA ERRO",-1,1)</f>
        <v>4289.6452526326721</v>
      </c>
      <c r="G25" s="123">
        <f>(F17+G21+G24-G20-G28-G36)*_xlfn.XLOOKUP(G3,'Curva DI'!$A$2:$A$282,'Curva DI'!$I$2:$I$282,"TAXA ERRO",-1,1)</f>
        <v>2137.1788298681804</v>
      </c>
      <c r="H25" s="123">
        <f>(G17+H21+H24-H20-H28-H36)*_xlfn.XLOOKUP(H3,'Curva DI'!$A$2:$A$282,'Curva DI'!$I$2:$I$282,"TAXA ERRO",-1,1)</f>
        <v>2140.0773879590424</v>
      </c>
      <c r="I25" s="123">
        <f>(H17+I21+I24-I20-I28-I36)*_xlfn.XLOOKUP(I3,'Curva DI'!$A$2:$A$282,'Curva DI'!$I$2:$I$282,"TAXA ERRO",-1,1)</f>
        <v>2144.4241903306092</v>
      </c>
      <c r="J25" s="123">
        <f>(I17+J21+J24-J20-J28-J36)*_xlfn.XLOOKUP(J3,'Curva DI'!$A$2:$A$282,'Curva DI'!$I$2:$I$282,"TAXA ERRO",-1,1)</f>
        <v>2150.2179963257204</v>
      </c>
      <c r="K25" s="123">
        <f>(J17+K21+K24-K20-K28-K36)*_xlfn.XLOOKUP(K3,'Curva DI'!$A$2:$A$282,'Curva DI'!$I$2:$I$282,"TAXA ERRO",-1,1)</f>
        <v>2153.1140724202396</v>
      </c>
      <c r="L25" s="123">
        <f>(K17+L21+L24-L20-L28-L36)*_xlfn.XLOOKUP(L3,'Curva DI'!$A$2:$A$282,'Curva DI'!$I$2:$I$282,"TAXA ERRO",-1,1)</f>
        <v>2157.4571535003515</v>
      </c>
      <c r="M25" s="123">
        <f>(L17+M21+M24-M20-M28-M36)*_xlfn.XLOOKUP(M3,'Curva DI'!$A$2:$A$282,'Curva DI'!$I$2:$I$282,"TAXA ERRO",-1,1)</f>
        <v>2161.7989955110615</v>
      </c>
      <c r="N25" s="123">
        <f>(M17+N21+N24-N20-N28-N36)*_xlfn.XLOOKUP(N3,'Curva DI'!$A$2:$A$282,'Curva DI'!$I$2:$I$282,"TAXA ERRO",-1,1)</f>
        <v>2163.2460009500737</v>
      </c>
      <c r="O25" s="123">
        <f>(N17+O21+O24-O20-O28-O36)*_xlfn.XLOOKUP(O3,'Curva DI'!$A$2:$A$282,'Curva DI'!$I$2:$I$282,"TAXA ERRO",-1,1)</f>
        <v>2167.5861919254066</v>
      </c>
      <c r="P25" s="123">
        <f>(O17+P21+P24-P20-P28-P36)*_xlfn.XLOOKUP(P3,'Curva DI'!$A$2:$A$282,'Curva DI'!$I$2:$I$282,"TAXA ERRO",-1,1)</f>
        <v>5231.8951794847871</v>
      </c>
      <c r="Q25" s="123">
        <f>(P17+Q21+Q24-Q20-Q28-Q36)*_xlfn.XLOOKUP(Q3,'Curva DI'!$A$2:$A$282,'Curva DI'!$I$2:$I$282,"TAXA ERRO",-1,1)</f>
        <v>5225.6242942378576</v>
      </c>
      <c r="R25" s="123">
        <f>(Q17+R21+R24-R20-R28-R36)*_xlfn.XLOOKUP(R3,'Curva DI'!$A$2:$A$282,'Curva DI'!$I$2:$I$282,"TAXA ERRO",-1,1)</f>
        <v>5190.9917358385801</v>
      </c>
      <c r="S25" s="123">
        <f>(R17+S21+S24-S20-S28-S36)*_xlfn.XLOOKUP(S3,'Curva DI'!$A$2:$A$282,'Curva DI'!$I$2:$I$282,"TAXA ERRO",-1,1)</f>
        <v>5173.6033192042187</v>
      </c>
      <c r="T25" s="123">
        <f>(S17+T21+T24-T20-T28-T36)*_xlfn.XLOOKUP(T3,'Curva DI'!$A$2:$A$282,'Curva DI'!$I$2:$I$282,"TAXA ERRO",-1,1)</f>
        <v>5185.5675532707137</v>
      </c>
      <c r="U25" s="123">
        <f>(T17+U21+U24-U20-U28-U36)*_xlfn.XLOOKUP(U3,'Curva DI'!$A$2:$A$282,'Curva DI'!$I$2:$I$282,"TAXA ERRO",-1,1)</f>
        <v>5133.9949236911516</v>
      </c>
      <c r="V25" s="123">
        <f>(U17+V21+V24-V20-V28-V36)*_xlfn.XLOOKUP(V3,'Curva DI'!$A$2:$A$282,'Curva DI'!$I$2:$I$282,"TAXA ERRO",-1,1)</f>
        <v>5115.3184666760453</v>
      </c>
      <c r="W25" s="123">
        <f>(V17+W21+W24-W20-W28-W36)*_xlfn.XLOOKUP(W3,'Curva DI'!$A$2:$A$282,'Curva DI'!$I$2:$I$282,"TAXA ERRO",-1,1)</f>
        <v>5109.4322816834192</v>
      </c>
      <c r="X25" s="123">
        <f>(W17+X21+X24-X20-X28-X36)*_xlfn.XLOOKUP(X3,'Curva DI'!$A$2:$A$282,'Curva DI'!$I$2:$I$282,"TAXA ERRO",-1,1)</f>
        <v>5063.2018066958062</v>
      </c>
      <c r="Y25" s="123">
        <f>(X17+Y21+Y24-Y20-Y28-Y36)*_xlfn.XLOOKUP(Y3,'Curva DI'!$A$2:$A$282,'Curva DI'!$I$2:$I$282,"TAXA ERRO",-1,1)</f>
        <v>5045.0216869464057</v>
      </c>
      <c r="Z25" s="123">
        <f>(Y17+Z21+Z24-Z20-Z28-Z36)*_xlfn.XLOOKUP(Z3,'Curva DI'!$A$2:$A$282,'Curva DI'!$I$2:$I$282,"TAXA ERRO",-1,1)</f>
        <v>5019.8378042004315</v>
      </c>
      <c r="AA25" s="123">
        <f>(Z17+AA21+AA24-AA20-AA28-AA36)*_xlfn.XLOOKUP(AA3,'Curva DI'!$A$2:$A$282,'Curva DI'!$I$2:$I$282,"TAXA ERRO",-1,1)</f>
        <v>4986.1219980876194</v>
      </c>
      <c r="AB25" s="123">
        <f>(AA17+AB21+AB24-AB20-AB28-AB36)*_xlfn.XLOOKUP(AB3,'Curva DI'!$A$2:$A$282,'Curva DI'!$I$2:$I$282,"TAXA ERRO",-1,1)</f>
        <v>6129.1548319568146</v>
      </c>
      <c r="AC25" s="123">
        <f>(AB17+AC21+AC24-AC20-AC28-AC36)*_xlfn.XLOOKUP(AC3,'Curva DI'!$A$2:$A$282,'Curva DI'!$I$2:$I$282,"TAXA ERRO",-1,1)</f>
        <v>6033.894606003334</v>
      </c>
      <c r="AD25" s="123">
        <f>(AC17+AD21+AD24-AD20-AD28-AD36)*_xlfn.XLOOKUP(AD3,'Curva DI'!$A$2:$A$282,'Curva DI'!$I$2:$I$282,"TAXA ERRO",-1,1)</f>
        <v>5994.6793105830802</v>
      </c>
      <c r="AE25" s="123">
        <f>(AD17+AE21+AE24-AE20-AE28-AE36)*_xlfn.XLOOKUP(AE3,'Curva DI'!$A$2:$A$282,'Curva DI'!$I$2:$I$282,"TAXA ERRO",-1,1)</f>
        <v>5970.8101500587272</v>
      </c>
      <c r="AF25" s="123">
        <f>(AE17+AF21+AF24-AF20-AF28-AF36)*_xlfn.XLOOKUP(AF3,'Curva DI'!$A$2:$A$282,'Curva DI'!$I$2:$I$282,"TAXA ERRO",-1,1)</f>
        <v>5911.5951031300674</v>
      </c>
      <c r="AG25" s="123">
        <f>(AF17+AG21+AG24-AG20-AG28-AG36)*_xlfn.XLOOKUP(AG3,'Curva DI'!$A$2:$A$282,'Curva DI'!$I$2:$I$282,"TAXA ERRO",-1,1)</f>
        <v>5883.1428675960033</v>
      </c>
      <c r="AH25" s="123">
        <f>(AG17+AH21+AH24-AH20-AH28-AH36)*_xlfn.XLOOKUP(AH3,'Curva DI'!$A$2:$A$282,'Curva DI'!$I$2:$I$282,"TAXA ERRO",-1,1)</f>
        <v>5810.8428794702386</v>
      </c>
      <c r="AI25" s="123">
        <f>(AH17+AI21+AI24-AI20-AI28-AI36)*_xlfn.XLOOKUP(AI3,'Curva DI'!$A$2:$A$282,'Curva DI'!$I$2:$I$282,"TAXA ERRO",-1,1)</f>
        <v>5794.772927698772</v>
      </c>
      <c r="AJ25" s="123">
        <f>(AI17+AJ21+AJ24-AJ20-AJ28-AJ36)*_xlfn.XLOOKUP(AJ3,'Curva DI'!$A$2:$A$282,'Curva DI'!$I$2:$I$282,"TAXA ERRO",-1,1)</f>
        <v>5734.619728161907</v>
      </c>
      <c r="AK25" s="123">
        <f>(AJ17+AK21+AK24-AK20-AK28-AK36)*_xlfn.XLOOKUP(AK3,'Curva DI'!$A$2:$A$282,'Curva DI'!$I$2:$I$282,"TAXA ERRO",-1,1)</f>
        <v>5708.590942948721</v>
      </c>
      <c r="AL25" s="123">
        <f>(AK17+AL21+AL24-AL20-AL28-AL36)*_xlfn.XLOOKUP(AL3,'Curva DI'!$A$2:$A$282,'Curva DI'!$I$2:$I$282,"TAXA ERRO",-1,1)</f>
        <v>5651.0166473287054</v>
      </c>
      <c r="AM25" s="123">
        <f>(AL17+AM21+AM24-AM20-AM28-AM36)*_xlfn.XLOOKUP(AM3,'Curva DI'!$A$2:$A$282,'Curva DI'!$I$2:$I$282,"TAXA ERRO",-1,1)</f>
        <v>5610.1198577189543</v>
      </c>
      <c r="AN25" s="123">
        <f>(AM17+AN21+AN24-AN20-AN28-AN36)*_xlfn.XLOOKUP(AN3,'Curva DI'!$A$2:$A$282,'Curva DI'!$I$2:$I$282,"TAXA ERRO",-1,1)</f>
        <v>2264.1959419789582</v>
      </c>
      <c r="AO25" s="123">
        <f>(AN17+AO21+AO24-AO20-AO28-AO36)*_xlfn.XLOOKUP(AO3,'Curva DI'!$A$2:$A$282,'Curva DI'!$I$2:$I$282,"TAXA ERRO",-1,1)</f>
        <v>2265.6332417996382</v>
      </c>
      <c r="AP25" s="123">
        <f>(AO17+AP21+AP24-AP20-AP28-AP36)*_xlfn.XLOOKUP(AP3,'Curva DI'!$A$2:$A$282,'Curva DI'!$I$2:$I$282,"TAXA ERRO",-1,1)</f>
        <v>2268.5074340514852</v>
      </c>
      <c r="AQ25" s="123">
        <f>(AP17+AQ21+AQ24-AQ20-AQ28-AQ36)*_xlfn.XLOOKUP(AQ3,'Curva DI'!$A$2:$A$282,'Curva DI'!$I$2:$I$282,"TAXA ERRO",-1,1)</f>
        <v>2269.9443265320519</v>
      </c>
      <c r="AR25" s="123">
        <f>(AQ17+AR21+AR24-AR20-AR28-AR36)*_xlfn.XLOOKUP(AR3,'Curva DI'!$A$2:$A$282,'Curva DI'!$I$2:$I$282,"TAXA ERRO",-1,1)</f>
        <v>2271.3810832817949</v>
      </c>
      <c r="AS25" s="123">
        <f>(AR17+AS21+AS24-AS20-AS28-AS36)*_xlfn.XLOOKUP(AS3,'Curva DI'!$A$2:$A$282,'Curva DI'!$I$2:$I$282,"TAXA ERRO",-1,1)</f>
        <v>2272.8177043254964</v>
      </c>
      <c r="AT25" s="123">
        <f>(AS17+AT21+AT24-AT20-AT28-AT36)*_xlfn.XLOOKUP(AT3,'Curva DI'!$A$2:$A$282,'Curva DI'!$I$2:$I$282,"TAXA ERRO",-1,1)</f>
        <v>2272.8177043255605</v>
      </c>
      <c r="AU25" s="123">
        <f>(AT17+AU21+AU24-AU20-AU28-AU36)*_xlfn.XLOOKUP(AU3,'Curva DI'!$A$2:$A$282,'Curva DI'!$I$2:$I$282,"TAXA ERRO",-1,1)</f>
        <v>2275.6905393933212</v>
      </c>
      <c r="AV25" s="123">
        <f>(AU17+AV21+AV24-AV20-AV28-AV36)*_xlfn.XLOOKUP(AV3,'Curva DI'!$A$2:$A$282,'Curva DI'!$I$2:$I$282,"TAXA ERRO",-1,1)</f>
        <v>2278.5628319324719</v>
      </c>
      <c r="AW25" s="123">
        <f>(AV17+AW21+AW24-AW20-AW28-AW36)*_xlfn.XLOOKUP(AW3,'Curva DI'!$A$2:$A$282,'Curva DI'!$I$2:$I$282,"TAXA ERRO",-1,1)</f>
        <v>2278.5628319325042</v>
      </c>
      <c r="AX25" s="123">
        <f>(AW17+AX21+AX24-AX20-AX28-AX36)*_xlfn.XLOOKUP(AX3,'Curva DI'!$A$2:$A$282,'Curva DI'!$I$2:$I$282,"TAXA ERRO",-1,1)</f>
        <v>2278.5628319324933</v>
      </c>
      <c r="AY25" s="123">
        <f>(AX17+AY21+AY24-AY20-AY28-AY36)*_xlfn.XLOOKUP(AY3,'Curva DI'!$A$2:$A$282,'Curva DI'!$I$2:$I$282,"TAXA ERRO",-1,1)</f>
        <v>2279.9987748153749</v>
      </c>
      <c r="AZ25" s="123">
        <f>(AY17+AZ21+AZ24-AZ20-AZ28-AZ36)*_xlfn.XLOOKUP(AZ3,'Curva DI'!$A$2:$A$282,'Curva DI'!$I$2:$I$282,"TAXA ERRO",-1,1)</f>
        <v>2279.9987748154608</v>
      </c>
      <c r="BA25" s="123">
        <f>(AZ17+BA21+BA24-BA20-BA28-BA36)*_xlfn.XLOOKUP(BA3,'Curva DI'!$A$2:$A$282,'Curva DI'!$I$2:$I$282,"TAXA ERRO",-1,1)</f>
        <v>2281.4345821400379</v>
      </c>
      <c r="BB25" s="123">
        <f>(BA17+BB21+BB24-BB20-BB28-BB36)*_xlfn.XLOOKUP(BB3,'Curva DI'!$A$2:$A$282,'Curva DI'!$I$2:$I$282,"TAXA ERRO",-1,1)</f>
        <v>2281.4345821400675</v>
      </c>
      <c r="BC25" s="123">
        <f>(BB17+BC21+BC24-BC20-BC28-BC36)*_xlfn.XLOOKUP(BC3,'Curva DI'!$A$2:$A$282,'Curva DI'!$I$2:$I$282,"TAXA ERRO",-1,1)</f>
        <v>2282.8702539310207</v>
      </c>
      <c r="BD25" s="123">
        <f>(BC17+BD21+BD24-BD20-BD28-BD36)*_xlfn.XLOOKUP(BD3,'Curva DI'!$A$2:$A$282,'Curva DI'!$I$2:$I$282,"TAXA ERRO",-1,1)</f>
        <v>2282.8702539309666</v>
      </c>
      <c r="BE25" s="123">
        <f>(BD17+BE21+BE24-BE20-BE28-BE36)*_xlfn.XLOOKUP(BE3,'Curva DI'!$A$2:$A$282,'Curva DI'!$I$2:$I$282,"TAXA ERRO",-1,1)</f>
        <v>2282.8702539309666</v>
      </c>
      <c r="BF25" s="123">
        <f>(BE17+BF21+BF24-BF20-BF28-BF36)*_xlfn.XLOOKUP(BF3,'Curva DI'!$A$2:$A$282,'Curva DI'!$I$2:$I$282,"TAXA ERRO",-1,1)</f>
        <v>7855.4642919548269</v>
      </c>
      <c r="BG25" s="123">
        <f>(BF17+BG21+BG24-BG20-BG28-BG36)*_xlfn.XLOOKUP(BG3,'Curva DI'!$A$2:$A$282,'Curva DI'!$I$2:$I$282,"TAXA ERRO",-1,1)</f>
        <v>4653.4690753066752</v>
      </c>
      <c r="BH25" s="123">
        <f>(BG17+BH21+BH24-BH20-BH28-BH36)*_xlfn.XLOOKUP(BH3,'Curva DI'!$A$2:$A$282,'Curva DI'!$I$2:$I$282,"TAXA ERRO",-1,1)</f>
        <v>2446.1674281398055</v>
      </c>
      <c r="BI25" s="123">
        <f>(BH17+BI21+BI24-BI20-BI28-BI36)*_xlfn.XLOOKUP(BI3,'Curva DI'!$A$2:$A$282,'Curva DI'!$I$2:$I$282,"TAXA ERRO",-1,1)</f>
        <v>10179.893205108479</v>
      </c>
      <c r="BJ25" s="123">
        <f>(BI17+BJ21+BJ24-BJ20-BJ28-BJ36)*_xlfn.XLOOKUP(BJ3,'Curva DI'!$A$2:$A$282,'Curva DI'!$I$2:$I$282,"TAXA ERRO",-1,1)</f>
        <v>18002.970485724134</v>
      </c>
      <c r="BK25" s="163">
        <f>(BJ17+BK21+BK24-BK20-BK28-BK36)*_xlfn.XLOOKUP(BK3,'Curva DI'!$A$2:$A$282,'Curva DI'!$I$2:$I$282,"TAXA ERRO",-1,1)</f>
        <v>25916.431591462075</v>
      </c>
    </row>
    <row r="26" spans="2:63" x14ac:dyDescent="0.3">
      <c r="D26" s="124"/>
    </row>
    <row r="27" spans="2:63" x14ac:dyDescent="0.3">
      <c r="B27" s="37" t="s">
        <v>82</v>
      </c>
      <c r="C27" s="37"/>
    </row>
    <row r="28" spans="2:63" x14ac:dyDescent="0.3">
      <c r="B28" s="27" t="s">
        <v>102</v>
      </c>
      <c r="D28" s="34">
        <f>SUM(D29:D34)</f>
        <v>28122.903333333332</v>
      </c>
      <c r="E28" s="34">
        <f t="shared" ref="E28:BK28" si="9">SUM(E29:E34)</f>
        <v>28175.903333333332</v>
      </c>
      <c r="F28" s="34">
        <f t="shared" si="9"/>
        <v>28175.903333333332</v>
      </c>
      <c r="G28" s="34">
        <f t="shared" si="9"/>
        <v>28175.903333333332</v>
      </c>
      <c r="H28" s="34">
        <f t="shared" si="9"/>
        <v>28410.856666666667</v>
      </c>
      <c r="I28" s="34">
        <f t="shared" si="9"/>
        <v>28410.856666666667</v>
      </c>
      <c r="J28" s="34">
        <f t="shared" si="9"/>
        <v>28410.856666666667</v>
      </c>
      <c r="K28" s="34">
        <f t="shared" si="9"/>
        <v>28410.856666666667</v>
      </c>
      <c r="L28" s="34">
        <f t="shared" si="9"/>
        <v>28410.856666666667</v>
      </c>
      <c r="M28" s="34">
        <f t="shared" si="9"/>
        <v>28410.856666666667</v>
      </c>
      <c r="N28" s="34">
        <f t="shared" si="9"/>
        <v>28410.856666666667</v>
      </c>
      <c r="O28" s="34">
        <f t="shared" si="9"/>
        <v>28410.856666666667</v>
      </c>
      <c r="P28" s="34">
        <f t="shared" si="9"/>
        <v>28410.856666666667</v>
      </c>
      <c r="Q28" s="34">
        <f t="shared" si="9"/>
        <v>28410.856666666667</v>
      </c>
      <c r="R28" s="34">
        <f t="shared" si="9"/>
        <v>28410.856666666667</v>
      </c>
      <c r="S28" s="34">
        <f t="shared" si="9"/>
        <v>28410.856666666667</v>
      </c>
      <c r="T28" s="34">
        <f t="shared" si="9"/>
        <v>28410.856666666667</v>
      </c>
      <c r="U28" s="34">
        <f t="shared" si="9"/>
        <v>28410.856666666667</v>
      </c>
      <c r="V28" s="34">
        <f t="shared" si="9"/>
        <v>28410.856666666667</v>
      </c>
      <c r="W28" s="34">
        <f t="shared" si="9"/>
        <v>28410.856666666667</v>
      </c>
      <c r="X28" s="34">
        <f t="shared" si="9"/>
        <v>28410.856666666667</v>
      </c>
      <c r="Y28" s="34">
        <f t="shared" si="9"/>
        <v>28410.856666666667</v>
      </c>
      <c r="Z28" s="34">
        <f t="shared" si="9"/>
        <v>28410.856666666667</v>
      </c>
      <c r="AA28" s="34">
        <f t="shared" si="9"/>
        <v>28410.856666666667</v>
      </c>
      <c r="AB28" s="34">
        <f t="shared" si="9"/>
        <v>28410.856666666667</v>
      </c>
      <c r="AC28" s="34">
        <f t="shared" si="9"/>
        <v>28410.856666666667</v>
      </c>
      <c r="AD28" s="34">
        <f t="shared" si="9"/>
        <v>28410.856666666667</v>
      </c>
      <c r="AE28" s="34">
        <f t="shared" si="9"/>
        <v>28410.856666666667</v>
      </c>
      <c r="AF28" s="34">
        <f t="shared" si="9"/>
        <v>28410.856666666667</v>
      </c>
      <c r="AG28" s="34">
        <f t="shared" si="9"/>
        <v>28410.856666666667</v>
      </c>
      <c r="AH28" s="34">
        <f t="shared" si="9"/>
        <v>28410.856666666667</v>
      </c>
      <c r="AI28" s="34">
        <f t="shared" si="9"/>
        <v>28410.856666666667</v>
      </c>
      <c r="AJ28" s="34">
        <f t="shared" si="9"/>
        <v>28410.856666666667</v>
      </c>
      <c r="AK28" s="34">
        <f t="shared" si="9"/>
        <v>28410.856666666667</v>
      </c>
      <c r="AL28" s="34">
        <f t="shared" si="9"/>
        <v>28410.856666666667</v>
      </c>
      <c r="AM28" s="34">
        <f t="shared" si="9"/>
        <v>28410.856666666667</v>
      </c>
      <c r="AN28" s="34">
        <f t="shared" si="9"/>
        <v>28410.856666666667</v>
      </c>
      <c r="AO28" s="34">
        <f t="shared" si="9"/>
        <v>28410.856666666667</v>
      </c>
      <c r="AP28" s="34">
        <f t="shared" si="9"/>
        <v>28410.856666666667</v>
      </c>
      <c r="AQ28" s="34">
        <f t="shared" si="9"/>
        <v>28410.856666666667</v>
      </c>
      <c r="AR28" s="34">
        <f t="shared" si="9"/>
        <v>28410.856666666667</v>
      </c>
      <c r="AS28" s="34">
        <f t="shared" si="9"/>
        <v>28410.856666666667</v>
      </c>
      <c r="AT28" s="34">
        <f t="shared" si="9"/>
        <v>28410.856666666667</v>
      </c>
      <c r="AU28" s="34">
        <f t="shared" si="9"/>
        <v>28410.856666666667</v>
      </c>
      <c r="AV28" s="34">
        <f t="shared" si="9"/>
        <v>28410.856666666667</v>
      </c>
      <c r="AW28" s="34">
        <f t="shared" si="9"/>
        <v>28410.856666666667</v>
      </c>
      <c r="AX28" s="34">
        <f t="shared" si="9"/>
        <v>28410.856666666667</v>
      </c>
      <c r="AY28" s="34">
        <f t="shared" si="9"/>
        <v>28410.856666666667</v>
      </c>
      <c r="AZ28" s="34">
        <f t="shared" si="9"/>
        <v>28410.856666666667</v>
      </c>
      <c r="BA28" s="34">
        <f t="shared" si="9"/>
        <v>28410.856666666667</v>
      </c>
      <c r="BB28" s="34">
        <f t="shared" si="9"/>
        <v>28713.81</v>
      </c>
      <c r="BC28" s="34">
        <f t="shared" si="9"/>
        <v>28713.81</v>
      </c>
      <c r="BD28" s="34">
        <f t="shared" si="9"/>
        <v>28713.81</v>
      </c>
      <c r="BE28" s="34">
        <f t="shared" si="9"/>
        <v>28713.81</v>
      </c>
      <c r="BF28" s="34">
        <f t="shared" si="9"/>
        <v>28713.81</v>
      </c>
      <c r="BG28" s="34">
        <f t="shared" si="9"/>
        <v>28713.81</v>
      </c>
      <c r="BH28" s="34">
        <f t="shared" si="9"/>
        <v>28713.81</v>
      </c>
      <c r="BI28" s="34">
        <f t="shared" si="9"/>
        <v>28713.81</v>
      </c>
      <c r="BJ28" s="34">
        <f t="shared" si="9"/>
        <v>28713.81</v>
      </c>
      <c r="BK28" s="34">
        <f t="shared" si="9"/>
        <v>28713.81</v>
      </c>
    </row>
    <row r="29" spans="2:63" x14ac:dyDescent="0.3">
      <c r="B29" s="143" t="s">
        <v>59</v>
      </c>
      <c r="C29" s="220"/>
      <c r="D29" s="216">
        <f>MAX(IF(D5&gt;'Custos FIDC'!K20,D5*'Custos FIDC'!$D$20,0),'Custos FIDC'!$J$20)</f>
        <v>13000</v>
      </c>
      <c r="E29" s="38">
        <f>MAX(IF(D56&gt;'Custos FIDC'!L20,E5*'Custos FIDC'!$D$20,0),'Custos FIDC'!$J$20)</f>
        <v>13000</v>
      </c>
      <c r="F29" s="38">
        <f>MAX(IF(E56&gt;'Custos FIDC'!M20,F5*'Custos FIDC'!$D$20,0),'Custos FIDC'!$J$20)</f>
        <v>13000</v>
      </c>
      <c r="G29" s="38">
        <f>MAX(IF(F56&gt;'Custos FIDC'!N20,G5*'Custos FIDC'!$D$20,0),'Custos FIDC'!$J$20)</f>
        <v>13000</v>
      </c>
      <c r="H29" s="38">
        <f>MAX(IF(G56&gt;'Custos FIDC'!O20,H5*'Custos FIDC'!$D$20,0),'Custos FIDC'!$J$20)</f>
        <v>13000</v>
      </c>
      <c r="I29" s="38">
        <f>MAX(IF(H56&gt;'Custos FIDC'!P20,I5*'Custos FIDC'!$D$20,0),'Custos FIDC'!$J$20)</f>
        <v>13000</v>
      </c>
      <c r="J29" s="38">
        <f>MAX(IF(I56&gt;'Custos FIDC'!Q20,J5*'Custos FIDC'!$D$20,0),'Custos FIDC'!$J$20)</f>
        <v>13000</v>
      </c>
      <c r="K29" s="38">
        <f>MAX(IF(J56&gt;'Custos FIDC'!R20,K5*'Custos FIDC'!$D$20,0),'Custos FIDC'!$J$20)</f>
        <v>13000</v>
      </c>
      <c r="L29" s="38">
        <f>MAX(IF(K56&gt;'Custos FIDC'!S20,L5*'Custos FIDC'!$D$20,0),'Custos FIDC'!$J$20)</f>
        <v>13000</v>
      </c>
      <c r="M29" s="38">
        <f>MAX(IF(L56&gt;'Custos FIDC'!T20,M5*'Custos FIDC'!$D$20,0),'Custos FIDC'!$J$20)</f>
        <v>13000</v>
      </c>
      <c r="N29" s="38">
        <f>MAX(IF(M56&gt;'Custos FIDC'!U20,N5*'Custos FIDC'!$D$20,0),'Custos FIDC'!$J$20)</f>
        <v>13000</v>
      </c>
      <c r="O29" s="38">
        <f>MAX(IF(N56&gt;'Custos FIDC'!V20,O5*'Custos FIDC'!$D$20,0),'Custos FIDC'!$J$20)</f>
        <v>13000</v>
      </c>
      <c r="P29" s="38">
        <f>MAX(IF(O56&gt;'Custos FIDC'!W20,P5*'Custos FIDC'!$D$20,0),'Custos FIDC'!$J$20)</f>
        <v>13000</v>
      </c>
      <c r="Q29" s="38">
        <f>MAX(IF(P56&gt;'Custos FIDC'!X20,Q5*'Custos FIDC'!$D$20,0),'Custos FIDC'!$J$20)</f>
        <v>13000</v>
      </c>
      <c r="R29" s="38">
        <f>MAX(IF(Q56&gt;'Custos FIDC'!Y20,R5*'Custos FIDC'!$D$20,0),'Custos FIDC'!$J$20)</f>
        <v>13000</v>
      </c>
      <c r="S29" s="38">
        <f>MAX(IF(R56&gt;'Custos FIDC'!Z20,S5*'Custos FIDC'!$D$20,0),'Custos FIDC'!$J$20)</f>
        <v>13000</v>
      </c>
      <c r="T29" s="38">
        <f>MAX(IF(S56&gt;'Custos FIDC'!AA20,T5*'Custos FIDC'!$D$20,0),'Custos FIDC'!$J$20)</f>
        <v>13000</v>
      </c>
      <c r="U29" s="38">
        <f>MAX(IF(T56&gt;'Custos FIDC'!AB20,U5*'Custos FIDC'!$D$20,0),'Custos FIDC'!$J$20)</f>
        <v>13000</v>
      </c>
      <c r="V29" s="38">
        <f>MAX(IF(U56&gt;'Custos FIDC'!AC20,V5*'Custos FIDC'!$D$20,0),'Custos FIDC'!$J$20)</f>
        <v>13000</v>
      </c>
      <c r="W29" s="38">
        <f>MAX(IF(V56&gt;'Custos FIDC'!AD20,W5*'Custos FIDC'!$D$20,0),'Custos FIDC'!$J$20)</f>
        <v>13000</v>
      </c>
      <c r="X29" s="38">
        <f>MAX(IF(W56&gt;'Custos FIDC'!AE20,X5*'Custos FIDC'!$D$20,0),'Custos FIDC'!$J$20)</f>
        <v>13000</v>
      </c>
      <c r="Y29" s="38">
        <f>MAX(IF(X56&gt;'Custos FIDC'!AF20,Y5*'Custos FIDC'!$D$20,0),'Custos FIDC'!$J$20)</f>
        <v>13000</v>
      </c>
      <c r="Z29" s="38">
        <f>MAX(IF(Y56&gt;'Custos FIDC'!AG20,Z5*'Custos FIDC'!$D$20,0),'Custos FIDC'!$J$20)</f>
        <v>13000</v>
      </c>
      <c r="AA29" s="38">
        <f>MAX(IF(Z56&gt;'Custos FIDC'!AH20,AA5*'Custos FIDC'!$D$20,0),'Custos FIDC'!$J$20)</f>
        <v>13000</v>
      </c>
      <c r="AB29" s="38">
        <f>MAX(IF(AA56&gt;'Custos FIDC'!AI20,AB5*'Custos FIDC'!$D$20,0),'Custos FIDC'!$J$20)</f>
        <v>13000</v>
      </c>
      <c r="AC29" s="38">
        <f>MAX(IF(AB56&gt;'Custos FIDC'!AJ20,AC5*'Custos FIDC'!$D$20,0),'Custos FIDC'!$J$20)</f>
        <v>13000</v>
      </c>
      <c r="AD29" s="38">
        <f>MAX(IF(AC56&gt;'Custos FIDC'!AK20,AD5*'Custos FIDC'!$D$20,0),'Custos FIDC'!$J$20)</f>
        <v>13000</v>
      </c>
      <c r="AE29" s="38">
        <f>MAX(IF(AD56&gt;'Custos FIDC'!AL20,AE5*'Custos FIDC'!$D$20,0),'Custos FIDC'!$J$20)</f>
        <v>13000</v>
      </c>
      <c r="AF29" s="38">
        <f>MAX(IF(AE56&gt;'Custos FIDC'!AM20,AF5*'Custos FIDC'!$D$20,0),'Custos FIDC'!$J$20)</f>
        <v>13000</v>
      </c>
      <c r="AG29" s="38">
        <f>MAX(IF(AF56&gt;'Custos FIDC'!AN20,AG5*'Custos FIDC'!$D$20,0),'Custos FIDC'!$J$20)</f>
        <v>13000</v>
      </c>
      <c r="AH29" s="38">
        <f>MAX(IF(AG56&gt;'Custos FIDC'!AO20,AH5*'Custos FIDC'!$D$20,0),'Custos FIDC'!$J$20)</f>
        <v>13000</v>
      </c>
      <c r="AI29" s="38">
        <f>MAX(IF(AH56&gt;'Custos FIDC'!AP20,AI5*'Custos FIDC'!$D$20,0),'Custos FIDC'!$J$20)</f>
        <v>13000</v>
      </c>
      <c r="AJ29" s="38">
        <f>MAX(IF(AI56&gt;'Custos FIDC'!AQ20,AJ5*'Custos FIDC'!$D$20,0),'Custos FIDC'!$J$20)</f>
        <v>13000</v>
      </c>
      <c r="AK29" s="38">
        <f>MAX(IF(AJ56&gt;'Custos FIDC'!AR20,AK5*'Custos FIDC'!$D$20,0),'Custos FIDC'!$J$20)</f>
        <v>13000</v>
      </c>
      <c r="AL29" s="38">
        <f>MAX(IF(AK56&gt;'Custos FIDC'!AS20,AL5*'Custos FIDC'!$D$20,0),'Custos FIDC'!$J$20)</f>
        <v>13000</v>
      </c>
      <c r="AM29" s="38">
        <f>MAX(IF(AL56&gt;'Custos FIDC'!AT20,AM5*'Custos FIDC'!$D$20,0),'Custos FIDC'!$J$20)</f>
        <v>13000</v>
      </c>
      <c r="AN29" s="38">
        <f>MAX(IF(AM56&gt;'Custos FIDC'!AU20,AN5*'Custos FIDC'!$D$20,0),'Custos FIDC'!$J$20)</f>
        <v>13000</v>
      </c>
      <c r="AO29" s="38">
        <f>MAX(IF(AN56&gt;'Custos FIDC'!AV20,AO5*'Custos FIDC'!$D$20,0),'Custos FIDC'!$J$20)</f>
        <v>13000</v>
      </c>
      <c r="AP29" s="38">
        <f>MAX(IF(AO56&gt;'Custos FIDC'!AW20,AP5*'Custos FIDC'!$D$20,0),'Custos FIDC'!$J$20)</f>
        <v>13000</v>
      </c>
      <c r="AQ29" s="38">
        <f>MAX(IF(AP56&gt;'Custos FIDC'!AX20,AQ5*'Custos FIDC'!$D$20,0),'Custos FIDC'!$J$20)</f>
        <v>13000</v>
      </c>
      <c r="AR29" s="38">
        <f>MAX(IF(AQ56&gt;'Custos FIDC'!AY20,AR5*'Custos FIDC'!$D$20,0),'Custos FIDC'!$J$20)</f>
        <v>13000</v>
      </c>
      <c r="AS29" s="38">
        <f>MAX(IF(AR56&gt;'Custos FIDC'!AZ20,AS5*'Custos FIDC'!$D$20,0),'Custos FIDC'!$J$20)</f>
        <v>13000</v>
      </c>
      <c r="AT29" s="38">
        <f>MAX(IF(AS56&gt;'Custos FIDC'!BA20,AT5*'Custos FIDC'!$D$20,0),'Custos FIDC'!$J$20)</f>
        <v>13000</v>
      </c>
      <c r="AU29" s="38">
        <f>MAX(IF(AT56&gt;'Custos FIDC'!BB20,AU5*'Custos FIDC'!$D$20,0),'Custos FIDC'!$J$20)</f>
        <v>13000</v>
      </c>
      <c r="AV29" s="38">
        <f>MAX(IF(AU56&gt;'Custos FIDC'!BC20,AV5*'Custos FIDC'!$D$20,0),'Custos FIDC'!$J$20)</f>
        <v>13000</v>
      </c>
      <c r="AW29" s="38">
        <f>MAX(IF(AV56&gt;'Custos FIDC'!BD20,AW5*'Custos FIDC'!$D$20,0),'Custos FIDC'!$J$20)</f>
        <v>13000</v>
      </c>
      <c r="AX29" s="38">
        <f>MAX(IF(AW56&gt;'Custos FIDC'!BE20,AX5*'Custos FIDC'!$D$20,0),'Custos FIDC'!$J$20)</f>
        <v>13000</v>
      </c>
      <c r="AY29" s="38">
        <f>MAX(IF(AX56&gt;'Custos FIDC'!BF20,AY5*'Custos FIDC'!$D$20,0),'Custos FIDC'!$J$20)</f>
        <v>13000</v>
      </c>
      <c r="AZ29" s="38">
        <f>MAX(IF(AY56&gt;'Custos FIDC'!BG20,AZ5*'Custos FIDC'!$D$20,0),'Custos FIDC'!$J$20)</f>
        <v>13000</v>
      </c>
      <c r="BA29" s="38">
        <f>MAX(IF(AZ56&gt;'Custos FIDC'!BH20,BA5*'Custos FIDC'!$D$20,0),'Custos FIDC'!$J$20)</f>
        <v>13000</v>
      </c>
      <c r="BB29" s="38">
        <f>MAX(IF(BA56&gt;'Custos FIDC'!BI20,BB5*'Custos FIDC'!$D$20,0),'Custos FIDC'!$J$20)</f>
        <v>13000</v>
      </c>
      <c r="BC29" s="38">
        <f>MAX(IF(BB56&gt;'Custos FIDC'!BJ20,BC5*'Custos FIDC'!$D$20,0),'Custos FIDC'!$J$20)</f>
        <v>13000</v>
      </c>
      <c r="BD29" s="38">
        <f>MAX(IF(BC56&gt;'Custos FIDC'!BK20,BD5*'Custos FIDC'!$D$20,0),'Custos FIDC'!$J$20)</f>
        <v>13000</v>
      </c>
      <c r="BE29" s="38">
        <f>MAX(IF(BD56&gt;'Custos FIDC'!BL20,BE5*'Custos FIDC'!$D$20,0),'Custos FIDC'!$J$20)</f>
        <v>13000</v>
      </c>
      <c r="BF29" s="38">
        <f>MAX(IF(BE56&gt;'Custos FIDC'!BM20,BF5*'Custos FIDC'!$D$20,0),'Custos FIDC'!$J$20)</f>
        <v>13000</v>
      </c>
      <c r="BG29" s="38">
        <f>MAX(IF(BF56&gt;'Custos FIDC'!BN20,BG5*'Custos FIDC'!$D$20,0),'Custos FIDC'!$J$20)</f>
        <v>13000</v>
      </c>
      <c r="BH29" s="38">
        <f>MAX(IF(BG56&gt;'Custos FIDC'!BO20,BH5*'Custos FIDC'!$D$20,0),'Custos FIDC'!$J$20)</f>
        <v>13000</v>
      </c>
      <c r="BI29" s="38">
        <f>MAX(IF(BH56&gt;'Custos FIDC'!BP20,BI5*'Custos FIDC'!$D$20,0),'Custos FIDC'!$J$20)</f>
        <v>13000</v>
      </c>
      <c r="BJ29" s="38">
        <f>MAX(IF(BI56&gt;'Custos FIDC'!BQ20,BJ5*'Custos FIDC'!$D$20,0),'Custos FIDC'!$J$20)</f>
        <v>13000</v>
      </c>
      <c r="BK29" s="39">
        <f>MAX(IF(BJ56&gt;'Custos FIDC'!BR20,BK5*'Custos FIDC'!$D$20,0),'Custos FIDC'!$J$20)</f>
        <v>13000</v>
      </c>
    </row>
    <row r="30" spans="2:63" x14ac:dyDescent="0.3">
      <c r="B30" s="160" t="s">
        <v>103</v>
      </c>
      <c r="C30" s="221"/>
      <c r="D30" s="217">
        <f>MAX(IF(D5&gt;'Custos FIDC'!K21,D5*'Custos FIDC'!$D$21,0),'Custos FIDC'!$J$21)</f>
        <v>12000</v>
      </c>
      <c r="E30" s="21">
        <f>MAX(IF(D56&gt;'Custos FIDC'!L21,E5*'Custos FIDC'!$D$21,0),'Custos FIDC'!$J$21)</f>
        <v>12000</v>
      </c>
      <c r="F30" s="21">
        <f>MAX(IF(E56&gt;'Custos FIDC'!M21,F5*'Custos FIDC'!$D$21,0),'Custos FIDC'!$J$21)</f>
        <v>12000</v>
      </c>
      <c r="G30" s="21">
        <f>MAX(IF(F56&gt;'Custos FIDC'!N21,G5*'Custos FIDC'!$D$21,0),'Custos FIDC'!$J$21)</f>
        <v>12000</v>
      </c>
      <c r="H30" s="21">
        <f>MAX(IF(G56&gt;'Custos FIDC'!O21,H5*'Custos FIDC'!$D$21,0),'Custos FIDC'!$J$21)</f>
        <v>12000</v>
      </c>
      <c r="I30" s="21">
        <f>MAX(IF(H56&gt;'Custos FIDC'!P21,I5*'Custos FIDC'!$D$21,0),'Custos FIDC'!$J$21)</f>
        <v>12000</v>
      </c>
      <c r="J30" s="21">
        <f>MAX(IF(I56&gt;'Custos FIDC'!Q21,J5*'Custos FIDC'!$D$21,0),'Custos FIDC'!$J$21)</f>
        <v>12000</v>
      </c>
      <c r="K30" s="21">
        <f>MAX(IF(J56&gt;'Custos FIDC'!R21,K5*'Custos FIDC'!$D$21,0),'Custos FIDC'!$J$21)</f>
        <v>12000</v>
      </c>
      <c r="L30" s="21">
        <f>MAX(IF(K56&gt;'Custos FIDC'!S21,L5*'Custos FIDC'!$D$21,0),'Custos FIDC'!$J$21)</f>
        <v>12000</v>
      </c>
      <c r="M30" s="21">
        <f>MAX(IF(L56&gt;'Custos FIDC'!T21,M5*'Custos FIDC'!$D$21,0),'Custos FIDC'!$J$21)</f>
        <v>12000</v>
      </c>
      <c r="N30" s="21">
        <f>MAX(IF(M56&gt;'Custos FIDC'!U21,N5*'Custos FIDC'!$D$21,0),'Custos FIDC'!$J$21)</f>
        <v>12000</v>
      </c>
      <c r="O30" s="21">
        <f>MAX(IF(N56&gt;'Custos FIDC'!V21,O5*'Custos FIDC'!$D$21,0),'Custos FIDC'!$J$21)</f>
        <v>12000</v>
      </c>
      <c r="P30" s="21">
        <f>MAX(IF(O56&gt;'Custos FIDC'!W21,P5*'Custos FIDC'!$D$21,0),'Custos FIDC'!$J$21)</f>
        <v>12000</v>
      </c>
      <c r="Q30" s="21">
        <f>MAX(IF(P56&gt;'Custos FIDC'!X21,Q5*'Custos FIDC'!$D$21,0),'Custos FIDC'!$J$21)</f>
        <v>12000</v>
      </c>
      <c r="R30" s="21">
        <f>MAX(IF(Q56&gt;'Custos FIDC'!Y21,R5*'Custos FIDC'!$D$21,0),'Custos FIDC'!$J$21)</f>
        <v>12000</v>
      </c>
      <c r="S30" s="21">
        <f>MAX(IF(R56&gt;'Custos FIDC'!Z21,S5*'Custos FIDC'!$D$21,0),'Custos FIDC'!$J$21)</f>
        <v>12000</v>
      </c>
      <c r="T30" s="21">
        <f>MAX(IF(S56&gt;'Custos FIDC'!AA21,T5*'Custos FIDC'!$D$21,0),'Custos FIDC'!$J$21)</f>
        <v>12000</v>
      </c>
      <c r="U30" s="21">
        <f>MAX(IF(T56&gt;'Custos FIDC'!AB21,U5*'Custos FIDC'!$D$21,0),'Custos FIDC'!$J$21)</f>
        <v>12000</v>
      </c>
      <c r="V30" s="21">
        <f>MAX(IF(U56&gt;'Custos FIDC'!AC21,V5*'Custos FIDC'!$D$21,0),'Custos FIDC'!$J$21)</f>
        <v>12000</v>
      </c>
      <c r="W30" s="21">
        <f>MAX(IF(V56&gt;'Custos FIDC'!AD21,W5*'Custos FIDC'!$D$21,0),'Custos FIDC'!$J$21)</f>
        <v>12000</v>
      </c>
      <c r="X30" s="21">
        <f>MAX(IF(W56&gt;'Custos FIDC'!AE21,X5*'Custos FIDC'!$D$21,0),'Custos FIDC'!$J$21)</f>
        <v>12000</v>
      </c>
      <c r="Y30" s="21">
        <f>MAX(IF(X56&gt;'Custos FIDC'!AF21,Y5*'Custos FIDC'!$D$21,0),'Custos FIDC'!$J$21)</f>
        <v>12000</v>
      </c>
      <c r="Z30" s="21">
        <f>MAX(IF(Y56&gt;'Custos FIDC'!AG21,Z5*'Custos FIDC'!$D$21,0),'Custos FIDC'!$J$21)</f>
        <v>12000</v>
      </c>
      <c r="AA30" s="21">
        <f>MAX(IF(Z56&gt;'Custos FIDC'!AH21,AA5*'Custos FIDC'!$D$21,0),'Custos FIDC'!$J$21)</f>
        <v>12000</v>
      </c>
      <c r="AB30" s="21">
        <f>MAX(IF(AA56&gt;'Custos FIDC'!AI21,AB5*'Custos FIDC'!$D$21,0),'Custos FIDC'!$J$21)</f>
        <v>12000</v>
      </c>
      <c r="AC30" s="21">
        <f>MAX(IF(AB56&gt;'Custos FIDC'!AJ21,AC5*'Custos FIDC'!$D$21,0),'Custos FIDC'!$J$21)</f>
        <v>12000</v>
      </c>
      <c r="AD30" s="21">
        <f>MAX(IF(AC56&gt;'Custos FIDC'!AK21,AD5*'Custos FIDC'!$D$21,0),'Custos FIDC'!$J$21)</f>
        <v>12000</v>
      </c>
      <c r="AE30" s="21">
        <f>MAX(IF(AD56&gt;'Custos FIDC'!AL21,AE5*'Custos FIDC'!$D$21,0),'Custos FIDC'!$J$21)</f>
        <v>12000</v>
      </c>
      <c r="AF30" s="21">
        <f>MAX(IF(AE56&gt;'Custos FIDC'!AM21,AF5*'Custos FIDC'!$D$21,0),'Custos FIDC'!$J$21)</f>
        <v>12000</v>
      </c>
      <c r="AG30" s="21">
        <f>MAX(IF(AF56&gt;'Custos FIDC'!AN21,AG5*'Custos FIDC'!$D$21,0),'Custos FIDC'!$J$21)</f>
        <v>12000</v>
      </c>
      <c r="AH30" s="21">
        <f>MAX(IF(AG56&gt;'Custos FIDC'!AO21,AH5*'Custos FIDC'!$D$21,0),'Custos FIDC'!$J$21)</f>
        <v>12000</v>
      </c>
      <c r="AI30" s="21">
        <f>MAX(IF(AH56&gt;'Custos FIDC'!AP21,AI5*'Custos FIDC'!$D$21,0),'Custos FIDC'!$J$21)</f>
        <v>12000</v>
      </c>
      <c r="AJ30" s="21">
        <f>MAX(IF(AI56&gt;'Custos FIDC'!AQ21,AJ5*'Custos FIDC'!$D$21,0),'Custos FIDC'!$J$21)</f>
        <v>12000</v>
      </c>
      <c r="AK30" s="21">
        <f>MAX(IF(AJ56&gt;'Custos FIDC'!AR21,AK5*'Custos FIDC'!$D$21,0),'Custos FIDC'!$J$21)</f>
        <v>12000</v>
      </c>
      <c r="AL30" s="21">
        <f>MAX(IF(AK56&gt;'Custos FIDC'!AS21,AL5*'Custos FIDC'!$D$21,0),'Custos FIDC'!$J$21)</f>
        <v>12000</v>
      </c>
      <c r="AM30" s="21">
        <f>MAX(IF(AL56&gt;'Custos FIDC'!AT21,AM5*'Custos FIDC'!$D$21,0),'Custos FIDC'!$J$21)</f>
        <v>12000</v>
      </c>
      <c r="AN30" s="21">
        <f>MAX(IF(AM56&gt;'Custos FIDC'!AU21,AN5*'Custos FIDC'!$D$21,0),'Custos FIDC'!$J$21)</f>
        <v>12000</v>
      </c>
      <c r="AO30" s="21">
        <f>MAX(IF(AN56&gt;'Custos FIDC'!AV21,AO5*'Custos FIDC'!$D$21,0),'Custos FIDC'!$J$21)</f>
        <v>12000</v>
      </c>
      <c r="AP30" s="21">
        <f>MAX(IF(AO56&gt;'Custos FIDC'!AW21,AP5*'Custos FIDC'!$D$21,0),'Custos FIDC'!$J$21)</f>
        <v>12000</v>
      </c>
      <c r="AQ30" s="21">
        <f>MAX(IF(AP56&gt;'Custos FIDC'!AX21,AQ5*'Custos FIDC'!$D$21,0),'Custos FIDC'!$J$21)</f>
        <v>12000</v>
      </c>
      <c r="AR30" s="21">
        <f>MAX(IF(AQ56&gt;'Custos FIDC'!AY21,AR5*'Custos FIDC'!$D$21,0),'Custos FIDC'!$J$21)</f>
        <v>12000</v>
      </c>
      <c r="AS30" s="21">
        <f>MAX(IF(AR56&gt;'Custos FIDC'!AZ21,AS5*'Custos FIDC'!$D$21,0),'Custos FIDC'!$J$21)</f>
        <v>12000</v>
      </c>
      <c r="AT30" s="21">
        <f>MAX(IF(AS56&gt;'Custos FIDC'!BA21,AT5*'Custos FIDC'!$D$21,0),'Custos FIDC'!$J$21)</f>
        <v>12000</v>
      </c>
      <c r="AU30" s="21">
        <f>MAX(IF(AT56&gt;'Custos FIDC'!BB21,AU5*'Custos FIDC'!$D$21,0),'Custos FIDC'!$J$21)</f>
        <v>12000</v>
      </c>
      <c r="AV30" s="21">
        <f>MAX(IF(AU56&gt;'Custos FIDC'!BC21,AV5*'Custos FIDC'!$D$21,0),'Custos FIDC'!$J$21)</f>
        <v>12000</v>
      </c>
      <c r="AW30" s="21">
        <f>MAX(IF(AV56&gt;'Custos FIDC'!BD21,AW5*'Custos FIDC'!$D$21,0),'Custos FIDC'!$J$21)</f>
        <v>12000</v>
      </c>
      <c r="AX30" s="21">
        <f>MAX(IF(AW56&gt;'Custos FIDC'!BE21,AX5*'Custos FIDC'!$D$21,0),'Custos FIDC'!$J$21)</f>
        <v>12000</v>
      </c>
      <c r="AY30" s="21">
        <f>MAX(IF(AX56&gt;'Custos FIDC'!BF21,AY5*'Custos FIDC'!$D$21,0),'Custos FIDC'!$J$21)</f>
        <v>12000</v>
      </c>
      <c r="AZ30" s="21">
        <f>MAX(IF(AY56&gt;'Custos FIDC'!BG21,AZ5*'Custos FIDC'!$D$21,0),'Custos FIDC'!$J$21)</f>
        <v>12000</v>
      </c>
      <c r="BA30" s="21">
        <f>MAX(IF(AZ56&gt;'Custos FIDC'!BH21,BA5*'Custos FIDC'!$D$21,0),'Custos FIDC'!$J$21)</f>
        <v>12000</v>
      </c>
      <c r="BB30" s="21">
        <f>MAX(IF(BA56&gt;'Custos FIDC'!BI21,BB5*'Custos FIDC'!$D$21,0),'Custos FIDC'!$J$21)</f>
        <v>12000</v>
      </c>
      <c r="BC30" s="21">
        <f>MAX(IF(BB56&gt;'Custos FIDC'!BJ21,BC5*'Custos FIDC'!$D$21,0),'Custos FIDC'!$J$21)</f>
        <v>12000</v>
      </c>
      <c r="BD30" s="21">
        <f>MAX(IF(BC56&gt;'Custos FIDC'!BK21,BD5*'Custos FIDC'!$D$21,0),'Custos FIDC'!$J$21)</f>
        <v>12000</v>
      </c>
      <c r="BE30" s="21">
        <f>MAX(IF(BD56&gt;'Custos FIDC'!BL21,BE5*'Custos FIDC'!$D$21,0),'Custos FIDC'!$J$21)</f>
        <v>12000</v>
      </c>
      <c r="BF30" s="21">
        <f>MAX(IF(BE56&gt;'Custos FIDC'!BM21,BF5*'Custos FIDC'!$D$21,0),'Custos FIDC'!$J$21)</f>
        <v>12000</v>
      </c>
      <c r="BG30" s="21">
        <f>MAX(IF(BF56&gt;'Custos FIDC'!BN21,BG5*'Custos FIDC'!$D$21,0),'Custos FIDC'!$J$21)</f>
        <v>12000</v>
      </c>
      <c r="BH30" s="21">
        <f>MAX(IF(BG56&gt;'Custos FIDC'!BO21,BH5*'Custos FIDC'!$D$21,0),'Custos FIDC'!$J$21)</f>
        <v>12000</v>
      </c>
      <c r="BI30" s="21">
        <f>MAX(IF(BH56&gt;'Custos FIDC'!BP21,BI5*'Custos FIDC'!$D$21,0),'Custos FIDC'!$J$21)</f>
        <v>12000</v>
      </c>
      <c r="BJ30" s="21">
        <f>MAX(IF(BI56&gt;'Custos FIDC'!BQ21,BJ5*'Custos FIDC'!$D$21,0),'Custos FIDC'!$J$21)</f>
        <v>12000</v>
      </c>
      <c r="BK30" s="40">
        <f>MAX(IF(BJ56&gt;'Custos FIDC'!BR21,BK5*'Custos FIDC'!$D$21,0),'Custos FIDC'!$J$21)</f>
        <v>12000</v>
      </c>
    </row>
    <row r="31" spans="2:63" x14ac:dyDescent="0.3">
      <c r="B31" s="122" t="s">
        <v>122</v>
      </c>
      <c r="C31" s="222"/>
      <c r="D31" s="217">
        <f>VLOOKUP(D5,'Custos FIDC'!$B$30:$D$39,3,TRUE)/3</f>
        <v>469.90333333333336</v>
      </c>
      <c r="E31" s="21">
        <f>VLOOKUP(D56,'Custos FIDC'!$B$30:$D$39,3,TRUE)/3</f>
        <v>469.90333333333336</v>
      </c>
      <c r="F31" s="21">
        <f>VLOOKUP(E56,'Custos FIDC'!$B$30:$D$39,3,TRUE)/3</f>
        <v>469.90333333333336</v>
      </c>
      <c r="G31" s="21">
        <f>VLOOKUP(F56,'Custos FIDC'!$B$30:$D$39,3,TRUE)/3</f>
        <v>469.90333333333336</v>
      </c>
      <c r="H31" s="21">
        <f>VLOOKUP(G56,'Custos FIDC'!$B$30:$D$39,3,TRUE)/3</f>
        <v>704.85666666666668</v>
      </c>
      <c r="I31" s="21">
        <f>VLOOKUP(H56,'Custos FIDC'!$B$30:$D$39,3,TRUE)/3</f>
        <v>704.85666666666668</v>
      </c>
      <c r="J31" s="21">
        <f>VLOOKUP(I56,'Custos FIDC'!$B$30:$D$39,3,TRUE)/3</f>
        <v>704.85666666666668</v>
      </c>
      <c r="K31" s="21">
        <f>VLOOKUP(J56,'Custos FIDC'!$B$30:$D$39,3,TRUE)/3</f>
        <v>704.85666666666668</v>
      </c>
      <c r="L31" s="21">
        <f>VLOOKUP(K56,'Custos FIDC'!$B$30:$D$39,3,TRUE)/3</f>
        <v>704.85666666666668</v>
      </c>
      <c r="M31" s="21">
        <f>VLOOKUP(L56,'Custos FIDC'!$B$30:$D$39,3,TRUE)/3</f>
        <v>704.85666666666668</v>
      </c>
      <c r="N31" s="21">
        <f>VLOOKUP(M56,'Custos FIDC'!$B$30:$D$39,3,TRUE)/3</f>
        <v>704.85666666666668</v>
      </c>
      <c r="O31" s="21">
        <f>VLOOKUP(N56,'Custos FIDC'!$B$30:$D$39,3,TRUE)/3</f>
        <v>704.85666666666668</v>
      </c>
      <c r="P31" s="21">
        <f>VLOOKUP(O56,'Custos FIDC'!$B$30:$D$39,3,TRUE)/3</f>
        <v>704.85666666666668</v>
      </c>
      <c r="Q31" s="21">
        <f>VLOOKUP(P56,'Custos FIDC'!$B$30:$D$39,3,TRUE)/3</f>
        <v>704.85666666666668</v>
      </c>
      <c r="R31" s="21">
        <f>VLOOKUP(Q56,'Custos FIDC'!$B$30:$D$39,3,TRUE)/3</f>
        <v>704.85666666666668</v>
      </c>
      <c r="S31" s="21">
        <f>VLOOKUP(R56,'Custos FIDC'!$B$30:$D$39,3,TRUE)/3</f>
        <v>704.85666666666668</v>
      </c>
      <c r="T31" s="21">
        <f>VLOOKUP(S56,'Custos FIDC'!$B$30:$D$39,3,TRUE)/3</f>
        <v>704.85666666666668</v>
      </c>
      <c r="U31" s="21">
        <f>VLOOKUP(T56,'Custos FIDC'!$B$30:$D$39,3,TRUE)/3</f>
        <v>704.85666666666668</v>
      </c>
      <c r="V31" s="21">
        <f>VLOOKUP(U56,'Custos FIDC'!$B$30:$D$39,3,TRUE)/3</f>
        <v>704.85666666666668</v>
      </c>
      <c r="W31" s="21">
        <f>VLOOKUP(V56,'Custos FIDC'!$B$30:$D$39,3,TRUE)/3</f>
        <v>704.85666666666668</v>
      </c>
      <c r="X31" s="21">
        <f>VLOOKUP(W56,'Custos FIDC'!$B$30:$D$39,3,TRUE)/3</f>
        <v>704.85666666666668</v>
      </c>
      <c r="Y31" s="21">
        <f>VLOOKUP(X56,'Custos FIDC'!$B$30:$D$39,3,TRUE)/3</f>
        <v>704.85666666666668</v>
      </c>
      <c r="Z31" s="21">
        <f>VLOOKUP(Y56,'Custos FIDC'!$B$30:$D$39,3,TRUE)/3</f>
        <v>704.85666666666668</v>
      </c>
      <c r="AA31" s="21">
        <f>VLOOKUP(Z56,'Custos FIDC'!$B$30:$D$39,3,TRUE)/3</f>
        <v>704.85666666666668</v>
      </c>
      <c r="AB31" s="21">
        <f>VLOOKUP(AA56,'Custos FIDC'!$B$30:$D$39,3,TRUE)/3</f>
        <v>704.85666666666668</v>
      </c>
      <c r="AC31" s="21">
        <f>VLOOKUP(AB56,'Custos FIDC'!$B$30:$D$39,3,TRUE)/3</f>
        <v>704.85666666666668</v>
      </c>
      <c r="AD31" s="21">
        <f>VLOOKUP(AC56,'Custos FIDC'!$B$30:$D$39,3,TRUE)/3</f>
        <v>704.85666666666668</v>
      </c>
      <c r="AE31" s="21">
        <f>VLOOKUP(AD56,'Custos FIDC'!$B$30:$D$39,3,TRUE)/3</f>
        <v>704.85666666666668</v>
      </c>
      <c r="AF31" s="21">
        <f>VLOOKUP(AE56,'Custos FIDC'!$B$30:$D$39,3,TRUE)/3</f>
        <v>704.85666666666668</v>
      </c>
      <c r="AG31" s="21">
        <f>VLOOKUP(AF56,'Custos FIDC'!$B$30:$D$39,3,TRUE)/3</f>
        <v>704.85666666666668</v>
      </c>
      <c r="AH31" s="21">
        <f>VLOOKUP(AG56,'Custos FIDC'!$B$30:$D$39,3,TRUE)/3</f>
        <v>704.85666666666668</v>
      </c>
      <c r="AI31" s="21">
        <f>VLOOKUP(AH56,'Custos FIDC'!$B$30:$D$39,3,TRUE)/3</f>
        <v>704.85666666666668</v>
      </c>
      <c r="AJ31" s="21">
        <f>VLOOKUP(AI56,'Custos FIDC'!$B$30:$D$39,3,TRUE)/3</f>
        <v>704.85666666666668</v>
      </c>
      <c r="AK31" s="21">
        <f>VLOOKUP(AJ56,'Custos FIDC'!$B$30:$D$39,3,TRUE)/3</f>
        <v>704.85666666666668</v>
      </c>
      <c r="AL31" s="21">
        <f>VLOOKUP(AK56,'Custos FIDC'!$B$30:$D$39,3,TRUE)/3</f>
        <v>704.85666666666668</v>
      </c>
      <c r="AM31" s="21">
        <f>VLOOKUP(AL56,'Custos FIDC'!$B$30:$D$39,3,TRUE)/3</f>
        <v>704.85666666666668</v>
      </c>
      <c r="AN31" s="21">
        <f>VLOOKUP(AM56,'Custos FIDC'!$B$30:$D$39,3,TRUE)/3</f>
        <v>704.85666666666668</v>
      </c>
      <c r="AO31" s="21">
        <f>VLOOKUP(AN56,'Custos FIDC'!$B$30:$D$39,3,TRUE)/3</f>
        <v>704.85666666666668</v>
      </c>
      <c r="AP31" s="21">
        <f>VLOOKUP(AO56,'Custos FIDC'!$B$30:$D$39,3,TRUE)/3</f>
        <v>704.85666666666668</v>
      </c>
      <c r="AQ31" s="21">
        <f>VLOOKUP(AP56,'Custos FIDC'!$B$30:$D$39,3,TRUE)/3</f>
        <v>704.85666666666668</v>
      </c>
      <c r="AR31" s="21">
        <f>VLOOKUP(AQ56,'Custos FIDC'!$B$30:$D$39,3,TRUE)/3</f>
        <v>704.85666666666668</v>
      </c>
      <c r="AS31" s="21">
        <f>VLOOKUP(AR56,'Custos FIDC'!$B$30:$D$39,3,TRUE)/3</f>
        <v>704.85666666666668</v>
      </c>
      <c r="AT31" s="21">
        <f>VLOOKUP(AS56,'Custos FIDC'!$B$30:$D$39,3,TRUE)/3</f>
        <v>704.85666666666668</v>
      </c>
      <c r="AU31" s="21">
        <f>VLOOKUP(AT56,'Custos FIDC'!$B$30:$D$39,3,TRUE)/3</f>
        <v>704.85666666666668</v>
      </c>
      <c r="AV31" s="21">
        <f>VLOOKUP(AU56,'Custos FIDC'!$B$30:$D$39,3,TRUE)/3</f>
        <v>704.85666666666668</v>
      </c>
      <c r="AW31" s="21">
        <f>VLOOKUP(AV56,'Custos FIDC'!$B$30:$D$39,3,TRUE)/3</f>
        <v>704.85666666666668</v>
      </c>
      <c r="AX31" s="21">
        <f>VLOOKUP(AW56,'Custos FIDC'!$B$30:$D$39,3,TRUE)/3</f>
        <v>704.85666666666668</v>
      </c>
      <c r="AY31" s="21">
        <f>VLOOKUP(AX56,'Custos FIDC'!$B$30:$D$39,3,TRUE)/3</f>
        <v>704.85666666666668</v>
      </c>
      <c r="AZ31" s="21">
        <f>VLOOKUP(AY56,'Custos FIDC'!$B$30:$D$39,3,TRUE)/3</f>
        <v>704.85666666666668</v>
      </c>
      <c r="BA31" s="21">
        <f>VLOOKUP(AZ56,'Custos FIDC'!$B$30:$D$39,3,TRUE)/3</f>
        <v>704.85666666666668</v>
      </c>
      <c r="BB31" s="21">
        <f>VLOOKUP(BA56,'Custos FIDC'!$B$30:$D$39,3,TRUE)/3</f>
        <v>939.81</v>
      </c>
      <c r="BC31" s="21">
        <f>VLOOKUP(BB56,'Custos FIDC'!$B$30:$D$39,3,TRUE)/3</f>
        <v>939.81</v>
      </c>
      <c r="BD31" s="21">
        <f>VLOOKUP(BC56,'Custos FIDC'!$B$30:$D$39,3,TRUE)/3</f>
        <v>939.81</v>
      </c>
      <c r="BE31" s="21">
        <f>VLOOKUP(BD56,'Custos FIDC'!$B$30:$D$39,3,TRUE)/3</f>
        <v>939.81</v>
      </c>
      <c r="BF31" s="21">
        <f>VLOOKUP(BE56,'Custos FIDC'!$B$30:$D$39,3,TRUE)/3</f>
        <v>939.81</v>
      </c>
      <c r="BG31" s="21">
        <f>VLOOKUP(BF56,'Custos FIDC'!$B$30:$D$39,3,TRUE)/3</f>
        <v>939.81</v>
      </c>
      <c r="BH31" s="21">
        <f>VLOOKUP(BG56,'Custos FIDC'!$B$30:$D$39,3,TRUE)/3</f>
        <v>939.81</v>
      </c>
      <c r="BI31" s="21">
        <f>VLOOKUP(BH56,'Custos FIDC'!$B$30:$D$39,3,TRUE)/3</f>
        <v>939.81</v>
      </c>
      <c r="BJ31" s="21">
        <f>VLOOKUP(BI56,'Custos FIDC'!$B$30:$D$39,3,TRUE)/3</f>
        <v>939.81</v>
      </c>
      <c r="BK31" s="40">
        <f>VLOOKUP(BJ56,'Custos FIDC'!$B$30:$D$39,3,TRUE)/3</f>
        <v>939.81</v>
      </c>
    </row>
    <row r="32" spans="2:63" x14ac:dyDescent="0.3">
      <c r="B32" s="122" t="s">
        <v>62</v>
      </c>
      <c r="C32" s="222"/>
      <c r="D32" s="217">
        <f>VLOOKUP(D5,'Custos FIDC'!$B$43:$D$52,3,TRUE)</f>
        <v>153</v>
      </c>
      <c r="E32" s="21">
        <f>VLOOKUP(D56,'Custos FIDC'!$B$43:$D$52,3,TRUE)</f>
        <v>206</v>
      </c>
      <c r="F32" s="21">
        <f>VLOOKUP(E56,'Custos FIDC'!$B$43:$D$52,3,TRUE)</f>
        <v>206</v>
      </c>
      <c r="G32" s="21">
        <f>VLOOKUP(F56,'Custos FIDC'!$B$43:$D$52,3,TRUE)</f>
        <v>206</v>
      </c>
      <c r="H32" s="21">
        <f>VLOOKUP(G56,'Custos FIDC'!$B$43:$D$52,3,TRUE)</f>
        <v>206</v>
      </c>
      <c r="I32" s="21">
        <f>VLOOKUP(H56,'Custos FIDC'!$B$43:$D$52,3,TRUE)</f>
        <v>206</v>
      </c>
      <c r="J32" s="21">
        <f>VLOOKUP(I56,'Custos FIDC'!$B$43:$D$52,3,TRUE)</f>
        <v>206</v>
      </c>
      <c r="K32" s="21">
        <f>VLOOKUP(J56,'Custos FIDC'!$B$43:$D$52,3,TRUE)</f>
        <v>206</v>
      </c>
      <c r="L32" s="21">
        <f>VLOOKUP(K56,'Custos FIDC'!$B$43:$D$52,3,TRUE)</f>
        <v>206</v>
      </c>
      <c r="M32" s="21">
        <f>VLOOKUP(L56,'Custos FIDC'!$B$43:$D$52,3,TRUE)</f>
        <v>206</v>
      </c>
      <c r="N32" s="21">
        <f>VLOOKUP(M56,'Custos FIDC'!$B$43:$D$52,3,TRUE)</f>
        <v>206</v>
      </c>
      <c r="O32" s="21">
        <f>VLOOKUP(N56,'Custos FIDC'!$B$43:$D$52,3,TRUE)</f>
        <v>206</v>
      </c>
      <c r="P32" s="21">
        <f>VLOOKUP(O56,'Custos FIDC'!$B$43:$D$52,3,TRUE)</f>
        <v>206</v>
      </c>
      <c r="Q32" s="21">
        <f>VLOOKUP(P56,'Custos FIDC'!$B$43:$D$52,3,TRUE)</f>
        <v>206</v>
      </c>
      <c r="R32" s="21">
        <f>VLOOKUP(Q56,'Custos FIDC'!$B$43:$D$52,3,TRUE)</f>
        <v>206</v>
      </c>
      <c r="S32" s="21">
        <f>VLOOKUP(R56,'Custos FIDC'!$B$43:$D$52,3,TRUE)</f>
        <v>206</v>
      </c>
      <c r="T32" s="21">
        <f>VLOOKUP(S56,'Custos FIDC'!$B$43:$D$52,3,TRUE)</f>
        <v>206</v>
      </c>
      <c r="U32" s="21">
        <f>VLOOKUP(T56,'Custos FIDC'!$B$43:$D$52,3,TRUE)</f>
        <v>206</v>
      </c>
      <c r="V32" s="21">
        <f>VLOOKUP(U56,'Custos FIDC'!$B$43:$D$52,3,TRUE)</f>
        <v>206</v>
      </c>
      <c r="W32" s="21">
        <f>VLOOKUP(V56,'Custos FIDC'!$B$43:$D$52,3,TRUE)</f>
        <v>206</v>
      </c>
      <c r="X32" s="21">
        <f>VLOOKUP(W56,'Custos FIDC'!$B$43:$D$52,3,TRUE)</f>
        <v>206</v>
      </c>
      <c r="Y32" s="21">
        <f>VLOOKUP(X56,'Custos FIDC'!$B$43:$D$52,3,TRUE)</f>
        <v>206</v>
      </c>
      <c r="Z32" s="21">
        <f>VLOOKUP(Y56,'Custos FIDC'!$B$43:$D$52,3,TRUE)</f>
        <v>206</v>
      </c>
      <c r="AA32" s="21">
        <f>VLOOKUP(Z56,'Custos FIDC'!$B$43:$D$52,3,TRUE)</f>
        <v>206</v>
      </c>
      <c r="AB32" s="21">
        <f>VLOOKUP(AA56,'Custos FIDC'!$B$43:$D$52,3,TRUE)</f>
        <v>206</v>
      </c>
      <c r="AC32" s="21">
        <f>VLOOKUP(AB56,'Custos FIDC'!$B$43:$D$52,3,TRUE)</f>
        <v>206</v>
      </c>
      <c r="AD32" s="21">
        <f>VLOOKUP(AC56,'Custos FIDC'!$B$43:$D$52,3,TRUE)</f>
        <v>206</v>
      </c>
      <c r="AE32" s="21">
        <f>VLOOKUP(AD56,'Custos FIDC'!$B$43:$D$52,3,TRUE)</f>
        <v>206</v>
      </c>
      <c r="AF32" s="21">
        <f>VLOOKUP(AE56,'Custos FIDC'!$B$43:$D$52,3,TRUE)</f>
        <v>206</v>
      </c>
      <c r="AG32" s="21">
        <f>VLOOKUP(AF56,'Custos FIDC'!$B$43:$D$52,3,TRUE)</f>
        <v>206</v>
      </c>
      <c r="AH32" s="21">
        <f>VLOOKUP(AG56,'Custos FIDC'!$B$43:$D$52,3,TRUE)</f>
        <v>206</v>
      </c>
      <c r="AI32" s="21">
        <f>VLOOKUP(AH56,'Custos FIDC'!$B$43:$D$52,3,TRUE)</f>
        <v>206</v>
      </c>
      <c r="AJ32" s="21">
        <f>VLOOKUP(AI56,'Custos FIDC'!$B$43:$D$52,3,TRUE)</f>
        <v>206</v>
      </c>
      <c r="AK32" s="21">
        <f>VLOOKUP(AJ56,'Custos FIDC'!$B$43:$D$52,3,TRUE)</f>
        <v>206</v>
      </c>
      <c r="AL32" s="21">
        <f>VLOOKUP(AK56,'Custos FIDC'!$B$43:$D$52,3,TRUE)</f>
        <v>206</v>
      </c>
      <c r="AM32" s="21">
        <f>VLOOKUP(AL56,'Custos FIDC'!$B$43:$D$52,3,TRUE)</f>
        <v>206</v>
      </c>
      <c r="AN32" s="21">
        <f>VLOOKUP(AM56,'Custos FIDC'!$B$43:$D$52,3,TRUE)</f>
        <v>206</v>
      </c>
      <c r="AO32" s="21">
        <f>VLOOKUP(AN56,'Custos FIDC'!$B$43:$D$52,3,TRUE)</f>
        <v>206</v>
      </c>
      <c r="AP32" s="21">
        <f>VLOOKUP(AO56,'Custos FIDC'!$B$43:$D$52,3,TRUE)</f>
        <v>206</v>
      </c>
      <c r="AQ32" s="21">
        <f>VLOOKUP(AP56,'Custos FIDC'!$B$43:$D$52,3,TRUE)</f>
        <v>206</v>
      </c>
      <c r="AR32" s="21">
        <f>VLOOKUP(AQ56,'Custos FIDC'!$B$43:$D$52,3,TRUE)</f>
        <v>206</v>
      </c>
      <c r="AS32" s="21">
        <f>VLOOKUP(AR56,'Custos FIDC'!$B$43:$D$52,3,TRUE)</f>
        <v>206</v>
      </c>
      <c r="AT32" s="21">
        <f>VLOOKUP(AS56,'Custos FIDC'!$B$43:$D$52,3,TRUE)</f>
        <v>206</v>
      </c>
      <c r="AU32" s="21">
        <f>VLOOKUP(AT56,'Custos FIDC'!$B$43:$D$52,3,TRUE)</f>
        <v>206</v>
      </c>
      <c r="AV32" s="21">
        <f>VLOOKUP(AU56,'Custos FIDC'!$B$43:$D$52,3,TRUE)</f>
        <v>206</v>
      </c>
      <c r="AW32" s="21">
        <f>VLOOKUP(AV56,'Custos FIDC'!$B$43:$D$52,3,TRUE)</f>
        <v>206</v>
      </c>
      <c r="AX32" s="21">
        <f>VLOOKUP(AW56,'Custos FIDC'!$B$43:$D$52,3,TRUE)</f>
        <v>206</v>
      </c>
      <c r="AY32" s="21">
        <f>VLOOKUP(AX56,'Custos FIDC'!$B$43:$D$52,3,TRUE)</f>
        <v>206</v>
      </c>
      <c r="AZ32" s="21">
        <f>VLOOKUP(AY56,'Custos FIDC'!$B$43:$D$52,3,TRUE)</f>
        <v>206</v>
      </c>
      <c r="BA32" s="21">
        <f>VLOOKUP(AZ56,'Custos FIDC'!$B$43:$D$52,3,TRUE)</f>
        <v>206</v>
      </c>
      <c r="BB32" s="21">
        <f>VLOOKUP(BA56,'Custos FIDC'!$B$43:$D$52,3,TRUE)</f>
        <v>274</v>
      </c>
      <c r="BC32" s="21">
        <f>VLOOKUP(BB56,'Custos FIDC'!$B$43:$D$52,3,TRUE)</f>
        <v>274</v>
      </c>
      <c r="BD32" s="21">
        <f>VLOOKUP(BC56,'Custos FIDC'!$B$43:$D$52,3,TRUE)</f>
        <v>274</v>
      </c>
      <c r="BE32" s="21">
        <f>VLOOKUP(BD56,'Custos FIDC'!$B$43:$D$52,3,TRUE)</f>
        <v>274</v>
      </c>
      <c r="BF32" s="21">
        <f>VLOOKUP(BE56,'Custos FIDC'!$B$43:$D$52,3,TRUE)</f>
        <v>274</v>
      </c>
      <c r="BG32" s="21">
        <f>VLOOKUP(BF56,'Custos FIDC'!$B$43:$D$52,3,TRUE)</f>
        <v>274</v>
      </c>
      <c r="BH32" s="21">
        <f>VLOOKUP(BG56,'Custos FIDC'!$B$43:$D$52,3,TRUE)</f>
        <v>274</v>
      </c>
      <c r="BI32" s="21">
        <f>VLOOKUP(BH56,'Custos FIDC'!$B$43:$D$52,3,TRUE)</f>
        <v>274</v>
      </c>
      <c r="BJ32" s="21">
        <f>VLOOKUP(BI56,'Custos FIDC'!$B$43:$D$52,3,TRUE)</f>
        <v>274</v>
      </c>
      <c r="BK32" s="40">
        <f>VLOOKUP(BJ56,'Custos FIDC'!$B$43:$D$52,3,TRUE)</f>
        <v>274</v>
      </c>
    </row>
    <row r="33" spans="2:63" x14ac:dyDescent="0.3">
      <c r="B33" s="122"/>
      <c r="C33" s="222"/>
      <c r="D33" s="218" t="s">
        <v>124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219"/>
    </row>
    <row r="34" spans="2:63" x14ac:dyDescent="0.3">
      <c r="B34" s="144" t="s">
        <v>123</v>
      </c>
      <c r="C34" s="223"/>
      <c r="D34" s="41">
        <f>30000/12</f>
        <v>2500</v>
      </c>
      <c r="E34" s="42">
        <f t="shared" ref="E34:BK34" si="10">30000/12</f>
        <v>2500</v>
      </c>
      <c r="F34" s="42">
        <f t="shared" si="10"/>
        <v>2500</v>
      </c>
      <c r="G34" s="42">
        <f t="shared" si="10"/>
        <v>2500</v>
      </c>
      <c r="H34" s="42">
        <f t="shared" si="10"/>
        <v>2500</v>
      </c>
      <c r="I34" s="42">
        <f t="shared" si="10"/>
        <v>2500</v>
      </c>
      <c r="J34" s="42">
        <f t="shared" si="10"/>
        <v>2500</v>
      </c>
      <c r="K34" s="42">
        <f t="shared" si="10"/>
        <v>2500</v>
      </c>
      <c r="L34" s="42">
        <f t="shared" si="10"/>
        <v>2500</v>
      </c>
      <c r="M34" s="42">
        <f t="shared" si="10"/>
        <v>2500</v>
      </c>
      <c r="N34" s="42">
        <f t="shared" si="10"/>
        <v>2500</v>
      </c>
      <c r="O34" s="42">
        <f t="shared" si="10"/>
        <v>2500</v>
      </c>
      <c r="P34" s="42">
        <f t="shared" si="10"/>
        <v>2500</v>
      </c>
      <c r="Q34" s="42">
        <f t="shared" si="10"/>
        <v>2500</v>
      </c>
      <c r="R34" s="42">
        <f t="shared" si="10"/>
        <v>2500</v>
      </c>
      <c r="S34" s="42">
        <f t="shared" si="10"/>
        <v>2500</v>
      </c>
      <c r="T34" s="42">
        <f t="shared" si="10"/>
        <v>2500</v>
      </c>
      <c r="U34" s="42">
        <f t="shared" si="10"/>
        <v>2500</v>
      </c>
      <c r="V34" s="42">
        <f t="shared" si="10"/>
        <v>2500</v>
      </c>
      <c r="W34" s="42">
        <f t="shared" si="10"/>
        <v>2500</v>
      </c>
      <c r="X34" s="42">
        <f t="shared" si="10"/>
        <v>2500</v>
      </c>
      <c r="Y34" s="42">
        <f t="shared" si="10"/>
        <v>2500</v>
      </c>
      <c r="Z34" s="42">
        <f t="shared" si="10"/>
        <v>2500</v>
      </c>
      <c r="AA34" s="42">
        <f t="shared" si="10"/>
        <v>2500</v>
      </c>
      <c r="AB34" s="42">
        <f t="shared" si="10"/>
        <v>2500</v>
      </c>
      <c r="AC34" s="42">
        <f t="shared" si="10"/>
        <v>2500</v>
      </c>
      <c r="AD34" s="42">
        <f t="shared" si="10"/>
        <v>2500</v>
      </c>
      <c r="AE34" s="42">
        <f t="shared" si="10"/>
        <v>2500</v>
      </c>
      <c r="AF34" s="42">
        <f t="shared" si="10"/>
        <v>2500</v>
      </c>
      <c r="AG34" s="42">
        <f t="shared" si="10"/>
        <v>2500</v>
      </c>
      <c r="AH34" s="42">
        <f t="shared" si="10"/>
        <v>2500</v>
      </c>
      <c r="AI34" s="42">
        <f t="shared" si="10"/>
        <v>2500</v>
      </c>
      <c r="AJ34" s="42">
        <f t="shared" si="10"/>
        <v>2500</v>
      </c>
      <c r="AK34" s="42">
        <f t="shared" si="10"/>
        <v>2500</v>
      </c>
      <c r="AL34" s="42">
        <f t="shared" si="10"/>
        <v>2500</v>
      </c>
      <c r="AM34" s="42">
        <f t="shared" si="10"/>
        <v>2500</v>
      </c>
      <c r="AN34" s="42">
        <f t="shared" si="10"/>
        <v>2500</v>
      </c>
      <c r="AO34" s="42">
        <f t="shared" si="10"/>
        <v>2500</v>
      </c>
      <c r="AP34" s="42">
        <f t="shared" si="10"/>
        <v>2500</v>
      </c>
      <c r="AQ34" s="42">
        <f t="shared" si="10"/>
        <v>2500</v>
      </c>
      <c r="AR34" s="42">
        <f t="shared" si="10"/>
        <v>2500</v>
      </c>
      <c r="AS34" s="42">
        <f t="shared" si="10"/>
        <v>2500</v>
      </c>
      <c r="AT34" s="42">
        <f t="shared" si="10"/>
        <v>2500</v>
      </c>
      <c r="AU34" s="42">
        <f t="shared" si="10"/>
        <v>2500</v>
      </c>
      <c r="AV34" s="42">
        <f t="shared" si="10"/>
        <v>2500</v>
      </c>
      <c r="AW34" s="42">
        <f t="shared" si="10"/>
        <v>2500</v>
      </c>
      <c r="AX34" s="42">
        <f t="shared" si="10"/>
        <v>2500</v>
      </c>
      <c r="AY34" s="42">
        <f t="shared" si="10"/>
        <v>2500</v>
      </c>
      <c r="AZ34" s="42">
        <f t="shared" si="10"/>
        <v>2500</v>
      </c>
      <c r="BA34" s="42">
        <f t="shared" si="10"/>
        <v>2500</v>
      </c>
      <c r="BB34" s="42">
        <f t="shared" si="10"/>
        <v>2500</v>
      </c>
      <c r="BC34" s="42">
        <f t="shared" si="10"/>
        <v>2500</v>
      </c>
      <c r="BD34" s="42">
        <f t="shared" si="10"/>
        <v>2500</v>
      </c>
      <c r="BE34" s="42">
        <f t="shared" si="10"/>
        <v>2500</v>
      </c>
      <c r="BF34" s="42">
        <f t="shared" si="10"/>
        <v>2500</v>
      </c>
      <c r="BG34" s="42">
        <f t="shared" si="10"/>
        <v>2500</v>
      </c>
      <c r="BH34" s="42">
        <f t="shared" si="10"/>
        <v>2500</v>
      </c>
      <c r="BI34" s="42">
        <f t="shared" si="10"/>
        <v>2500</v>
      </c>
      <c r="BJ34" s="42">
        <f t="shared" si="10"/>
        <v>2500</v>
      </c>
      <c r="BK34" s="43">
        <f t="shared" si="10"/>
        <v>2500</v>
      </c>
    </row>
    <row r="35" spans="2:63" x14ac:dyDescent="0.3">
      <c r="B35"/>
      <c r="C35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</row>
    <row r="36" spans="2:63" x14ac:dyDescent="0.3">
      <c r="B36" s="37" t="s">
        <v>104</v>
      </c>
      <c r="C36" s="37"/>
      <c r="D36" s="34">
        <f>SUM(D37:D38)</f>
        <v>30790</v>
      </c>
      <c r="E36" s="34">
        <f t="shared" ref="E36:BK36" si="11">SUM(E37:E38)</f>
        <v>0</v>
      </c>
      <c r="F36" s="34">
        <f t="shared" si="11"/>
        <v>0</v>
      </c>
      <c r="G36" s="34">
        <f t="shared" si="11"/>
        <v>0</v>
      </c>
      <c r="H36" s="34">
        <f t="shared" si="11"/>
        <v>0</v>
      </c>
      <c r="I36" s="34">
        <f t="shared" si="11"/>
        <v>0</v>
      </c>
      <c r="J36" s="34">
        <f t="shared" si="11"/>
        <v>0</v>
      </c>
      <c r="K36" s="34">
        <f t="shared" si="11"/>
        <v>0</v>
      </c>
      <c r="L36" s="34">
        <f t="shared" si="11"/>
        <v>0</v>
      </c>
      <c r="M36" s="34">
        <f t="shared" si="11"/>
        <v>0</v>
      </c>
      <c r="N36" s="34">
        <f t="shared" si="11"/>
        <v>0</v>
      </c>
      <c r="O36" s="34">
        <f t="shared" si="11"/>
        <v>0</v>
      </c>
      <c r="P36" s="34">
        <f t="shared" si="11"/>
        <v>0</v>
      </c>
      <c r="Q36" s="34">
        <f t="shared" si="11"/>
        <v>0</v>
      </c>
      <c r="R36" s="34">
        <f t="shared" si="11"/>
        <v>0</v>
      </c>
      <c r="S36" s="34">
        <f t="shared" si="11"/>
        <v>0</v>
      </c>
      <c r="T36" s="34">
        <f t="shared" si="11"/>
        <v>0</v>
      </c>
      <c r="U36" s="34">
        <f t="shared" si="11"/>
        <v>0</v>
      </c>
      <c r="V36" s="34">
        <f t="shared" si="11"/>
        <v>0</v>
      </c>
      <c r="W36" s="34">
        <f t="shared" si="11"/>
        <v>0</v>
      </c>
      <c r="X36" s="34">
        <f t="shared" si="11"/>
        <v>0</v>
      </c>
      <c r="Y36" s="34">
        <f t="shared" si="11"/>
        <v>0</v>
      </c>
      <c r="Z36" s="34">
        <f t="shared" si="11"/>
        <v>0</v>
      </c>
      <c r="AA36" s="34">
        <f t="shared" si="11"/>
        <v>0</v>
      </c>
      <c r="AB36" s="34">
        <f t="shared" si="11"/>
        <v>0</v>
      </c>
      <c r="AC36" s="34">
        <f t="shared" si="11"/>
        <v>0</v>
      </c>
      <c r="AD36" s="34">
        <f t="shared" si="11"/>
        <v>0</v>
      </c>
      <c r="AE36" s="34">
        <f t="shared" si="11"/>
        <v>0</v>
      </c>
      <c r="AF36" s="34">
        <f t="shared" si="11"/>
        <v>0</v>
      </c>
      <c r="AG36" s="34">
        <f t="shared" si="11"/>
        <v>0</v>
      </c>
      <c r="AH36" s="34">
        <f t="shared" si="11"/>
        <v>0</v>
      </c>
      <c r="AI36" s="34">
        <f t="shared" si="11"/>
        <v>0</v>
      </c>
      <c r="AJ36" s="34">
        <f t="shared" si="11"/>
        <v>0</v>
      </c>
      <c r="AK36" s="34">
        <f t="shared" si="11"/>
        <v>0</v>
      </c>
      <c r="AL36" s="34">
        <f t="shared" si="11"/>
        <v>0</v>
      </c>
      <c r="AM36" s="34">
        <f t="shared" si="11"/>
        <v>0</v>
      </c>
      <c r="AN36" s="34">
        <f t="shared" si="11"/>
        <v>0</v>
      </c>
      <c r="AO36" s="34">
        <f t="shared" si="11"/>
        <v>0</v>
      </c>
      <c r="AP36" s="34">
        <f t="shared" si="11"/>
        <v>0</v>
      </c>
      <c r="AQ36" s="34">
        <f t="shared" si="11"/>
        <v>0</v>
      </c>
      <c r="AR36" s="34">
        <f t="shared" si="11"/>
        <v>0</v>
      </c>
      <c r="AS36" s="34">
        <f t="shared" si="11"/>
        <v>0</v>
      </c>
      <c r="AT36" s="34">
        <f t="shared" si="11"/>
        <v>0</v>
      </c>
      <c r="AU36" s="34">
        <f t="shared" si="11"/>
        <v>0</v>
      </c>
      <c r="AV36" s="34">
        <f t="shared" si="11"/>
        <v>0</v>
      </c>
      <c r="AW36" s="34">
        <f t="shared" si="11"/>
        <v>0</v>
      </c>
      <c r="AX36" s="34">
        <f t="shared" si="11"/>
        <v>0</v>
      </c>
      <c r="AY36" s="34">
        <f t="shared" si="11"/>
        <v>0</v>
      </c>
      <c r="AZ36" s="34">
        <f t="shared" si="11"/>
        <v>0</v>
      </c>
      <c r="BA36" s="34">
        <f t="shared" si="11"/>
        <v>0</v>
      </c>
      <c r="BB36" s="34">
        <f t="shared" si="11"/>
        <v>0</v>
      </c>
      <c r="BC36" s="34">
        <f t="shared" si="11"/>
        <v>0</v>
      </c>
      <c r="BD36" s="34">
        <f t="shared" si="11"/>
        <v>0</v>
      </c>
      <c r="BE36" s="34">
        <f t="shared" si="11"/>
        <v>0</v>
      </c>
      <c r="BF36" s="34">
        <f t="shared" si="11"/>
        <v>0</v>
      </c>
      <c r="BG36" s="34">
        <f t="shared" si="11"/>
        <v>0</v>
      </c>
      <c r="BH36" s="34">
        <f t="shared" si="11"/>
        <v>0</v>
      </c>
      <c r="BI36" s="34">
        <f t="shared" si="11"/>
        <v>0</v>
      </c>
      <c r="BJ36" s="34">
        <f t="shared" si="11"/>
        <v>0</v>
      </c>
      <c r="BK36" s="34">
        <f t="shared" si="11"/>
        <v>0</v>
      </c>
    </row>
    <row r="37" spans="2:63" x14ac:dyDescent="0.3">
      <c r="B37" s="118" t="s">
        <v>138</v>
      </c>
      <c r="C37" s="122"/>
      <c r="D37" s="119">
        <f>Inputs!C11*0.003</f>
        <v>30000</v>
      </c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0"/>
      <c r="BA37" s="120"/>
      <c r="BB37" s="120"/>
      <c r="BC37" s="120"/>
      <c r="BD37" s="120"/>
      <c r="BE37" s="120"/>
      <c r="BF37" s="120"/>
      <c r="BG37" s="120"/>
      <c r="BH37" s="120"/>
      <c r="BI37" s="120"/>
      <c r="BJ37" s="120"/>
      <c r="BK37" s="121"/>
    </row>
    <row r="38" spans="2:63" x14ac:dyDescent="0.3">
      <c r="B38" s="118" t="s">
        <v>139</v>
      </c>
      <c r="C38" s="144"/>
      <c r="D38" s="41">
        <v>790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9"/>
    </row>
    <row r="39" spans="2:63" x14ac:dyDescent="0.3">
      <c r="B39" s="30"/>
      <c r="C39" s="30"/>
    </row>
    <row r="40" spans="2:63" x14ac:dyDescent="0.3">
      <c r="B40" s="37" t="s">
        <v>168</v>
      </c>
      <c r="C40" s="30"/>
    </row>
    <row r="41" spans="2:63" x14ac:dyDescent="0.3">
      <c r="B41" s="228" t="s">
        <v>68</v>
      </c>
      <c r="C41" s="157"/>
      <c r="D41" s="264">
        <f>SUM(D42:D43)</f>
        <v>0</v>
      </c>
      <c r="E41" s="264">
        <f t="shared" ref="E41:BK41" si="12">SUM(E42:E43)</f>
        <v>0</v>
      </c>
      <c r="F41" s="264">
        <f t="shared" si="12"/>
        <v>0</v>
      </c>
      <c r="G41" s="264">
        <f t="shared" si="12"/>
        <v>0</v>
      </c>
      <c r="H41" s="264">
        <f t="shared" si="12"/>
        <v>0</v>
      </c>
      <c r="I41" s="264">
        <f t="shared" si="12"/>
        <v>0</v>
      </c>
      <c r="J41" s="264">
        <f t="shared" si="12"/>
        <v>0</v>
      </c>
      <c r="K41" s="264">
        <f t="shared" si="12"/>
        <v>0</v>
      </c>
      <c r="L41" s="264">
        <f t="shared" si="12"/>
        <v>0</v>
      </c>
      <c r="M41" s="264">
        <f t="shared" si="12"/>
        <v>0</v>
      </c>
      <c r="N41" s="264">
        <f t="shared" si="12"/>
        <v>0</v>
      </c>
      <c r="O41" s="264">
        <f t="shared" si="12"/>
        <v>0</v>
      </c>
      <c r="P41" s="264">
        <f t="shared" si="12"/>
        <v>281134.27047357737</v>
      </c>
      <c r="Q41" s="264">
        <f t="shared" si="12"/>
        <v>279601.19631229504</v>
      </c>
      <c r="R41" s="264">
        <f t="shared" si="12"/>
        <v>274848.21231125639</v>
      </c>
      <c r="S41" s="264">
        <f t="shared" si="12"/>
        <v>271699.49652224075</v>
      </c>
      <c r="T41" s="264">
        <f t="shared" si="12"/>
        <v>270930.76696930826</v>
      </c>
      <c r="U41" s="264">
        <f t="shared" si="12"/>
        <v>265332.44148572133</v>
      </c>
      <c r="V41" s="264">
        <f t="shared" si="12"/>
        <v>262129.15428690912</v>
      </c>
      <c r="W41" s="264">
        <f t="shared" si="12"/>
        <v>260397.9441459747</v>
      </c>
      <c r="X41" s="264">
        <f t="shared" si="12"/>
        <v>255050.25493933063</v>
      </c>
      <c r="Y41" s="264">
        <f t="shared" si="12"/>
        <v>252829.91922684241</v>
      </c>
      <c r="Z41" s="264">
        <f t="shared" si="12"/>
        <v>249407.3391804937</v>
      </c>
      <c r="AA41" s="264">
        <f t="shared" si="12"/>
        <v>245814.11943007939</v>
      </c>
      <c r="AB41" s="264">
        <f t="shared" si="12"/>
        <v>0</v>
      </c>
      <c r="AC41" s="264">
        <f t="shared" si="12"/>
        <v>0</v>
      </c>
      <c r="AD41" s="264">
        <f t="shared" si="12"/>
        <v>0</v>
      </c>
      <c r="AE41" s="264">
        <f t="shared" si="12"/>
        <v>0</v>
      </c>
      <c r="AF41" s="264">
        <f t="shared" si="12"/>
        <v>0</v>
      </c>
      <c r="AG41" s="264">
        <f t="shared" si="12"/>
        <v>0</v>
      </c>
      <c r="AH41" s="264">
        <f t="shared" si="12"/>
        <v>0</v>
      </c>
      <c r="AI41" s="264">
        <f t="shared" si="12"/>
        <v>0</v>
      </c>
      <c r="AJ41" s="264">
        <f t="shared" si="12"/>
        <v>0</v>
      </c>
      <c r="AK41" s="264">
        <f t="shared" si="12"/>
        <v>0</v>
      </c>
      <c r="AL41" s="264">
        <f t="shared" si="12"/>
        <v>0</v>
      </c>
      <c r="AM41" s="264">
        <f t="shared" si="12"/>
        <v>0</v>
      </c>
      <c r="AN41" s="264">
        <f t="shared" si="12"/>
        <v>0</v>
      </c>
      <c r="AO41" s="264">
        <f t="shared" si="12"/>
        <v>0</v>
      </c>
      <c r="AP41" s="264">
        <f t="shared" si="12"/>
        <v>0</v>
      </c>
      <c r="AQ41" s="264">
        <f t="shared" si="12"/>
        <v>0</v>
      </c>
      <c r="AR41" s="264">
        <f t="shared" si="12"/>
        <v>0</v>
      </c>
      <c r="AS41" s="264">
        <f t="shared" si="12"/>
        <v>0</v>
      </c>
      <c r="AT41" s="264">
        <f t="shared" si="12"/>
        <v>0</v>
      </c>
      <c r="AU41" s="264">
        <f t="shared" si="12"/>
        <v>0</v>
      </c>
      <c r="AV41" s="264">
        <f t="shared" si="12"/>
        <v>0</v>
      </c>
      <c r="AW41" s="264">
        <f t="shared" si="12"/>
        <v>0</v>
      </c>
      <c r="AX41" s="264">
        <f t="shared" si="12"/>
        <v>0</v>
      </c>
      <c r="AY41" s="264">
        <f t="shared" si="12"/>
        <v>0</v>
      </c>
      <c r="AZ41" s="264">
        <f t="shared" si="12"/>
        <v>0</v>
      </c>
      <c r="BA41" s="264">
        <f t="shared" si="12"/>
        <v>0</v>
      </c>
      <c r="BB41" s="264">
        <f t="shared" si="12"/>
        <v>0</v>
      </c>
      <c r="BC41" s="264">
        <f t="shared" si="12"/>
        <v>0</v>
      </c>
      <c r="BD41" s="264">
        <f t="shared" si="12"/>
        <v>0</v>
      </c>
      <c r="BE41" s="264">
        <f t="shared" si="12"/>
        <v>0</v>
      </c>
      <c r="BF41" s="264">
        <f t="shared" si="12"/>
        <v>0</v>
      </c>
      <c r="BG41" s="264">
        <f t="shared" si="12"/>
        <v>0</v>
      </c>
      <c r="BH41" s="264">
        <f t="shared" si="12"/>
        <v>0</v>
      </c>
      <c r="BI41" s="264">
        <f t="shared" si="12"/>
        <v>0</v>
      </c>
      <c r="BJ41" s="264">
        <f t="shared" si="12"/>
        <v>0</v>
      </c>
      <c r="BK41" s="264">
        <f t="shared" si="12"/>
        <v>0</v>
      </c>
    </row>
    <row r="42" spans="2:63" x14ac:dyDescent="0.3">
      <c r="B42" s="122" t="s">
        <v>169</v>
      </c>
      <c r="C42" s="157"/>
      <c r="D42" s="265">
        <f>_xlfn.XLOOKUP(D$3,Classes!$Q$11:$Q$70,Classes!$W$11:$W$70,0)*_xlfn.XLOOKUP(D$3,Classes!$Q$11:$Q$70,Classes!$S$11:$S$70,0)</f>
        <v>0</v>
      </c>
      <c r="E42" s="265">
        <f>_xlfn.XLOOKUP(E$3,Classes!$Q$11:$Q$70,Classes!$W$11:$W$70,0)*_xlfn.XLOOKUP(E$3,Classes!$Q$11:$Q$70,Classes!$S$11:$S$70,0)</f>
        <v>0</v>
      </c>
      <c r="F42" s="265">
        <f>_xlfn.XLOOKUP(F$3,Classes!$Q$11:$Q$70,Classes!$W$11:$W$70,0)*_xlfn.XLOOKUP(F$3,Classes!$Q$11:$Q$70,Classes!$S$11:$S$70,0)</f>
        <v>0</v>
      </c>
      <c r="G42" s="265">
        <f>_xlfn.XLOOKUP(G$3,Classes!$Q$11:$Q$70,Classes!$W$11:$W$70,0)*_xlfn.XLOOKUP(G$3,Classes!$Q$11:$Q$70,Classes!$S$11:$S$70,0)</f>
        <v>0</v>
      </c>
      <c r="H42" s="265">
        <f>_xlfn.XLOOKUP(H$3,Classes!$Q$11:$Q$70,Classes!$W$11:$W$70,0)*_xlfn.XLOOKUP(H$3,Classes!$Q$11:$Q$70,Classes!$S$11:$S$70,0)</f>
        <v>0</v>
      </c>
      <c r="I42" s="265">
        <f>_xlfn.XLOOKUP(I$3,Classes!$Q$11:$Q$70,Classes!$W$11:$W$70,0)*_xlfn.XLOOKUP(I$3,Classes!$Q$11:$Q$70,Classes!$S$11:$S$70,0)</f>
        <v>0</v>
      </c>
      <c r="J42" s="265">
        <f>_xlfn.XLOOKUP(J$3,Classes!$Q$11:$Q$70,Classes!$W$11:$W$70,0)*_xlfn.XLOOKUP(J$3,Classes!$Q$11:$Q$70,Classes!$S$11:$S$70,0)</f>
        <v>0</v>
      </c>
      <c r="K42" s="265">
        <f>_xlfn.XLOOKUP(K$3,Classes!$Q$11:$Q$70,Classes!$W$11:$W$70,0)*_xlfn.XLOOKUP(K$3,Classes!$Q$11:$Q$70,Classes!$S$11:$S$70,0)</f>
        <v>0</v>
      </c>
      <c r="L42" s="265">
        <f>_xlfn.XLOOKUP(L$3,Classes!$Q$11:$Q$70,Classes!$W$11:$W$70,0)*_xlfn.XLOOKUP(L$3,Classes!$Q$11:$Q$70,Classes!$S$11:$S$70,0)</f>
        <v>0</v>
      </c>
      <c r="M42" s="265">
        <f>_xlfn.XLOOKUP(M$3,Classes!$Q$11:$Q$70,Classes!$W$11:$W$70,0)*_xlfn.XLOOKUP(M$3,Classes!$Q$11:$Q$70,Classes!$S$11:$S$70,0)</f>
        <v>0</v>
      </c>
      <c r="N42" s="265">
        <f>_xlfn.XLOOKUP(N$3,Classes!$Q$11:$Q$70,Classes!$W$11:$W$70,0)*_xlfn.XLOOKUP(N$3,Classes!$Q$11:$Q$70,Classes!$S$11:$S$70,0)</f>
        <v>0</v>
      </c>
      <c r="O42" s="265">
        <f>_xlfn.XLOOKUP(O$3,Classes!$Q$11:$Q$70,Classes!$W$11:$W$70,0)*_xlfn.XLOOKUP(O$3,Classes!$Q$11:$Q$70,Classes!$S$11:$S$70,0)</f>
        <v>0</v>
      </c>
      <c r="P42" s="265">
        <f>_xlfn.XLOOKUP(P$3,Classes!$Q$11:$Q$70,Classes!$W$11:$W$70,0)*_xlfn.XLOOKUP(P$3,Classes!$Q$11:$Q$70,Classes!$S$11:$S$70,0)</f>
        <v>72800.937140244045</v>
      </c>
      <c r="Q42" s="265">
        <f>_xlfn.XLOOKUP(Q$3,Classes!$Q$11:$Q$70,Classes!$W$11:$W$70,0)*_xlfn.XLOOKUP(Q$3,Classes!$Q$11:$Q$70,Classes!$S$11:$S$70,0)</f>
        <v>71267.862978961755</v>
      </c>
      <c r="R42" s="265">
        <f>_xlfn.XLOOKUP(R$3,Classes!$Q$11:$Q$70,Classes!$W$11:$W$70,0)*_xlfn.XLOOKUP(R$3,Classes!$Q$11:$Q$70,Classes!$S$11:$S$70,0)</f>
        <v>66514.878977923072</v>
      </c>
      <c r="S42" s="265">
        <f>_xlfn.XLOOKUP(S$3,Classes!$Q$11:$Q$70,Classes!$W$11:$W$70,0)*_xlfn.XLOOKUP(S$3,Classes!$Q$11:$Q$70,Classes!$S$11:$S$70,0)</f>
        <v>63366.163188907442</v>
      </c>
      <c r="T42" s="265">
        <f>_xlfn.XLOOKUP(T$3,Classes!$Q$11:$Q$70,Classes!$W$11:$W$70,0)*_xlfn.XLOOKUP(T$3,Classes!$Q$11:$Q$70,Classes!$S$11:$S$70,0)</f>
        <v>62597.433635974958</v>
      </c>
      <c r="U42" s="265">
        <f>_xlfn.XLOOKUP(U$3,Classes!$Q$11:$Q$70,Classes!$W$11:$W$70,0)*_xlfn.XLOOKUP(U$3,Classes!$Q$11:$Q$70,Classes!$S$11:$S$70,0)</f>
        <v>56999.10815238802</v>
      </c>
      <c r="V42" s="265">
        <f>_xlfn.XLOOKUP(V$3,Classes!$Q$11:$Q$70,Classes!$W$11:$W$70,0)*_xlfn.XLOOKUP(V$3,Classes!$Q$11:$Q$70,Classes!$S$11:$S$70,0)</f>
        <v>53795.820953575807</v>
      </c>
      <c r="W42" s="265">
        <f>_xlfn.XLOOKUP(W$3,Classes!$Q$11:$Q$70,Classes!$W$11:$W$70,0)*_xlfn.XLOOKUP(W$3,Classes!$Q$11:$Q$70,Classes!$S$11:$S$70,0)</f>
        <v>52064.610812641396</v>
      </c>
      <c r="X42" s="265">
        <f>_xlfn.XLOOKUP(X$3,Classes!$Q$11:$Q$70,Classes!$W$11:$W$70,0)*_xlfn.XLOOKUP(X$3,Classes!$Q$11:$Q$70,Classes!$S$11:$S$70,0)</f>
        <v>46716.921605997326</v>
      </c>
      <c r="Y42" s="265">
        <f>_xlfn.XLOOKUP(Y$3,Classes!$Q$11:$Q$70,Classes!$W$11:$W$70,0)*_xlfn.XLOOKUP(Y$3,Classes!$Q$11:$Q$70,Classes!$S$11:$S$70,0)</f>
        <v>44496.58589350908</v>
      </c>
      <c r="Z42" s="265">
        <f>_xlfn.XLOOKUP(Z$3,Classes!$Q$11:$Q$70,Classes!$W$11:$W$70,0)*_xlfn.XLOOKUP(Z$3,Classes!$Q$11:$Q$70,Classes!$S$11:$S$70,0)</f>
        <v>41074.005847160392</v>
      </c>
      <c r="AA42" s="265">
        <f>_xlfn.XLOOKUP(AA$3,Classes!$Q$11:$Q$70,Classes!$W$11:$W$70,0)*_xlfn.XLOOKUP(AA$3,Classes!$Q$11:$Q$70,Classes!$S$11:$S$70,0)</f>
        <v>37480.786096746066</v>
      </c>
      <c r="AB42" s="265">
        <f>_xlfn.XLOOKUP(AB$3,Classes!$Q$11:$Q$70,Classes!$W$11:$W$70,0)*_xlfn.XLOOKUP(AB$3,Classes!$Q$11:$Q$70,Classes!$S$11:$S$70,0)</f>
        <v>0</v>
      </c>
      <c r="AC42" s="265">
        <f>_xlfn.XLOOKUP(AC$3,Classes!$Q$11:$Q$70,Classes!$W$11:$W$70,0)*_xlfn.XLOOKUP(AC$3,Classes!$Q$11:$Q$70,Classes!$S$11:$S$70,0)</f>
        <v>0</v>
      </c>
      <c r="AD42" s="265">
        <f>_xlfn.XLOOKUP(AD$3,Classes!$Q$11:$Q$70,Classes!$W$11:$W$70,0)*_xlfn.XLOOKUP(AD$3,Classes!$Q$11:$Q$70,Classes!$S$11:$S$70,0)</f>
        <v>0</v>
      </c>
      <c r="AE42" s="265">
        <f>_xlfn.XLOOKUP(AE$3,Classes!$Q$11:$Q$70,Classes!$W$11:$W$70,0)*_xlfn.XLOOKUP(AE$3,Classes!$Q$11:$Q$70,Classes!$S$11:$S$70,0)</f>
        <v>0</v>
      </c>
      <c r="AF42" s="265">
        <f>_xlfn.XLOOKUP(AF$3,Classes!$Q$11:$Q$70,Classes!$W$11:$W$70,0)*_xlfn.XLOOKUP(AF$3,Classes!$Q$11:$Q$70,Classes!$S$11:$S$70,0)</f>
        <v>0</v>
      </c>
      <c r="AG42" s="265">
        <f>_xlfn.XLOOKUP(AG$3,Classes!$Q$11:$Q$70,Classes!$W$11:$W$70,0)*_xlfn.XLOOKUP(AG$3,Classes!$Q$11:$Q$70,Classes!$S$11:$S$70,0)</f>
        <v>0</v>
      </c>
      <c r="AH42" s="265">
        <f>_xlfn.XLOOKUP(AH$3,Classes!$Q$11:$Q$70,Classes!$W$11:$W$70,0)*_xlfn.XLOOKUP(AH$3,Classes!$Q$11:$Q$70,Classes!$S$11:$S$70,0)</f>
        <v>0</v>
      </c>
      <c r="AI42" s="265">
        <f>_xlfn.XLOOKUP(AI$3,Classes!$Q$11:$Q$70,Classes!$W$11:$W$70,0)*_xlfn.XLOOKUP(AI$3,Classes!$Q$11:$Q$70,Classes!$S$11:$S$70,0)</f>
        <v>0</v>
      </c>
      <c r="AJ42" s="265">
        <f>_xlfn.XLOOKUP(AJ$3,Classes!$Q$11:$Q$70,Classes!$W$11:$W$70,0)*_xlfn.XLOOKUP(AJ$3,Classes!$Q$11:$Q$70,Classes!$S$11:$S$70,0)</f>
        <v>0</v>
      </c>
      <c r="AK42" s="265">
        <f>_xlfn.XLOOKUP(AK$3,Classes!$Q$11:$Q$70,Classes!$W$11:$W$70,0)*_xlfn.XLOOKUP(AK$3,Classes!$Q$11:$Q$70,Classes!$S$11:$S$70,0)</f>
        <v>0</v>
      </c>
      <c r="AL42" s="265">
        <f>_xlfn.XLOOKUP(AL$3,Classes!$Q$11:$Q$70,Classes!$W$11:$W$70,0)*_xlfn.XLOOKUP(AL$3,Classes!$Q$11:$Q$70,Classes!$S$11:$S$70,0)</f>
        <v>0</v>
      </c>
      <c r="AM42" s="265">
        <f>_xlfn.XLOOKUP(AM$3,Classes!$Q$11:$Q$70,Classes!$W$11:$W$70,0)*_xlfn.XLOOKUP(AM$3,Classes!$Q$11:$Q$70,Classes!$S$11:$S$70,0)</f>
        <v>0</v>
      </c>
      <c r="AN42" s="265">
        <f>_xlfn.XLOOKUP(AN$3,Classes!$Q$11:$Q$70,Classes!$W$11:$W$70,0)*_xlfn.XLOOKUP(AN$3,Classes!$Q$11:$Q$70,Classes!$S$11:$S$70,0)</f>
        <v>0</v>
      </c>
      <c r="AO42" s="265">
        <f>_xlfn.XLOOKUP(AO$3,Classes!$Q$11:$Q$70,Classes!$W$11:$W$70,0)*_xlfn.XLOOKUP(AO$3,Classes!$Q$11:$Q$70,Classes!$S$11:$S$70,0)</f>
        <v>0</v>
      </c>
      <c r="AP42" s="265">
        <f>_xlfn.XLOOKUP(AP$3,Classes!$Q$11:$Q$70,Classes!$W$11:$W$70,0)*_xlfn.XLOOKUP(AP$3,Classes!$Q$11:$Q$70,Classes!$S$11:$S$70,0)</f>
        <v>0</v>
      </c>
      <c r="AQ42" s="265">
        <f>_xlfn.XLOOKUP(AQ$3,Classes!$Q$11:$Q$70,Classes!$W$11:$W$70,0)*_xlfn.XLOOKUP(AQ$3,Classes!$Q$11:$Q$70,Classes!$S$11:$S$70,0)</f>
        <v>0</v>
      </c>
      <c r="AR42" s="265">
        <f>_xlfn.XLOOKUP(AR$3,Classes!$Q$11:$Q$70,Classes!$W$11:$W$70,0)*_xlfn.XLOOKUP(AR$3,Classes!$Q$11:$Q$70,Classes!$S$11:$S$70,0)</f>
        <v>0</v>
      </c>
      <c r="AS42" s="265">
        <f>_xlfn.XLOOKUP(AS$3,Classes!$Q$11:$Q$70,Classes!$W$11:$W$70,0)*_xlfn.XLOOKUP(AS$3,Classes!$Q$11:$Q$70,Classes!$S$11:$S$70,0)</f>
        <v>0</v>
      </c>
      <c r="AT42" s="265">
        <f>_xlfn.XLOOKUP(AT$3,Classes!$Q$11:$Q$70,Classes!$W$11:$W$70,0)*_xlfn.XLOOKUP(AT$3,Classes!$Q$11:$Q$70,Classes!$S$11:$S$70,0)</f>
        <v>0</v>
      </c>
      <c r="AU42" s="265">
        <f>_xlfn.XLOOKUP(AU$3,Classes!$Q$11:$Q$70,Classes!$W$11:$W$70,0)*_xlfn.XLOOKUP(AU$3,Classes!$Q$11:$Q$70,Classes!$S$11:$S$70,0)</f>
        <v>0</v>
      </c>
      <c r="AV42" s="265">
        <f>_xlfn.XLOOKUP(AV$3,Classes!$Q$11:$Q$70,Classes!$W$11:$W$70,0)*_xlfn.XLOOKUP(AV$3,Classes!$Q$11:$Q$70,Classes!$S$11:$S$70,0)</f>
        <v>0</v>
      </c>
      <c r="AW42" s="265">
        <f>_xlfn.XLOOKUP(AW$3,Classes!$Q$11:$Q$70,Classes!$W$11:$W$70,0)*_xlfn.XLOOKUP(AW$3,Classes!$Q$11:$Q$70,Classes!$S$11:$S$70,0)</f>
        <v>0</v>
      </c>
      <c r="AX42" s="265">
        <f>_xlfn.XLOOKUP(AX$3,Classes!$Q$11:$Q$70,Classes!$W$11:$W$70,0)*_xlfn.XLOOKUP(AX$3,Classes!$Q$11:$Q$70,Classes!$S$11:$S$70,0)</f>
        <v>0</v>
      </c>
      <c r="AY42" s="265">
        <f>_xlfn.XLOOKUP(AY$3,Classes!$Q$11:$Q$70,Classes!$W$11:$W$70,0)*_xlfn.XLOOKUP(AY$3,Classes!$Q$11:$Q$70,Classes!$S$11:$S$70,0)</f>
        <v>0</v>
      </c>
      <c r="AZ42" s="265">
        <f>_xlfn.XLOOKUP(AZ$3,Classes!$Q$11:$Q$70,Classes!$W$11:$W$70,0)*_xlfn.XLOOKUP(AZ$3,Classes!$Q$11:$Q$70,Classes!$S$11:$S$70,0)</f>
        <v>0</v>
      </c>
      <c r="BA42" s="265">
        <f>_xlfn.XLOOKUP(BA$3,Classes!$Q$11:$Q$70,Classes!$W$11:$W$70,0)*_xlfn.XLOOKUP(BA$3,Classes!$Q$11:$Q$70,Classes!$S$11:$S$70,0)</f>
        <v>0</v>
      </c>
      <c r="BB42" s="265">
        <f>_xlfn.XLOOKUP(BB$3,Classes!$Q$11:$Q$70,Classes!$W$11:$W$70,0)*_xlfn.XLOOKUP(BB$3,Classes!$Q$11:$Q$70,Classes!$S$11:$S$70,0)</f>
        <v>0</v>
      </c>
      <c r="BC42" s="265">
        <f>_xlfn.XLOOKUP(BC$3,Classes!$Q$11:$Q$70,Classes!$W$11:$W$70,0)*_xlfn.XLOOKUP(BC$3,Classes!$Q$11:$Q$70,Classes!$S$11:$S$70,0)</f>
        <v>0</v>
      </c>
      <c r="BD42" s="265">
        <f>_xlfn.XLOOKUP(BD$3,Classes!$Q$11:$Q$70,Classes!$W$11:$W$70,0)*_xlfn.XLOOKUP(BD$3,Classes!$Q$11:$Q$70,Classes!$S$11:$S$70,0)</f>
        <v>0</v>
      </c>
      <c r="BE42" s="265">
        <f>_xlfn.XLOOKUP(BE$3,Classes!$Q$11:$Q$70,Classes!$W$11:$W$70,0)*_xlfn.XLOOKUP(BE$3,Classes!$Q$11:$Q$70,Classes!$S$11:$S$70,0)</f>
        <v>0</v>
      </c>
      <c r="BF42" s="265">
        <f>_xlfn.XLOOKUP(BF$3,Classes!$Q$11:$Q$70,Classes!$W$11:$W$70,0)*_xlfn.XLOOKUP(BF$3,Classes!$Q$11:$Q$70,Classes!$S$11:$S$70,0)</f>
        <v>0</v>
      </c>
      <c r="BG42" s="265">
        <f>_xlfn.XLOOKUP(BG$3,Classes!$Q$11:$Q$70,Classes!$W$11:$W$70,0)*_xlfn.XLOOKUP(BG$3,Classes!$Q$11:$Q$70,Classes!$S$11:$S$70,0)</f>
        <v>0</v>
      </c>
      <c r="BH42" s="265">
        <f>_xlfn.XLOOKUP(BH$3,Classes!$Q$11:$Q$70,Classes!$W$11:$W$70,0)*_xlfn.XLOOKUP(BH$3,Classes!$Q$11:$Q$70,Classes!$S$11:$S$70,0)</f>
        <v>0</v>
      </c>
      <c r="BI42" s="265">
        <f>_xlfn.XLOOKUP(BI$3,Classes!$Q$11:$Q$70,Classes!$W$11:$W$70,0)*_xlfn.XLOOKUP(BI$3,Classes!$Q$11:$Q$70,Classes!$S$11:$S$70,0)</f>
        <v>0</v>
      </c>
      <c r="BJ42" s="265">
        <f>_xlfn.XLOOKUP(BJ$3,Classes!$Q$11:$Q$70,Classes!$W$11:$W$70,0)*_xlfn.XLOOKUP(BJ$3,Classes!$Q$11:$Q$70,Classes!$S$11:$S$70,0)</f>
        <v>0</v>
      </c>
      <c r="BK42" s="265">
        <f>_xlfn.XLOOKUP(BK$3,Classes!$Q$11:$Q$70,Classes!$W$11:$W$70,0)*_xlfn.XLOOKUP(BK$3,Classes!$Q$11:$Q$70,Classes!$S$11:$S$70,0)</f>
        <v>0</v>
      </c>
    </row>
    <row r="43" spans="2:63" x14ac:dyDescent="0.3">
      <c r="B43" s="122" t="s">
        <v>170</v>
      </c>
      <c r="C43" s="157"/>
      <c r="D43" s="265">
        <f>_xlfn.XLOOKUP(D$3,Classes!$Q$11:$Q$70,Classes!$Z$11:$Z$70,0)*_xlfn.XLOOKUP(D$3,Classes!$Q$11:$Q$70,Classes!$S$11:$S$70,0)</f>
        <v>0</v>
      </c>
      <c r="E43" s="265">
        <f>_xlfn.XLOOKUP(E$3,Classes!$Q$11:$Q$70,Classes!$Z$11:$Z$70,0)*_xlfn.XLOOKUP(E$3,Classes!$Q$11:$Q$70,Classes!$S$11:$S$70,0)</f>
        <v>0</v>
      </c>
      <c r="F43" s="265">
        <f>_xlfn.XLOOKUP(F$3,Classes!$Q$11:$Q$70,Classes!$Z$11:$Z$70,0)*_xlfn.XLOOKUP(F$3,Classes!$Q$11:$Q$70,Classes!$S$11:$S$70,0)</f>
        <v>0</v>
      </c>
      <c r="G43" s="265">
        <f>_xlfn.XLOOKUP(G$3,Classes!$Q$11:$Q$70,Classes!$Z$11:$Z$70,0)*_xlfn.XLOOKUP(G$3,Classes!$Q$11:$Q$70,Classes!$S$11:$S$70,0)</f>
        <v>0</v>
      </c>
      <c r="H43" s="265">
        <f>_xlfn.XLOOKUP(H$3,Classes!$Q$11:$Q$70,Classes!$Z$11:$Z$70,0)*_xlfn.XLOOKUP(H$3,Classes!$Q$11:$Q$70,Classes!$S$11:$S$70,0)</f>
        <v>0</v>
      </c>
      <c r="I43" s="265">
        <f>_xlfn.XLOOKUP(I$3,Classes!$Q$11:$Q$70,Classes!$Z$11:$Z$70,0)*_xlfn.XLOOKUP(I$3,Classes!$Q$11:$Q$70,Classes!$S$11:$S$70,0)</f>
        <v>0</v>
      </c>
      <c r="J43" s="265">
        <f>_xlfn.XLOOKUP(J$3,Classes!$Q$11:$Q$70,Classes!$Z$11:$Z$70,0)*_xlfn.XLOOKUP(J$3,Classes!$Q$11:$Q$70,Classes!$S$11:$S$70,0)</f>
        <v>0</v>
      </c>
      <c r="K43" s="265">
        <f>_xlfn.XLOOKUP(K$3,Classes!$Q$11:$Q$70,Classes!$Z$11:$Z$70,0)*_xlfn.XLOOKUP(K$3,Classes!$Q$11:$Q$70,Classes!$S$11:$S$70,0)</f>
        <v>0</v>
      </c>
      <c r="L43" s="265">
        <f>_xlfn.XLOOKUP(L$3,Classes!$Q$11:$Q$70,Classes!$Z$11:$Z$70,0)*_xlfn.XLOOKUP(L$3,Classes!$Q$11:$Q$70,Classes!$S$11:$S$70,0)</f>
        <v>0</v>
      </c>
      <c r="M43" s="265">
        <f>_xlfn.XLOOKUP(M$3,Classes!$Q$11:$Q$70,Classes!$Z$11:$Z$70,0)*_xlfn.XLOOKUP(M$3,Classes!$Q$11:$Q$70,Classes!$S$11:$S$70,0)</f>
        <v>0</v>
      </c>
      <c r="N43" s="265">
        <f>_xlfn.XLOOKUP(N$3,Classes!$Q$11:$Q$70,Classes!$Z$11:$Z$70,0)*_xlfn.XLOOKUP(N$3,Classes!$Q$11:$Q$70,Classes!$S$11:$S$70,0)</f>
        <v>0</v>
      </c>
      <c r="O43" s="265">
        <f>_xlfn.XLOOKUP(O$3,Classes!$Q$11:$Q$70,Classes!$Z$11:$Z$70,0)*_xlfn.XLOOKUP(O$3,Classes!$Q$11:$Q$70,Classes!$S$11:$S$70,0)</f>
        <v>0</v>
      </c>
      <c r="P43" s="265">
        <f>_xlfn.XLOOKUP(P$3,Classes!$Q$11:$Q$70,Classes!$Z$11:$Z$70,0)*_xlfn.XLOOKUP(P$3,Classes!$Q$11:$Q$70,Classes!$S$11:$S$70,0)</f>
        <v>208333.33333333331</v>
      </c>
      <c r="Q43" s="265">
        <f>_xlfn.XLOOKUP(Q$3,Classes!$Q$11:$Q$70,Classes!$Z$11:$Z$70,0)*_xlfn.XLOOKUP(Q$3,Classes!$Q$11:$Q$70,Classes!$S$11:$S$70,0)</f>
        <v>208333.33333333331</v>
      </c>
      <c r="R43" s="265">
        <f>_xlfn.XLOOKUP(R$3,Classes!$Q$11:$Q$70,Classes!$Z$11:$Z$70,0)*_xlfn.XLOOKUP(R$3,Classes!$Q$11:$Q$70,Classes!$S$11:$S$70,0)</f>
        <v>208333.33333333331</v>
      </c>
      <c r="S43" s="265">
        <f>_xlfn.XLOOKUP(S$3,Classes!$Q$11:$Q$70,Classes!$Z$11:$Z$70,0)*_xlfn.XLOOKUP(S$3,Classes!$Q$11:$Q$70,Classes!$S$11:$S$70,0)</f>
        <v>208333.33333333331</v>
      </c>
      <c r="T43" s="265">
        <f>_xlfn.XLOOKUP(T$3,Classes!$Q$11:$Q$70,Classes!$Z$11:$Z$70,0)*_xlfn.XLOOKUP(T$3,Classes!$Q$11:$Q$70,Classes!$S$11:$S$70,0)</f>
        <v>208333.33333333331</v>
      </c>
      <c r="U43" s="265">
        <f>_xlfn.XLOOKUP(U$3,Classes!$Q$11:$Q$70,Classes!$Z$11:$Z$70,0)*_xlfn.XLOOKUP(U$3,Classes!$Q$11:$Q$70,Classes!$S$11:$S$70,0)</f>
        <v>208333.33333333331</v>
      </c>
      <c r="V43" s="265">
        <f>_xlfn.XLOOKUP(V$3,Classes!$Q$11:$Q$70,Classes!$Z$11:$Z$70,0)*_xlfn.XLOOKUP(V$3,Classes!$Q$11:$Q$70,Classes!$S$11:$S$70,0)</f>
        <v>208333.33333333331</v>
      </c>
      <c r="W43" s="265">
        <f>_xlfn.XLOOKUP(W$3,Classes!$Q$11:$Q$70,Classes!$Z$11:$Z$70,0)*_xlfn.XLOOKUP(W$3,Classes!$Q$11:$Q$70,Classes!$S$11:$S$70,0)</f>
        <v>208333.33333333331</v>
      </c>
      <c r="X43" s="265">
        <f>_xlfn.XLOOKUP(X$3,Classes!$Q$11:$Q$70,Classes!$Z$11:$Z$70,0)*_xlfn.XLOOKUP(X$3,Classes!$Q$11:$Q$70,Classes!$S$11:$S$70,0)</f>
        <v>208333.33333333331</v>
      </c>
      <c r="Y43" s="265">
        <f>_xlfn.XLOOKUP(Y$3,Classes!$Q$11:$Q$70,Classes!$Z$11:$Z$70,0)*_xlfn.XLOOKUP(Y$3,Classes!$Q$11:$Q$70,Classes!$S$11:$S$70,0)</f>
        <v>208333.33333333331</v>
      </c>
      <c r="Z43" s="265">
        <f>_xlfn.XLOOKUP(Z$3,Classes!$Q$11:$Q$70,Classes!$Z$11:$Z$70,0)*_xlfn.XLOOKUP(Z$3,Classes!$Q$11:$Q$70,Classes!$S$11:$S$70,0)</f>
        <v>208333.33333333331</v>
      </c>
      <c r="AA43" s="265">
        <f>_xlfn.XLOOKUP(AA$3,Classes!$Q$11:$Q$70,Classes!$Z$11:$Z$70,0)*_xlfn.XLOOKUP(AA$3,Classes!$Q$11:$Q$70,Classes!$S$11:$S$70,0)</f>
        <v>208333.33333333331</v>
      </c>
      <c r="AB43" s="265">
        <f>_xlfn.XLOOKUP(AB$3,Classes!$Q$11:$Q$70,Classes!$Z$11:$Z$70,0)*_xlfn.XLOOKUP(AB$3,Classes!$Q$11:$Q$70,Classes!$S$11:$S$70,0)</f>
        <v>0</v>
      </c>
      <c r="AC43" s="265">
        <f>_xlfn.XLOOKUP(AC$3,Classes!$Q$11:$Q$70,Classes!$Z$11:$Z$70,0)*_xlfn.XLOOKUP(AC$3,Classes!$Q$11:$Q$70,Classes!$S$11:$S$70,0)</f>
        <v>0</v>
      </c>
      <c r="AD43" s="265">
        <f>_xlfn.XLOOKUP(AD$3,Classes!$Q$11:$Q$70,Classes!$Z$11:$Z$70,0)*_xlfn.XLOOKUP(AD$3,Classes!$Q$11:$Q$70,Classes!$S$11:$S$70,0)</f>
        <v>0</v>
      </c>
      <c r="AE43" s="265">
        <f>_xlfn.XLOOKUP(AE$3,Classes!$Q$11:$Q$70,Classes!$Z$11:$Z$70,0)*_xlfn.XLOOKUP(AE$3,Classes!$Q$11:$Q$70,Classes!$S$11:$S$70,0)</f>
        <v>0</v>
      </c>
      <c r="AF43" s="265">
        <f>_xlfn.XLOOKUP(AF$3,Classes!$Q$11:$Q$70,Classes!$Z$11:$Z$70,0)*_xlfn.XLOOKUP(AF$3,Classes!$Q$11:$Q$70,Classes!$S$11:$S$70,0)</f>
        <v>0</v>
      </c>
      <c r="AG43" s="265">
        <f>_xlfn.XLOOKUP(AG$3,Classes!$Q$11:$Q$70,Classes!$Z$11:$Z$70,0)*_xlfn.XLOOKUP(AG$3,Classes!$Q$11:$Q$70,Classes!$S$11:$S$70,0)</f>
        <v>0</v>
      </c>
      <c r="AH43" s="265">
        <f>_xlfn.XLOOKUP(AH$3,Classes!$Q$11:$Q$70,Classes!$Z$11:$Z$70,0)*_xlfn.XLOOKUP(AH$3,Classes!$Q$11:$Q$70,Classes!$S$11:$S$70,0)</f>
        <v>0</v>
      </c>
      <c r="AI43" s="265">
        <f>_xlfn.XLOOKUP(AI$3,Classes!$Q$11:$Q$70,Classes!$Z$11:$Z$70,0)*_xlfn.XLOOKUP(AI$3,Classes!$Q$11:$Q$70,Classes!$S$11:$S$70,0)</f>
        <v>0</v>
      </c>
      <c r="AJ43" s="265">
        <f>_xlfn.XLOOKUP(AJ$3,Classes!$Q$11:$Q$70,Classes!$Z$11:$Z$70,0)*_xlfn.XLOOKUP(AJ$3,Classes!$Q$11:$Q$70,Classes!$S$11:$S$70,0)</f>
        <v>0</v>
      </c>
      <c r="AK43" s="265">
        <f>_xlfn.XLOOKUP(AK$3,Classes!$Q$11:$Q$70,Classes!$Z$11:$Z$70,0)*_xlfn.XLOOKUP(AK$3,Classes!$Q$11:$Q$70,Classes!$S$11:$S$70,0)</f>
        <v>0</v>
      </c>
      <c r="AL43" s="265">
        <f>_xlfn.XLOOKUP(AL$3,Classes!$Q$11:$Q$70,Classes!$Z$11:$Z$70,0)*_xlfn.XLOOKUP(AL$3,Classes!$Q$11:$Q$70,Classes!$S$11:$S$70,0)</f>
        <v>0</v>
      </c>
      <c r="AM43" s="265">
        <f>_xlfn.XLOOKUP(AM$3,Classes!$Q$11:$Q$70,Classes!$Z$11:$Z$70,0)*_xlfn.XLOOKUP(AM$3,Classes!$Q$11:$Q$70,Classes!$S$11:$S$70,0)</f>
        <v>0</v>
      </c>
      <c r="AN43" s="265">
        <f>_xlfn.XLOOKUP(AN$3,Classes!$Q$11:$Q$70,Classes!$Z$11:$Z$70,0)*_xlfn.XLOOKUP(AN$3,Classes!$Q$11:$Q$70,Classes!$S$11:$S$70,0)</f>
        <v>0</v>
      </c>
      <c r="AO43" s="265">
        <f>_xlfn.XLOOKUP(AO$3,Classes!$Q$11:$Q$70,Classes!$Z$11:$Z$70,0)*_xlfn.XLOOKUP(AO$3,Classes!$Q$11:$Q$70,Classes!$S$11:$S$70,0)</f>
        <v>0</v>
      </c>
      <c r="AP43" s="265">
        <f>_xlfn.XLOOKUP(AP$3,Classes!$Q$11:$Q$70,Classes!$Z$11:$Z$70,0)*_xlfn.XLOOKUP(AP$3,Classes!$Q$11:$Q$70,Classes!$S$11:$S$70,0)</f>
        <v>0</v>
      </c>
      <c r="AQ43" s="265">
        <f>_xlfn.XLOOKUP(AQ$3,Classes!$Q$11:$Q$70,Classes!$Z$11:$Z$70,0)*_xlfn.XLOOKUP(AQ$3,Classes!$Q$11:$Q$70,Classes!$S$11:$S$70,0)</f>
        <v>0</v>
      </c>
      <c r="AR43" s="265">
        <f>_xlfn.XLOOKUP(AR$3,Classes!$Q$11:$Q$70,Classes!$Z$11:$Z$70,0)*_xlfn.XLOOKUP(AR$3,Classes!$Q$11:$Q$70,Classes!$S$11:$S$70,0)</f>
        <v>0</v>
      </c>
      <c r="AS43" s="265">
        <f>_xlfn.XLOOKUP(AS$3,Classes!$Q$11:$Q$70,Classes!$Z$11:$Z$70,0)*_xlfn.XLOOKUP(AS$3,Classes!$Q$11:$Q$70,Classes!$S$11:$S$70,0)</f>
        <v>0</v>
      </c>
      <c r="AT43" s="265">
        <f>_xlfn.XLOOKUP(AT$3,Classes!$Q$11:$Q$70,Classes!$Z$11:$Z$70,0)*_xlfn.XLOOKUP(AT$3,Classes!$Q$11:$Q$70,Classes!$S$11:$S$70,0)</f>
        <v>0</v>
      </c>
      <c r="AU43" s="265">
        <f>_xlfn.XLOOKUP(AU$3,Classes!$Q$11:$Q$70,Classes!$Z$11:$Z$70,0)*_xlfn.XLOOKUP(AU$3,Classes!$Q$11:$Q$70,Classes!$S$11:$S$70,0)</f>
        <v>0</v>
      </c>
      <c r="AV43" s="265">
        <f>_xlfn.XLOOKUP(AV$3,Classes!$Q$11:$Q$70,Classes!$Z$11:$Z$70,0)*_xlfn.XLOOKUP(AV$3,Classes!$Q$11:$Q$70,Classes!$S$11:$S$70,0)</f>
        <v>0</v>
      </c>
      <c r="AW43" s="265">
        <f>_xlfn.XLOOKUP(AW$3,Classes!$Q$11:$Q$70,Classes!$Z$11:$Z$70,0)*_xlfn.XLOOKUP(AW$3,Classes!$Q$11:$Q$70,Classes!$S$11:$S$70,0)</f>
        <v>0</v>
      </c>
      <c r="AX43" s="265">
        <f>_xlfn.XLOOKUP(AX$3,Classes!$Q$11:$Q$70,Classes!$Z$11:$Z$70,0)*_xlfn.XLOOKUP(AX$3,Classes!$Q$11:$Q$70,Classes!$S$11:$S$70,0)</f>
        <v>0</v>
      </c>
      <c r="AY43" s="265">
        <f>_xlfn.XLOOKUP(AY$3,Classes!$Q$11:$Q$70,Classes!$Z$11:$Z$70,0)*_xlfn.XLOOKUP(AY$3,Classes!$Q$11:$Q$70,Classes!$S$11:$S$70,0)</f>
        <v>0</v>
      </c>
      <c r="AZ43" s="265">
        <f>_xlfn.XLOOKUP(AZ$3,Classes!$Q$11:$Q$70,Classes!$Z$11:$Z$70,0)*_xlfn.XLOOKUP(AZ$3,Classes!$Q$11:$Q$70,Classes!$S$11:$S$70,0)</f>
        <v>0</v>
      </c>
      <c r="BA43" s="265">
        <f>_xlfn.XLOOKUP(BA$3,Classes!$Q$11:$Q$70,Classes!$Z$11:$Z$70,0)*_xlfn.XLOOKUP(BA$3,Classes!$Q$11:$Q$70,Classes!$S$11:$S$70,0)</f>
        <v>0</v>
      </c>
      <c r="BB43" s="265">
        <f>_xlfn.XLOOKUP(BB$3,Classes!$Q$11:$Q$70,Classes!$Z$11:$Z$70,0)*_xlfn.XLOOKUP(BB$3,Classes!$Q$11:$Q$70,Classes!$S$11:$S$70,0)</f>
        <v>0</v>
      </c>
      <c r="BC43" s="265">
        <f>_xlfn.XLOOKUP(BC$3,Classes!$Q$11:$Q$70,Classes!$Z$11:$Z$70,0)*_xlfn.XLOOKUP(BC$3,Classes!$Q$11:$Q$70,Classes!$S$11:$S$70,0)</f>
        <v>0</v>
      </c>
      <c r="BD43" s="265">
        <f>_xlfn.XLOOKUP(BD$3,Classes!$Q$11:$Q$70,Classes!$Z$11:$Z$70,0)*_xlfn.XLOOKUP(BD$3,Classes!$Q$11:$Q$70,Classes!$S$11:$S$70,0)</f>
        <v>0</v>
      </c>
      <c r="BE43" s="265">
        <f>_xlfn.XLOOKUP(BE$3,Classes!$Q$11:$Q$70,Classes!$Z$11:$Z$70,0)*_xlfn.XLOOKUP(BE$3,Classes!$Q$11:$Q$70,Classes!$S$11:$S$70,0)</f>
        <v>0</v>
      </c>
      <c r="BF43" s="265">
        <f>_xlfn.XLOOKUP(BF$3,Classes!$Q$11:$Q$70,Classes!$Z$11:$Z$70,0)*_xlfn.XLOOKUP(BF$3,Classes!$Q$11:$Q$70,Classes!$S$11:$S$70,0)</f>
        <v>0</v>
      </c>
      <c r="BG43" s="265">
        <f>_xlfn.XLOOKUP(BG$3,Classes!$Q$11:$Q$70,Classes!$Z$11:$Z$70,0)*_xlfn.XLOOKUP(BG$3,Classes!$Q$11:$Q$70,Classes!$S$11:$S$70,0)</f>
        <v>0</v>
      </c>
      <c r="BH43" s="265">
        <f>_xlfn.XLOOKUP(BH$3,Classes!$Q$11:$Q$70,Classes!$Z$11:$Z$70,0)*_xlfn.XLOOKUP(BH$3,Classes!$Q$11:$Q$70,Classes!$S$11:$S$70,0)</f>
        <v>0</v>
      </c>
      <c r="BI43" s="265">
        <f>_xlfn.XLOOKUP(BI$3,Classes!$Q$11:$Q$70,Classes!$Z$11:$Z$70,0)*_xlfn.XLOOKUP(BI$3,Classes!$Q$11:$Q$70,Classes!$S$11:$S$70,0)</f>
        <v>0</v>
      </c>
      <c r="BJ43" s="265">
        <f>_xlfn.XLOOKUP(BJ$3,Classes!$Q$11:$Q$70,Classes!$Z$11:$Z$70,0)*_xlfn.XLOOKUP(BJ$3,Classes!$Q$11:$Q$70,Classes!$S$11:$S$70,0)</f>
        <v>0</v>
      </c>
      <c r="BK43" s="265">
        <f>_xlfn.XLOOKUP(BK$3,Classes!$Q$11:$Q$70,Classes!$Z$11:$Z$70,0)*_xlfn.XLOOKUP(BK$3,Classes!$Q$11:$Q$70,Classes!$S$11:$S$70,0)</f>
        <v>0</v>
      </c>
    </row>
    <row r="44" spans="2:63" x14ac:dyDescent="0.3">
      <c r="B44" s="30"/>
      <c r="C44" s="30"/>
      <c r="D44" s="227"/>
      <c r="E44" s="22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27"/>
      <c r="T44" s="227"/>
      <c r="U44" s="227"/>
      <c r="V44" s="227"/>
      <c r="W44" s="227"/>
      <c r="X44" s="227"/>
      <c r="Y44" s="227"/>
      <c r="Z44" s="227"/>
      <c r="AA44" s="227"/>
      <c r="AB44" s="227"/>
      <c r="AC44" s="227"/>
      <c r="AD44" s="227"/>
      <c r="AE44" s="227"/>
      <c r="AF44" s="227"/>
      <c r="AG44" s="227"/>
      <c r="AH44" s="227"/>
      <c r="AI44" s="227"/>
      <c r="AJ44" s="227"/>
      <c r="AK44" s="227"/>
      <c r="AL44" s="227"/>
      <c r="AM44" s="227"/>
      <c r="AN44" s="227"/>
      <c r="AO44" s="227"/>
      <c r="AP44" s="227"/>
      <c r="AQ44" s="227"/>
      <c r="AR44" s="227"/>
      <c r="AS44" s="227"/>
      <c r="AT44" s="227"/>
      <c r="AU44" s="227"/>
      <c r="AV44" s="227"/>
      <c r="AW44" s="227"/>
      <c r="AX44" s="227"/>
      <c r="AY44" s="227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BJ44" s="227"/>
      <c r="BK44" s="227"/>
    </row>
    <row r="45" spans="2:63" x14ac:dyDescent="0.3">
      <c r="B45" s="228" t="s">
        <v>71</v>
      </c>
      <c r="C45" s="157"/>
      <c r="D45" s="264">
        <f>SUM(D46:D47)</f>
        <v>0</v>
      </c>
      <c r="E45" s="266">
        <f t="shared" ref="E45:BK45" si="13">SUM(E46:E47)</f>
        <v>0</v>
      </c>
      <c r="F45" s="266">
        <f t="shared" si="13"/>
        <v>0</v>
      </c>
      <c r="G45" s="266">
        <f t="shared" si="13"/>
        <v>0</v>
      </c>
      <c r="H45" s="266">
        <f t="shared" si="13"/>
        <v>0</v>
      </c>
      <c r="I45" s="266">
        <f t="shared" si="13"/>
        <v>0</v>
      </c>
      <c r="J45" s="266">
        <f t="shared" si="13"/>
        <v>0</v>
      </c>
      <c r="K45" s="266">
        <f t="shared" si="13"/>
        <v>0</v>
      </c>
      <c r="L45" s="266">
        <f t="shared" si="13"/>
        <v>0</v>
      </c>
      <c r="M45" s="266">
        <f t="shared" si="13"/>
        <v>0</v>
      </c>
      <c r="N45" s="266">
        <f t="shared" si="13"/>
        <v>0</v>
      </c>
      <c r="O45" s="266">
        <f t="shared" si="13"/>
        <v>0</v>
      </c>
      <c r="P45" s="266">
        <f t="shared" si="13"/>
        <v>0</v>
      </c>
      <c r="Q45" s="266">
        <f t="shared" si="13"/>
        <v>0</v>
      </c>
      <c r="R45" s="266">
        <f t="shared" si="13"/>
        <v>0</v>
      </c>
      <c r="S45" s="266">
        <f t="shared" si="13"/>
        <v>0</v>
      </c>
      <c r="T45" s="266">
        <f t="shared" si="13"/>
        <v>0</v>
      </c>
      <c r="U45" s="266">
        <f t="shared" si="13"/>
        <v>0</v>
      </c>
      <c r="V45" s="266">
        <f t="shared" si="13"/>
        <v>0</v>
      </c>
      <c r="W45" s="266">
        <f t="shared" si="13"/>
        <v>0</v>
      </c>
      <c r="X45" s="266">
        <f t="shared" si="13"/>
        <v>0</v>
      </c>
      <c r="Y45" s="266">
        <f t="shared" si="13"/>
        <v>0</v>
      </c>
      <c r="Z45" s="266">
        <f t="shared" si="13"/>
        <v>0</v>
      </c>
      <c r="AA45" s="266">
        <f t="shared" si="13"/>
        <v>0</v>
      </c>
      <c r="AB45" s="266">
        <f t="shared" si="13"/>
        <v>346957.67765214038</v>
      </c>
      <c r="AC45" s="266">
        <f t="shared" si="13"/>
        <v>338111.16040419682</v>
      </c>
      <c r="AD45" s="266">
        <f t="shared" si="13"/>
        <v>333928.55473487644</v>
      </c>
      <c r="AE45" s="266">
        <f t="shared" si="13"/>
        <v>331462.00159139588</v>
      </c>
      <c r="AF45" s="266">
        <f t="shared" si="13"/>
        <v>325518.21999438491</v>
      </c>
      <c r="AG45" s="266">
        <f t="shared" si="13"/>
        <v>322654.70997938194</v>
      </c>
      <c r="AH45" s="266">
        <f t="shared" si="13"/>
        <v>315901.96964090317</v>
      </c>
      <c r="AI45" s="266">
        <f t="shared" si="13"/>
        <v>313819.10136599763</v>
      </c>
      <c r="AJ45" s="266">
        <f t="shared" si="13"/>
        <v>307837.80457081826</v>
      </c>
      <c r="AK45" s="266">
        <f t="shared" si="13"/>
        <v>305532.78666816669</v>
      </c>
      <c r="AL45" s="266">
        <f t="shared" si="13"/>
        <v>300115.809410766</v>
      </c>
      <c r="AM45" s="266">
        <f t="shared" si="13"/>
        <v>295865.54128759081</v>
      </c>
      <c r="AN45" s="266">
        <f t="shared" si="13"/>
        <v>0</v>
      </c>
      <c r="AO45" s="266">
        <f t="shared" si="13"/>
        <v>0</v>
      </c>
      <c r="AP45" s="266">
        <f t="shared" si="13"/>
        <v>0</v>
      </c>
      <c r="AQ45" s="266">
        <f t="shared" si="13"/>
        <v>0</v>
      </c>
      <c r="AR45" s="266">
        <f t="shared" si="13"/>
        <v>0</v>
      </c>
      <c r="AS45" s="266">
        <f t="shared" si="13"/>
        <v>0</v>
      </c>
      <c r="AT45" s="266">
        <f t="shared" si="13"/>
        <v>0</v>
      </c>
      <c r="AU45" s="266">
        <f t="shared" si="13"/>
        <v>0</v>
      </c>
      <c r="AV45" s="266">
        <f t="shared" si="13"/>
        <v>0</v>
      </c>
      <c r="AW45" s="266">
        <f t="shared" si="13"/>
        <v>0</v>
      </c>
      <c r="AX45" s="266">
        <f t="shared" si="13"/>
        <v>0</v>
      </c>
      <c r="AY45" s="266">
        <f t="shared" si="13"/>
        <v>0</v>
      </c>
      <c r="AZ45" s="266">
        <f t="shared" si="13"/>
        <v>0</v>
      </c>
      <c r="BA45" s="266">
        <f t="shared" si="13"/>
        <v>0</v>
      </c>
      <c r="BB45" s="266">
        <f t="shared" si="13"/>
        <v>0</v>
      </c>
      <c r="BC45" s="266">
        <f t="shared" si="13"/>
        <v>0</v>
      </c>
      <c r="BD45" s="266">
        <f t="shared" si="13"/>
        <v>0</v>
      </c>
      <c r="BE45" s="266">
        <f t="shared" si="13"/>
        <v>0</v>
      </c>
      <c r="BF45" s="266">
        <f t="shared" si="13"/>
        <v>0</v>
      </c>
      <c r="BG45" s="266">
        <f t="shared" si="13"/>
        <v>0</v>
      </c>
      <c r="BH45" s="266">
        <f t="shared" si="13"/>
        <v>0</v>
      </c>
      <c r="BI45" s="266">
        <f t="shared" si="13"/>
        <v>0</v>
      </c>
      <c r="BJ45" s="266">
        <f t="shared" si="13"/>
        <v>0</v>
      </c>
      <c r="BK45" s="266">
        <f t="shared" si="13"/>
        <v>0</v>
      </c>
    </row>
    <row r="46" spans="2:63" x14ac:dyDescent="0.3">
      <c r="B46" s="122" t="s">
        <v>169</v>
      </c>
      <c r="C46" s="157"/>
      <c r="D46" s="265">
        <f>_xlfn.XLOOKUP(D$3,Classes!$AF$11:$AF$70,Classes!$AL$11:$AL$70,0)*_xlfn.XLOOKUP(D$3,Classes!$AF$11:$AF$70,Classes!$AH$11:$AH$70,0)</f>
        <v>0</v>
      </c>
      <c r="E46" s="265">
        <f>_xlfn.XLOOKUP(E$3,Classes!$AF$11:$AF$70,Classes!$AL$11:$AL$70,0)*_xlfn.XLOOKUP(E$3,Classes!$AF$11:$AF$70,Classes!$AH$11:$AH$70,0)</f>
        <v>0</v>
      </c>
      <c r="F46" s="265">
        <f>_xlfn.XLOOKUP(F$3,Classes!$AF$11:$AF$70,Classes!$AL$11:$AL$70,0)*_xlfn.XLOOKUP(F$3,Classes!$AF$11:$AF$70,Classes!$AH$11:$AH$70,0)</f>
        <v>0</v>
      </c>
      <c r="G46" s="265">
        <f>_xlfn.XLOOKUP(G$3,Classes!$AF$11:$AF$70,Classes!$AL$11:$AL$70,0)*_xlfn.XLOOKUP(G$3,Classes!$AF$11:$AF$70,Classes!$AH$11:$AH$70,0)</f>
        <v>0</v>
      </c>
      <c r="H46" s="265">
        <f>_xlfn.XLOOKUP(H$3,Classes!$AF$11:$AF$70,Classes!$AL$11:$AL$70,0)*_xlfn.XLOOKUP(H$3,Classes!$AF$11:$AF$70,Classes!$AH$11:$AH$70,0)</f>
        <v>0</v>
      </c>
      <c r="I46" s="265">
        <f>_xlfn.XLOOKUP(I$3,Classes!$AF$11:$AF$70,Classes!$AL$11:$AL$70,0)*_xlfn.XLOOKUP(I$3,Classes!$AF$11:$AF$70,Classes!$AH$11:$AH$70,0)</f>
        <v>0</v>
      </c>
      <c r="J46" s="265">
        <f>_xlfn.XLOOKUP(J$3,Classes!$AF$11:$AF$70,Classes!$AL$11:$AL$70,0)*_xlfn.XLOOKUP(J$3,Classes!$AF$11:$AF$70,Classes!$AH$11:$AH$70,0)</f>
        <v>0</v>
      </c>
      <c r="K46" s="265">
        <f>_xlfn.XLOOKUP(K$3,Classes!$AF$11:$AF$70,Classes!$AL$11:$AL$70,0)*_xlfn.XLOOKUP(K$3,Classes!$AF$11:$AF$70,Classes!$AH$11:$AH$70,0)</f>
        <v>0</v>
      </c>
      <c r="L46" s="265">
        <f>_xlfn.XLOOKUP(L$3,Classes!$AF$11:$AF$70,Classes!$AL$11:$AL$70,0)*_xlfn.XLOOKUP(L$3,Classes!$AF$11:$AF$70,Classes!$AH$11:$AH$70,0)</f>
        <v>0</v>
      </c>
      <c r="M46" s="265">
        <f>_xlfn.XLOOKUP(M$3,Classes!$AF$11:$AF$70,Classes!$AL$11:$AL$70,0)*_xlfn.XLOOKUP(M$3,Classes!$AF$11:$AF$70,Classes!$AH$11:$AH$70,0)</f>
        <v>0</v>
      </c>
      <c r="N46" s="265">
        <f>_xlfn.XLOOKUP(N$3,Classes!$AF$11:$AF$70,Classes!$AL$11:$AL$70,0)*_xlfn.XLOOKUP(N$3,Classes!$AF$11:$AF$70,Classes!$AH$11:$AH$70,0)</f>
        <v>0</v>
      </c>
      <c r="O46" s="265">
        <f>_xlfn.XLOOKUP(O$3,Classes!$AF$11:$AF$70,Classes!$AL$11:$AL$70,0)*_xlfn.XLOOKUP(O$3,Classes!$AF$11:$AF$70,Classes!$AH$11:$AH$70,0)</f>
        <v>0</v>
      </c>
      <c r="P46" s="265">
        <f>_xlfn.XLOOKUP(P$3,Classes!$AF$11:$AF$70,Classes!$AL$11:$AL$70,0)*_xlfn.XLOOKUP(P$3,Classes!$AF$11:$AF$70,Classes!$AH$11:$AH$70,0)</f>
        <v>0</v>
      </c>
      <c r="Q46" s="265">
        <f>_xlfn.XLOOKUP(Q$3,Classes!$AF$11:$AF$70,Classes!$AL$11:$AL$70,0)*_xlfn.XLOOKUP(Q$3,Classes!$AF$11:$AF$70,Classes!$AH$11:$AH$70,0)</f>
        <v>0</v>
      </c>
      <c r="R46" s="265">
        <f>_xlfn.XLOOKUP(R$3,Classes!$AF$11:$AF$70,Classes!$AL$11:$AL$70,0)*_xlfn.XLOOKUP(R$3,Classes!$AF$11:$AF$70,Classes!$AH$11:$AH$70,0)</f>
        <v>0</v>
      </c>
      <c r="S46" s="265">
        <f>_xlfn.XLOOKUP(S$3,Classes!$AF$11:$AF$70,Classes!$AL$11:$AL$70,0)*_xlfn.XLOOKUP(S$3,Classes!$AF$11:$AF$70,Classes!$AH$11:$AH$70,0)</f>
        <v>0</v>
      </c>
      <c r="T46" s="265">
        <f>_xlfn.XLOOKUP(T$3,Classes!$AF$11:$AF$70,Classes!$AL$11:$AL$70,0)*_xlfn.XLOOKUP(T$3,Classes!$AF$11:$AF$70,Classes!$AH$11:$AH$70,0)</f>
        <v>0</v>
      </c>
      <c r="U46" s="265">
        <f>_xlfn.XLOOKUP(U$3,Classes!$AF$11:$AF$70,Classes!$AL$11:$AL$70,0)*_xlfn.XLOOKUP(U$3,Classes!$AF$11:$AF$70,Classes!$AH$11:$AH$70,0)</f>
        <v>0</v>
      </c>
      <c r="V46" s="265">
        <f>_xlfn.XLOOKUP(V$3,Classes!$AF$11:$AF$70,Classes!$AL$11:$AL$70,0)*_xlfn.XLOOKUP(V$3,Classes!$AF$11:$AF$70,Classes!$AH$11:$AH$70,0)</f>
        <v>0</v>
      </c>
      <c r="W46" s="265">
        <f>_xlfn.XLOOKUP(W$3,Classes!$AF$11:$AF$70,Classes!$AL$11:$AL$70,0)*_xlfn.XLOOKUP(W$3,Classes!$AF$11:$AF$70,Classes!$AH$11:$AH$70,0)</f>
        <v>0</v>
      </c>
      <c r="X46" s="265">
        <f>_xlfn.XLOOKUP(X$3,Classes!$AF$11:$AF$70,Classes!$AL$11:$AL$70,0)*_xlfn.XLOOKUP(X$3,Classes!$AF$11:$AF$70,Classes!$AH$11:$AH$70,0)</f>
        <v>0</v>
      </c>
      <c r="Y46" s="265">
        <f>_xlfn.XLOOKUP(Y$3,Classes!$AF$11:$AF$70,Classes!$AL$11:$AL$70,0)*_xlfn.XLOOKUP(Y$3,Classes!$AF$11:$AF$70,Classes!$AH$11:$AH$70,0)</f>
        <v>0</v>
      </c>
      <c r="Z46" s="265">
        <f>_xlfn.XLOOKUP(Z$3,Classes!$AF$11:$AF$70,Classes!$AL$11:$AL$70,0)*_xlfn.XLOOKUP(Z$3,Classes!$AF$11:$AF$70,Classes!$AH$11:$AH$70,0)</f>
        <v>0</v>
      </c>
      <c r="AA46" s="265">
        <f>_xlfn.XLOOKUP(AA$3,Classes!$AF$11:$AF$70,Classes!$AL$11:$AL$70,0)*_xlfn.XLOOKUP(AA$3,Classes!$AF$11:$AF$70,Classes!$AH$11:$AH$70,0)</f>
        <v>0</v>
      </c>
      <c r="AB46" s="265">
        <f>_xlfn.XLOOKUP(AB$3,Classes!$AF$11:$AF$70,Classes!$AL$11:$AL$70,0)*_xlfn.XLOOKUP(AB$3,Classes!$AF$11:$AF$70,Classes!$AH$11:$AH$70,0)</f>
        <v>138624.34431880704</v>
      </c>
      <c r="AC46" s="265">
        <f>_xlfn.XLOOKUP(AC$3,Classes!$AF$11:$AF$70,Classes!$AL$11:$AL$70,0)*_xlfn.XLOOKUP(AC$3,Classes!$AF$11:$AF$70,Classes!$AH$11:$AH$70,0)</f>
        <v>129777.82707086351</v>
      </c>
      <c r="AD46" s="265">
        <f>_xlfn.XLOOKUP(AD$3,Classes!$AF$11:$AF$70,Classes!$AL$11:$AL$70,0)*_xlfn.XLOOKUP(AD$3,Classes!$AF$11:$AF$70,Classes!$AH$11:$AH$70,0)</f>
        <v>125595.22140154311</v>
      </c>
      <c r="AE46" s="265">
        <f>_xlfn.XLOOKUP(AE$3,Classes!$AF$11:$AF$70,Classes!$AL$11:$AL$70,0)*_xlfn.XLOOKUP(AE$3,Classes!$AF$11:$AF$70,Classes!$AH$11:$AH$70,0)</f>
        <v>123128.66825806256</v>
      </c>
      <c r="AF46" s="265">
        <f>_xlfn.XLOOKUP(AF$3,Classes!$AF$11:$AF$70,Classes!$AL$11:$AL$70,0)*_xlfn.XLOOKUP(AF$3,Classes!$AF$11:$AF$70,Classes!$AH$11:$AH$70,0)</f>
        <v>117184.88666105157</v>
      </c>
      <c r="AG46" s="265">
        <f>_xlfn.XLOOKUP(AG$3,Classes!$AF$11:$AF$70,Classes!$AL$11:$AL$70,0)*_xlfn.XLOOKUP(AG$3,Classes!$AF$11:$AF$70,Classes!$AH$11:$AH$70,0)</f>
        <v>114321.37664604861</v>
      </c>
      <c r="AH46" s="265">
        <f>_xlfn.XLOOKUP(AH$3,Classes!$AF$11:$AF$70,Classes!$AL$11:$AL$70,0)*_xlfn.XLOOKUP(AH$3,Classes!$AF$11:$AF$70,Classes!$AH$11:$AH$70,0)</f>
        <v>107568.63630756989</v>
      </c>
      <c r="AI46" s="265">
        <f>_xlfn.XLOOKUP(AI$3,Classes!$AF$11:$AF$70,Classes!$AL$11:$AL$70,0)*_xlfn.XLOOKUP(AI$3,Classes!$AF$11:$AF$70,Classes!$AH$11:$AH$70,0)</f>
        <v>105485.76803266432</v>
      </c>
      <c r="AJ46" s="265">
        <f>_xlfn.XLOOKUP(AJ$3,Classes!$AF$11:$AF$70,Classes!$AL$11:$AL$70,0)*_xlfn.XLOOKUP(AJ$3,Classes!$AF$11:$AF$70,Classes!$AH$11:$AH$70,0)</f>
        <v>99504.471237484962</v>
      </c>
      <c r="AK46" s="265">
        <f>_xlfn.XLOOKUP(AK$3,Classes!$AF$11:$AF$70,Classes!$AL$11:$AL$70,0)*_xlfn.XLOOKUP(AK$3,Classes!$AF$11:$AF$70,Classes!$AH$11:$AH$70,0)</f>
        <v>97199.453334833379</v>
      </c>
      <c r="AL46" s="265">
        <f>_xlfn.XLOOKUP(AL$3,Classes!$AF$11:$AF$70,Classes!$AL$11:$AL$70,0)*_xlfn.XLOOKUP(AL$3,Classes!$AF$11:$AF$70,Classes!$AH$11:$AH$70,0)</f>
        <v>91782.476077432701</v>
      </c>
      <c r="AM46" s="265">
        <f>_xlfn.XLOOKUP(AM$3,Classes!$AF$11:$AF$70,Classes!$AL$11:$AL$70,0)*_xlfn.XLOOKUP(AM$3,Classes!$AF$11:$AF$70,Classes!$AH$11:$AH$70,0)</f>
        <v>87532.207954257479</v>
      </c>
      <c r="AN46" s="265">
        <f>_xlfn.XLOOKUP(AN$3,Classes!$AF$11:$AF$70,Classes!$AL$11:$AL$70,0)*_xlfn.XLOOKUP(AN$3,Classes!$AF$11:$AF$70,Classes!$AH$11:$AH$70,0)</f>
        <v>0</v>
      </c>
      <c r="AO46" s="265">
        <f>_xlfn.XLOOKUP(AO$3,Classes!$AF$11:$AF$70,Classes!$AL$11:$AL$70,0)*_xlfn.XLOOKUP(AO$3,Classes!$AF$11:$AF$70,Classes!$AH$11:$AH$70,0)</f>
        <v>0</v>
      </c>
      <c r="AP46" s="265">
        <f>_xlfn.XLOOKUP(AP$3,Classes!$AF$11:$AF$70,Classes!$AL$11:$AL$70,0)*_xlfn.XLOOKUP(AP$3,Classes!$AF$11:$AF$70,Classes!$AH$11:$AH$70,0)</f>
        <v>0</v>
      </c>
      <c r="AQ46" s="265">
        <f>_xlfn.XLOOKUP(AQ$3,Classes!$AF$11:$AF$70,Classes!$AL$11:$AL$70,0)*_xlfn.XLOOKUP(AQ$3,Classes!$AF$11:$AF$70,Classes!$AH$11:$AH$70,0)</f>
        <v>0</v>
      </c>
      <c r="AR46" s="265">
        <f>_xlfn.XLOOKUP(AR$3,Classes!$AF$11:$AF$70,Classes!$AL$11:$AL$70,0)*_xlfn.XLOOKUP(AR$3,Classes!$AF$11:$AF$70,Classes!$AH$11:$AH$70,0)</f>
        <v>0</v>
      </c>
      <c r="AS46" s="265">
        <f>_xlfn.XLOOKUP(AS$3,Classes!$AF$11:$AF$70,Classes!$AL$11:$AL$70,0)*_xlfn.XLOOKUP(AS$3,Classes!$AF$11:$AF$70,Classes!$AH$11:$AH$70,0)</f>
        <v>0</v>
      </c>
      <c r="AT46" s="265">
        <f>_xlfn.XLOOKUP(AT$3,Classes!$AF$11:$AF$70,Classes!$AL$11:$AL$70,0)*_xlfn.XLOOKUP(AT$3,Classes!$AF$11:$AF$70,Classes!$AH$11:$AH$70,0)</f>
        <v>0</v>
      </c>
      <c r="AU46" s="265">
        <f>_xlfn.XLOOKUP(AU$3,Classes!$AF$11:$AF$70,Classes!$AL$11:$AL$70,0)*_xlfn.XLOOKUP(AU$3,Classes!$AF$11:$AF$70,Classes!$AH$11:$AH$70,0)</f>
        <v>0</v>
      </c>
      <c r="AV46" s="265">
        <f>_xlfn.XLOOKUP(AV$3,Classes!$AF$11:$AF$70,Classes!$AL$11:$AL$70,0)*_xlfn.XLOOKUP(AV$3,Classes!$AF$11:$AF$70,Classes!$AH$11:$AH$70,0)</f>
        <v>0</v>
      </c>
      <c r="AW46" s="265">
        <f>_xlfn.XLOOKUP(AW$3,Classes!$AF$11:$AF$70,Classes!$AL$11:$AL$70,0)*_xlfn.XLOOKUP(AW$3,Classes!$AF$11:$AF$70,Classes!$AH$11:$AH$70,0)</f>
        <v>0</v>
      </c>
      <c r="AX46" s="265">
        <f>_xlfn.XLOOKUP(AX$3,Classes!$AF$11:$AF$70,Classes!$AL$11:$AL$70,0)*_xlfn.XLOOKUP(AX$3,Classes!$AF$11:$AF$70,Classes!$AH$11:$AH$70,0)</f>
        <v>0</v>
      </c>
      <c r="AY46" s="265">
        <f>_xlfn.XLOOKUP(AY$3,Classes!$AF$11:$AF$70,Classes!$AL$11:$AL$70,0)*_xlfn.XLOOKUP(AY$3,Classes!$AF$11:$AF$70,Classes!$AH$11:$AH$70,0)</f>
        <v>0</v>
      </c>
      <c r="AZ46" s="265">
        <f>_xlfn.XLOOKUP(AZ$3,Classes!$AF$11:$AF$70,Classes!$AL$11:$AL$70,0)*_xlfn.XLOOKUP(AZ$3,Classes!$AF$11:$AF$70,Classes!$AH$11:$AH$70,0)</f>
        <v>0</v>
      </c>
      <c r="BA46" s="265">
        <f>_xlfn.XLOOKUP(BA$3,Classes!$AF$11:$AF$70,Classes!$AL$11:$AL$70,0)*_xlfn.XLOOKUP(BA$3,Classes!$AF$11:$AF$70,Classes!$AH$11:$AH$70,0)</f>
        <v>0</v>
      </c>
      <c r="BB46" s="265">
        <f>_xlfn.XLOOKUP(BB$3,Classes!$AF$11:$AF$70,Classes!$AL$11:$AL$70,0)*_xlfn.XLOOKUP(BB$3,Classes!$AF$11:$AF$70,Classes!$AH$11:$AH$70,0)</f>
        <v>0</v>
      </c>
      <c r="BC46" s="265">
        <f>_xlfn.XLOOKUP(BC$3,Classes!$AF$11:$AF$70,Classes!$AL$11:$AL$70,0)*_xlfn.XLOOKUP(BC$3,Classes!$AF$11:$AF$70,Classes!$AH$11:$AH$70,0)</f>
        <v>0</v>
      </c>
      <c r="BD46" s="265">
        <f>_xlfn.XLOOKUP(BD$3,Classes!$AF$11:$AF$70,Classes!$AL$11:$AL$70,0)*_xlfn.XLOOKUP(BD$3,Classes!$AF$11:$AF$70,Classes!$AH$11:$AH$70,0)</f>
        <v>0</v>
      </c>
      <c r="BE46" s="265">
        <f>_xlfn.XLOOKUP(BE$3,Classes!$AF$11:$AF$70,Classes!$AL$11:$AL$70,0)*_xlfn.XLOOKUP(BE$3,Classes!$AF$11:$AF$70,Classes!$AH$11:$AH$70,0)</f>
        <v>0</v>
      </c>
      <c r="BF46" s="265">
        <f>_xlfn.XLOOKUP(BF$3,Classes!$AF$11:$AF$70,Classes!$AL$11:$AL$70,0)*_xlfn.XLOOKUP(BF$3,Classes!$AF$11:$AF$70,Classes!$AH$11:$AH$70,0)</f>
        <v>0</v>
      </c>
      <c r="BG46" s="265">
        <f>_xlfn.XLOOKUP(BG$3,Classes!$AF$11:$AF$70,Classes!$AL$11:$AL$70,0)*_xlfn.XLOOKUP(BG$3,Classes!$AF$11:$AF$70,Classes!$AH$11:$AH$70,0)</f>
        <v>0</v>
      </c>
      <c r="BH46" s="265">
        <f>_xlfn.XLOOKUP(BH$3,Classes!$AF$11:$AF$70,Classes!$AL$11:$AL$70,0)*_xlfn.XLOOKUP(BH$3,Classes!$AF$11:$AF$70,Classes!$AH$11:$AH$70,0)</f>
        <v>0</v>
      </c>
      <c r="BI46" s="265">
        <f>_xlfn.XLOOKUP(BI$3,Classes!$AF$11:$AF$70,Classes!$AL$11:$AL$70,0)*_xlfn.XLOOKUP(BI$3,Classes!$AF$11:$AF$70,Classes!$AH$11:$AH$70,0)</f>
        <v>0</v>
      </c>
      <c r="BJ46" s="265">
        <f>_xlfn.XLOOKUP(BJ$3,Classes!$AF$11:$AF$70,Classes!$AL$11:$AL$70,0)*_xlfn.XLOOKUP(BJ$3,Classes!$AF$11:$AF$70,Classes!$AH$11:$AH$70,0)</f>
        <v>0</v>
      </c>
      <c r="BK46" s="265">
        <f>_xlfn.XLOOKUP(BK$3,Classes!$AF$11:$AF$70,Classes!$AL$11:$AL$70,0)*_xlfn.XLOOKUP(BK$3,Classes!$AF$11:$AF$70,Classes!$AH$11:$AH$70,0)</f>
        <v>0</v>
      </c>
    </row>
    <row r="47" spans="2:63" x14ac:dyDescent="0.3">
      <c r="B47" s="122" t="s">
        <v>170</v>
      </c>
      <c r="C47" s="157"/>
      <c r="D47" s="265">
        <f>_xlfn.XLOOKUP(D$3,Classes!$AF$11:$AF$70,Classes!$AO$11:$AO$70,0)*_xlfn.XLOOKUP(D$3,Classes!$AF$11:$AF$70,Classes!$AH$11:$AH$70,0)</f>
        <v>0</v>
      </c>
      <c r="E47" s="265">
        <f>_xlfn.XLOOKUP(E$3,Classes!$AF$11:$AF$70,Classes!$AO$11:$AO$70,0)*_xlfn.XLOOKUP(E$3,Classes!$AF$11:$AF$70,Classes!$AH$11:$AH$70,0)</f>
        <v>0</v>
      </c>
      <c r="F47" s="265">
        <f>_xlfn.XLOOKUP(F$3,Classes!$AF$11:$AF$70,Classes!$AO$11:$AO$70,0)*_xlfn.XLOOKUP(F$3,Classes!$AF$11:$AF$70,Classes!$AH$11:$AH$70,0)</f>
        <v>0</v>
      </c>
      <c r="G47" s="265">
        <f>_xlfn.XLOOKUP(G$3,Classes!$AF$11:$AF$70,Classes!$AO$11:$AO$70,0)*_xlfn.XLOOKUP(G$3,Classes!$AF$11:$AF$70,Classes!$AH$11:$AH$70,0)</f>
        <v>0</v>
      </c>
      <c r="H47" s="265">
        <f>_xlfn.XLOOKUP(H$3,Classes!$AF$11:$AF$70,Classes!$AO$11:$AO$70,0)*_xlfn.XLOOKUP(H$3,Classes!$AF$11:$AF$70,Classes!$AH$11:$AH$70,0)</f>
        <v>0</v>
      </c>
      <c r="I47" s="265">
        <f>_xlfn.XLOOKUP(I$3,Classes!$AF$11:$AF$70,Classes!$AO$11:$AO$70,0)*_xlfn.XLOOKUP(I$3,Classes!$AF$11:$AF$70,Classes!$AH$11:$AH$70,0)</f>
        <v>0</v>
      </c>
      <c r="J47" s="265">
        <f>_xlfn.XLOOKUP(J$3,Classes!$AF$11:$AF$70,Classes!$AO$11:$AO$70,0)*_xlfn.XLOOKUP(J$3,Classes!$AF$11:$AF$70,Classes!$AH$11:$AH$70,0)</f>
        <v>0</v>
      </c>
      <c r="K47" s="265">
        <f>_xlfn.XLOOKUP(K$3,Classes!$AF$11:$AF$70,Classes!$AO$11:$AO$70,0)*_xlfn.XLOOKUP(K$3,Classes!$AF$11:$AF$70,Classes!$AH$11:$AH$70,0)</f>
        <v>0</v>
      </c>
      <c r="L47" s="265">
        <f>_xlfn.XLOOKUP(L$3,Classes!$AF$11:$AF$70,Classes!$AO$11:$AO$70,0)*_xlfn.XLOOKUP(L$3,Classes!$AF$11:$AF$70,Classes!$AH$11:$AH$70,0)</f>
        <v>0</v>
      </c>
      <c r="M47" s="265">
        <f>_xlfn.XLOOKUP(M$3,Classes!$AF$11:$AF$70,Classes!$AO$11:$AO$70,0)*_xlfn.XLOOKUP(M$3,Classes!$AF$11:$AF$70,Classes!$AH$11:$AH$70,0)</f>
        <v>0</v>
      </c>
      <c r="N47" s="265">
        <f>_xlfn.XLOOKUP(N$3,Classes!$AF$11:$AF$70,Classes!$AO$11:$AO$70,0)*_xlfn.XLOOKUP(N$3,Classes!$AF$11:$AF$70,Classes!$AH$11:$AH$70,0)</f>
        <v>0</v>
      </c>
      <c r="O47" s="265">
        <f>_xlfn.XLOOKUP(O$3,Classes!$AF$11:$AF$70,Classes!$AO$11:$AO$70,0)*_xlfn.XLOOKUP(O$3,Classes!$AF$11:$AF$70,Classes!$AH$11:$AH$70,0)</f>
        <v>0</v>
      </c>
      <c r="P47" s="265">
        <f>_xlfn.XLOOKUP(P$3,Classes!$AF$11:$AF$70,Classes!$AO$11:$AO$70,0)*_xlfn.XLOOKUP(P$3,Classes!$AF$11:$AF$70,Classes!$AH$11:$AH$70,0)</f>
        <v>0</v>
      </c>
      <c r="Q47" s="265">
        <f>_xlfn.XLOOKUP(Q$3,Classes!$AF$11:$AF$70,Classes!$AO$11:$AO$70,0)*_xlfn.XLOOKUP(Q$3,Classes!$AF$11:$AF$70,Classes!$AH$11:$AH$70,0)</f>
        <v>0</v>
      </c>
      <c r="R47" s="265">
        <f>_xlfn.XLOOKUP(R$3,Classes!$AF$11:$AF$70,Classes!$AO$11:$AO$70,0)*_xlfn.XLOOKUP(R$3,Classes!$AF$11:$AF$70,Classes!$AH$11:$AH$70,0)</f>
        <v>0</v>
      </c>
      <c r="S47" s="265">
        <f>_xlfn.XLOOKUP(S$3,Classes!$AF$11:$AF$70,Classes!$AO$11:$AO$70,0)*_xlfn.XLOOKUP(S$3,Classes!$AF$11:$AF$70,Classes!$AH$11:$AH$70,0)</f>
        <v>0</v>
      </c>
      <c r="T47" s="265">
        <f>_xlfn.XLOOKUP(T$3,Classes!$AF$11:$AF$70,Classes!$AO$11:$AO$70,0)*_xlfn.XLOOKUP(T$3,Classes!$AF$11:$AF$70,Classes!$AH$11:$AH$70,0)</f>
        <v>0</v>
      </c>
      <c r="U47" s="265">
        <f>_xlfn.XLOOKUP(U$3,Classes!$AF$11:$AF$70,Classes!$AO$11:$AO$70,0)*_xlfn.XLOOKUP(U$3,Classes!$AF$11:$AF$70,Classes!$AH$11:$AH$70,0)</f>
        <v>0</v>
      </c>
      <c r="V47" s="265">
        <f>_xlfn.XLOOKUP(V$3,Classes!$AF$11:$AF$70,Classes!$AO$11:$AO$70,0)*_xlfn.XLOOKUP(V$3,Classes!$AF$11:$AF$70,Classes!$AH$11:$AH$70,0)</f>
        <v>0</v>
      </c>
      <c r="W47" s="265">
        <f>_xlfn.XLOOKUP(W$3,Classes!$AF$11:$AF$70,Classes!$AO$11:$AO$70,0)*_xlfn.XLOOKUP(W$3,Classes!$AF$11:$AF$70,Classes!$AH$11:$AH$70,0)</f>
        <v>0</v>
      </c>
      <c r="X47" s="265">
        <f>_xlfn.XLOOKUP(X$3,Classes!$AF$11:$AF$70,Classes!$AO$11:$AO$70,0)*_xlfn.XLOOKUP(X$3,Classes!$AF$11:$AF$70,Classes!$AH$11:$AH$70,0)</f>
        <v>0</v>
      </c>
      <c r="Y47" s="265">
        <f>_xlfn.XLOOKUP(Y$3,Classes!$AF$11:$AF$70,Classes!$AO$11:$AO$70,0)*_xlfn.XLOOKUP(Y$3,Classes!$AF$11:$AF$70,Classes!$AH$11:$AH$70,0)</f>
        <v>0</v>
      </c>
      <c r="Z47" s="265">
        <f>_xlfn.XLOOKUP(Z$3,Classes!$AF$11:$AF$70,Classes!$AO$11:$AO$70,0)*_xlfn.XLOOKUP(Z$3,Classes!$AF$11:$AF$70,Classes!$AH$11:$AH$70,0)</f>
        <v>0</v>
      </c>
      <c r="AA47" s="265">
        <f>_xlfn.XLOOKUP(AA$3,Classes!$AF$11:$AF$70,Classes!$AO$11:$AO$70,0)*_xlfn.XLOOKUP(AA$3,Classes!$AF$11:$AF$70,Classes!$AH$11:$AH$70,0)</f>
        <v>0</v>
      </c>
      <c r="AB47" s="265">
        <f>_xlfn.XLOOKUP(AB$3,Classes!$AF$11:$AF$70,Classes!$AO$11:$AO$70,0)*_xlfn.XLOOKUP(AB$3,Classes!$AF$11:$AF$70,Classes!$AH$11:$AH$70,0)</f>
        <v>208333.33333333331</v>
      </c>
      <c r="AC47" s="265">
        <f>_xlfn.XLOOKUP(AC$3,Classes!$AF$11:$AF$70,Classes!$AO$11:$AO$70,0)*_xlfn.XLOOKUP(AC$3,Classes!$AF$11:$AF$70,Classes!$AH$11:$AH$70,0)</f>
        <v>208333.33333333331</v>
      </c>
      <c r="AD47" s="265">
        <f>_xlfn.XLOOKUP(AD$3,Classes!$AF$11:$AF$70,Classes!$AO$11:$AO$70,0)*_xlfn.XLOOKUP(AD$3,Classes!$AF$11:$AF$70,Classes!$AH$11:$AH$70,0)</f>
        <v>208333.33333333331</v>
      </c>
      <c r="AE47" s="265">
        <f>_xlfn.XLOOKUP(AE$3,Classes!$AF$11:$AF$70,Classes!$AO$11:$AO$70,0)*_xlfn.XLOOKUP(AE$3,Classes!$AF$11:$AF$70,Classes!$AH$11:$AH$70,0)</f>
        <v>208333.33333333331</v>
      </c>
      <c r="AF47" s="265">
        <f>_xlfn.XLOOKUP(AF$3,Classes!$AF$11:$AF$70,Classes!$AO$11:$AO$70,0)*_xlfn.XLOOKUP(AF$3,Classes!$AF$11:$AF$70,Classes!$AH$11:$AH$70,0)</f>
        <v>208333.33333333331</v>
      </c>
      <c r="AG47" s="265">
        <f>_xlfn.XLOOKUP(AG$3,Classes!$AF$11:$AF$70,Classes!$AO$11:$AO$70,0)*_xlfn.XLOOKUP(AG$3,Classes!$AF$11:$AF$70,Classes!$AH$11:$AH$70,0)</f>
        <v>208333.33333333331</v>
      </c>
      <c r="AH47" s="265">
        <f>_xlfn.XLOOKUP(AH$3,Classes!$AF$11:$AF$70,Classes!$AO$11:$AO$70,0)*_xlfn.XLOOKUP(AH$3,Classes!$AF$11:$AF$70,Classes!$AH$11:$AH$70,0)</f>
        <v>208333.33333333331</v>
      </c>
      <c r="AI47" s="265">
        <f>_xlfn.XLOOKUP(AI$3,Classes!$AF$11:$AF$70,Classes!$AO$11:$AO$70,0)*_xlfn.XLOOKUP(AI$3,Classes!$AF$11:$AF$70,Classes!$AH$11:$AH$70,0)</f>
        <v>208333.33333333331</v>
      </c>
      <c r="AJ47" s="265">
        <f>_xlfn.XLOOKUP(AJ$3,Classes!$AF$11:$AF$70,Classes!$AO$11:$AO$70,0)*_xlfn.XLOOKUP(AJ$3,Classes!$AF$11:$AF$70,Classes!$AH$11:$AH$70,0)</f>
        <v>208333.33333333331</v>
      </c>
      <c r="AK47" s="265">
        <f>_xlfn.XLOOKUP(AK$3,Classes!$AF$11:$AF$70,Classes!$AO$11:$AO$70,0)*_xlfn.XLOOKUP(AK$3,Classes!$AF$11:$AF$70,Classes!$AH$11:$AH$70,0)</f>
        <v>208333.33333333331</v>
      </c>
      <c r="AL47" s="265">
        <f>_xlfn.XLOOKUP(AL$3,Classes!$AF$11:$AF$70,Classes!$AO$11:$AO$70,0)*_xlfn.XLOOKUP(AL$3,Classes!$AF$11:$AF$70,Classes!$AH$11:$AH$70,0)</f>
        <v>208333.33333333331</v>
      </c>
      <c r="AM47" s="265">
        <f>_xlfn.XLOOKUP(AM$3,Classes!$AF$11:$AF$70,Classes!$AO$11:$AO$70,0)*_xlfn.XLOOKUP(AM$3,Classes!$AF$11:$AF$70,Classes!$AH$11:$AH$70,0)</f>
        <v>208333.33333333331</v>
      </c>
      <c r="AN47" s="265">
        <f>_xlfn.XLOOKUP(AN$3,Classes!$AF$11:$AF$70,Classes!$AO$11:$AO$70,0)*_xlfn.XLOOKUP(AN$3,Classes!$AF$11:$AF$70,Classes!$AH$11:$AH$70,0)</f>
        <v>0</v>
      </c>
      <c r="AO47" s="265">
        <f>_xlfn.XLOOKUP(AO$3,Classes!$AF$11:$AF$70,Classes!$AO$11:$AO$70,0)*_xlfn.XLOOKUP(AO$3,Classes!$AF$11:$AF$70,Classes!$AH$11:$AH$70,0)</f>
        <v>0</v>
      </c>
      <c r="AP47" s="265">
        <f>_xlfn.XLOOKUP(AP$3,Classes!$AF$11:$AF$70,Classes!$AO$11:$AO$70,0)*_xlfn.XLOOKUP(AP$3,Classes!$AF$11:$AF$70,Classes!$AH$11:$AH$70,0)</f>
        <v>0</v>
      </c>
      <c r="AQ47" s="265">
        <f>_xlfn.XLOOKUP(AQ$3,Classes!$AF$11:$AF$70,Classes!$AO$11:$AO$70,0)*_xlfn.XLOOKUP(AQ$3,Classes!$AF$11:$AF$70,Classes!$AH$11:$AH$70,0)</f>
        <v>0</v>
      </c>
      <c r="AR47" s="265">
        <f>_xlfn.XLOOKUP(AR$3,Classes!$AF$11:$AF$70,Classes!$AO$11:$AO$70,0)*_xlfn.XLOOKUP(AR$3,Classes!$AF$11:$AF$70,Classes!$AH$11:$AH$70,0)</f>
        <v>0</v>
      </c>
      <c r="AS47" s="265">
        <f>_xlfn.XLOOKUP(AS$3,Classes!$AF$11:$AF$70,Classes!$AO$11:$AO$70,0)*_xlfn.XLOOKUP(AS$3,Classes!$AF$11:$AF$70,Classes!$AH$11:$AH$70,0)</f>
        <v>0</v>
      </c>
      <c r="AT47" s="265">
        <f>_xlfn.XLOOKUP(AT$3,Classes!$AF$11:$AF$70,Classes!$AO$11:$AO$70,0)*_xlfn.XLOOKUP(AT$3,Classes!$AF$11:$AF$70,Classes!$AH$11:$AH$70,0)</f>
        <v>0</v>
      </c>
      <c r="AU47" s="265">
        <f>_xlfn.XLOOKUP(AU$3,Classes!$AF$11:$AF$70,Classes!$AO$11:$AO$70,0)*_xlfn.XLOOKUP(AU$3,Classes!$AF$11:$AF$70,Classes!$AH$11:$AH$70,0)</f>
        <v>0</v>
      </c>
      <c r="AV47" s="265">
        <f>_xlfn.XLOOKUP(AV$3,Classes!$AF$11:$AF$70,Classes!$AO$11:$AO$70,0)*_xlfn.XLOOKUP(AV$3,Classes!$AF$11:$AF$70,Classes!$AH$11:$AH$70,0)</f>
        <v>0</v>
      </c>
      <c r="AW47" s="265">
        <f>_xlfn.XLOOKUP(AW$3,Classes!$AF$11:$AF$70,Classes!$AO$11:$AO$70,0)*_xlfn.XLOOKUP(AW$3,Classes!$AF$11:$AF$70,Classes!$AH$11:$AH$70,0)</f>
        <v>0</v>
      </c>
      <c r="AX47" s="265">
        <f>_xlfn.XLOOKUP(AX$3,Classes!$AF$11:$AF$70,Classes!$AO$11:$AO$70,0)*_xlfn.XLOOKUP(AX$3,Classes!$AF$11:$AF$70,Classes!$AH$11:$AH$70,0)</f>
        <v>0</v>
      </c>
      <c r="AY47" s="265">
        <f>_xlfn.XLOOKUP(AY$3,Classes!$AF$11:$AF$70,Classes!$AO$11:$AO$70,0)*_xlfn.XLOOKUP(AY$3,Classes!$AF$11:$AF$70,Classes!$AH$11:$AH$70,0)</f>
        <v>0</v>
      </c>
      <c r="AZ47" s="265">
        <f>_xlfn.XLOOKUP(AZ$3,Classes!$AF$11:$AF$70,Classes!$AO$11:$AO$70,0)*_xlfn.XLOOKUP(AZ$3,Classes!$AF$11:$AF$70,Classes!$AH$11:$AH$70,0)</f>
        <v>0</v>
      </c>
      <c r="BA47" s="265">
        <f>_xlfn.XLOOKUP(BA$3,Classes!$AF$11:$AF$70,Classes!$AO$11:$AO$70,0)*_xlfn.XLOOKUP(BA$3,Classes!$AF$11:$AF$70,Classes!$AH$11:$AH$70,0)</f>
        <v>0</v>
      </c>
      <c r="BB47" s="265">
        <f>_xlfn.XLOOKUP(BB$3,Classes!$AF$11:$AF$70,Classes!$AO$11:$AO$70,0)*_xlfn.XLOOKUP(BB$3,Classes!$AF$11:$AF$70,Classes!$AH$11:$AH$70,0)</f>
        <v>0</v>
      </c>
      <c r="BC47" s="265">
        <f>_xlfn.XLOOKUP(BC$3,Classes!$AF$11:$AF$70,Classes!$AO$11:$AO$70,0)*_xlfn.XLOOKUP(BC$3,Classes!$AF$11:$AF$70,Classes!$AH$11:$AH$70,0)</f>
        <v>0</v>
      </c>
      <c r="BD47" s="265">
        <f>_xlfn.XLOOKUP(BD$3,Classes!$AF$11:$AF$70,Classes!$AO$11:$AO$70,0)*_xlfn.XLOOKUP(BD$3,Classes!$AF$11:$AF$70,Classes!$AH$11:$AH$70,0)</f>
        <v>0</v>
      </c>
      <c r="BE47" s="265">
        <f>_xlfn.XLOOKUP(BE$3,Classes!$AF$11:$AF$70,Classes!$AO$11:$AO$70,0)*_xlfn.XLOOKUP(BE$3,Classes!$AF$11:$AF$70,Classes!$AH$11:$AH$70,0)</f>
        <v>0</v>
      </c>
      <c r="BF47" s="265">
        <f>_xlfn.XLOOKUP(BF$3,Classes!$AF$11:$AF$70,Classes!$AO$11:$AO$70,0)*_xlfn.XLOOKUP(BF$3,Classes!$AF$11:$AF$70,Classes!$AH$11:$AH$70,0)</f>
        <v>0</v>
      </c>
      <c r="BG47" s="265">
        <f>_xlfn.XLOOKUP(BG$3,Classes!$AF$11:$AF$70,Classes!$AO$11:$AO$70,0)*_xlfn.XLOOKUP(BG$3,Classes!$AF$11:$AF$70,Classes!$AH$11:$AH$70,0)</f>
        <v>0</v>
      </c>
      <c r="BH47" s="265">
        <f>_xlfn.XLOOKUP(BH$3,Classes!$AF$11:$AF$70,Classes!$AO$11:$AO$70,0)*_xlfn.XLOOKUP(BH$3,Classes!$AF$11:$AF$70,Classes!$AH$11:$AH$70,0)</f>
        <v>0</v>
      </c>
      <c r="BI47" s="265">
        <f>_xlfn.XLOOKUP(BI$3,Classes!$AF$11:$AF$70,Classes!$AO$11:$AO$70,0)*_xlfn.XLOOKUP(BI$3,Classes!$AF$11:$AF$70,Classes!$AH$11:$AH$70,0)</f>
        <v>0</v>
      </c>
      <c r="BJ47" s="265">
        <f>_xlfn.XLOOKUP(BJ$3,Classes!$AF$11:$AF$70,Classes!$AO$11:$AO$70,0)*_xlfn.XLOOKUP(BJ$3,Classes!$AF$11:$AF$70,Classes!$AH$11:$AH$70,0)</f>
        <v>0</v>
      </c>
      <c r="BK47" s="265">
        <f>_xlfn.XLOOKUP(BK$3,Classes!$AF$11:$AF$70,Classes!$AO$11:$AO$70,0)*_xlfn.XLOOKUP(BK$3,Classes!$AF$11:$AF$70,Classes!$AH$11:$AH$70,0)</f>
        <v>0</v>
      </c>
    </row>
    <row r="48" spans="2:63" x14ac:dyDescent="0.3">
      <c r="B48" s="30"/>
      <c r="C48" s="30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  <c r="AA48" s="227"/>
      <c r="AB48" s="227"/>
      <c r="AC48" s="227"/>
      <c r="AD48" s="227"/>
      <c r="AE48" s="227"/>
      <c r="AF48" s="227"/>
      <c r="AG48" s="227"/>
      <c r="AH48" s="227"/>
      <c r="AI48" s="227"/>
      <c r="AJ48" s="227"/>
      <c r="AK48" s="227"/>
      <c r="AL48" s="227"/>
      <c r="AM48" s="227"/>
      <c r="AN48" s="227"/>
      <c r="AO48" s="227"/>
      <c r="AP48" s="227"/>
      <c r="AQ48" s="227"/>
      <c r="AR48" s="227"/>
      <c r="AS48" s="227"/>
      <c r="AT48" s="227"/>
      <c r="AU48" s="227"/>
      <c r="AV48" s="227"/>
      <c r="AW48" s="227"/>
      <c r="AX48" s="227"/>
      <c r="AY48" s="227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  <c r="BJ48" s="227"/>
      <c r="BK48" s="227"/>
    </row>
    <row r="49" spans="2:66" x14ac:dyDescent="0.3">
      <c r="B49" s="228" t="s">
        <v>113</v>
      </c>
      <c r="C49" s="157"/>
      <c r="D49" s="266">
        <f>SUM(D50:D51)</f>
        <v>0</v>
      </c>
      <c r="E49" s="266">
        <f t="shared" ref="E49:BK49" si="14">SUM(E50:E51)</f>
        <v>0</v>
      </c>
      <c r="F49" s="266">
        <f t="shared" si="14"/>
        <v>0</v>
      </c>
      <c r="G49" s="266">
        <f t="shared" si="14"/>
        <v>0</v>
      </c>
      <c r="H49" s="266">
        <f t="shared" si="14"/>
        <v>0</v>
      </c>
      <c r="I49" s="266">
        <f t="shared" si="14"/>
        <v>0</v>
      </c>
      <c r="J49" s="266">
        <f t="shared" si="14"/>
        <v>0</v>
      </c>
      <c r="K49" s="266">
        <f t="shared" si="14"/>
        <v>0</v>
      </c>
      <c r="L49" s="266">
        <f t="shared" si="14"/>
        <v>0</v>
      </c>
      <c r="M49" s="266">
        <f t="shared" si="14"/>
        <v>0</v>
      </c>
      <c r="N49" s="266">
        <f t="shared" si="14"/>
        <v>0</v>
      </c>
      <c r="O49" s="266">
        <f t="shared" si="14"/>
        <v>0</v>
      </c>
      <c r="P49" s="266">
        <f t="shared" si="14"/>
        <v>0</v>
      </c>
      <c r="Q49" s="266">
        <f t="shared" si="14"/>
        <v>0</v>
      </c>
      <c r="R49" s="266">
        <f t="shared" si="14"/>
        <v>0</v>
      </c>
      <c r="S49" s="266">
        <f t="shared" si="14"/>
        <v>0</v>
      </c>
      <c r="T49" s="266">
        <f t="shared" si="14"/>
        <v>0</v>
      </c>
      <c r="U49" s="266">
        <f t="shared" si="14"/>
        <v>0</v>
      </c>
      <c r="V49" s="266">
        <f t="shared" si="14"/>
        <v>0</v>
      </c>
      <c r="W49" s="266">
        <f t="shared" si="14"/>
        <v>0</v>
      </c>
      <c r="X49" s="266">
        <f t="shared" si="14"/>
        <v>0</v>
      </c>
      <c r="Y49" s="266">
        <f t="shared" si="14"/>
        <v>0</v>
      </c>
      <c r="Z49" s="266">
        <f t="shared" si="14"/>
        <v>0</v>
      </c>
      <c r="AA49" s="266">
        <f t="shared" si="14"/>
        <v>0</v>
      </c>
      <c r="AB49" s="266">
        <f t="shared" si="14"/>
        <v>0</v>
      </c>
      <c r="AC49" s="266">
        <f t="shared" si="14"/>
        <v>0</v>
      </c>
      <c r="AD49" s="266">
        <f t="shared" si="14"/>
        <v>0</v>
      </c>
      <c r="AE49" s="266">
        <f t="shared" si="14"/>
        <v>0</v>
      </c>
      <c r="AF49" s="266">
        <f t="shared" si="14"/>
        <v>0</v>
      </c>
      <c r="AG49" s="266">
        <f t="shared" si="14"/>
        <v>0</v>
      </c>
      <c r="AH49" s="266">
        <f t="shared" si="14"/>
        <v>0</v>
      </c>
      <c r="AI49" s="266">
        <f t="shared" si="14"/>
        <v>0</v>
      </c>
      <c r="AJ49" s="266">
        <f t="shared" si="14"/>
        <v>0</v>
      </c>
      <c r="AK49" s="266">
        <f t="shared" si="14"/>
        <v>0</v>
      </c>
      <c r="AL49" s="266">
        <f t="shared" si="14"/>
        <v>0</v>
      </c>
      <c r="AM49" s="266">
        <f t="shared" si="14"/>
        <v>0</v>
      </c>
      <c r="AN49" s="266">
        <f t="shared" si="14"/>
        <v>0</v>
      </c>
      <c r="AO49" s="266">
        <f t="shared" si="14"/>
        <v>0</v>
      </c>
      <c r="AP49" s="266">
        <f t="shared" si="14"/>
        <v>0</v>
      </c>
      <c r="AQ49" s="266">
        <f t="shared" si="14"/>
        <v>0</v>
      </c>
      <c r="AR49" s="266">
        <f t="shared" si="14"/>
        <v>0</v>
      </c>
      <c r="AS49" s="266">
        <f t="shared" si="14"/>
        <v>0</v>
      </c>
      <c r="AT49" s="266">
        <f t="shared" si="14"/>
        <v>0</v>
      </c>
      <c r="AU49" s="266">
        <f t="shared" si="14"/>
        <v>0</v>
      </c>
      <c r="AV49" s="266">
        <f t="shared" si="14"/>
        <v>0</v>
      </c>
      <c r="AW49" s="266">
        <f t="shared" si="14"/>
        <v>0</v>
      </c>
      <c r="AX49" s="266">
        <f t="shared" si="14"/>
        <v>0</v>
      </c>
      <c r="AY49" s="266">
        <f t="shared" si="14"/>
        <v>0</v>
      </c>
      <c r="AZ49" s="266">
        <f t="shared" si="14"/>
        <v>0</v>
      </c>
      <c r="BA49" s="266">
        <f t="shared" si="14"/>
        <v>0</v>
      </c>
      <c r="BB49" s="266">
        <f t="shared" si="14"/>
        <v>0</v>
      </c>
      <c r="BC49" s="266">
        <f t="shared" si="14"/>
        <v>0</v>
      </c>
      <c r="BD49" s="266">
        <f t="shared" si="14"/>
        <v>0</v>
      </c>
      <c r="BE49" s="266">
        <f t="shared" si="14"/>
        <v>0</v>
      </c>
      <c r="BF49" s="266">
        <f t="shared" si="14"/>
        <v>0</v>
      </c>
      <c r="BG49" s="266">
        <f t="shared" si="14"/>
        <v>0</v>
      </c>
      <c r="BH49" s="266">
        <f t="shared" si="14"/>
        <v>0</v>
      </c>
      <c r="BI49" s="266">
        <f t="shared" si="14"/>
        <v>0</v>
      </c>
      <c r="BJ49" s="266">
        <f t="shared" si="14"/>
        <v>0</v>
      </c>
      <c r="BK49" s="266">
        <f t="shared" si="14"/>
        <v>0</v>
      </c>
    </row>
    <row r="50" spans="2:66" x14ac:dyDescent="0.3">
      <c r="B50" s="122" t="s">
        <v>169</v>
      </c>
      <c r="C50" s="157"/>
      <c r="D50" s="265">
        <f>_xlfn.XLOOKUP(D3,Classes!$AU$11:$AU$70,Classes!$BA$11:$BA$70,0)*_xlfn.XLOOKUP(D3,Classes!$AU$11:$AU$70,Classes!$AW$11:$AW$70,0)</f>
        <v>0</v>
      </c>
      <c r="E50" s="265">
        <f>_xlfn.XLOOKUP(E7,Classes!$AU$11:$AU$70,Classes!$BA$11:$BA$70,0)</f>
        <v>0</v>
      </c>
      <c r="F50" s="265">
        <f>_xlfn.XLOOKUP(F7,Classes!$AU$11:$AU$70,Classes!$BA$11:$BA$70,0)</f>
        <v>0</v>
      </c>
      <c r="G50" s="265">
        <f>_xlfn.XLOOKUP(G7,Classes!$AU$11:$AU$70,Classes!$BA$11:$BA$70,0)</f>
        <v>0</v>
      </c>
      <c r="H50" s="265">
        <f>_xlfn.XLOOKUP(H7,Classes!$AU$11:$AU$70,Classes!$BA$11:$BA$70,0)</f>
        <v>0</v>
      </c>
      <c r="I50" s="265">
        <f>_xlfn.XLOOKUP(I7,Classes!$AU$11:$AU$70,Classes!$BA$11:$BA$70,0)</f>
        <v>0</v>
      </c>
      <c r="J50" s="265">
        <f>_xlfn.XLOOKUP(J7,Classes!$AU$11:$AU$70,Classes!$BA$11:$BA$70,0)</f>
        <v>0</v>
      </c>
      <c r="K50" s="265">
        <f>_xlfn.XLOOKUP(K7,Classes!$AU$11:$AU$70,Classes!$BA$11:$BA$70,0)</f>
        <v>0</v>
      </c>
      <c r="L50" s="265">
        <f>_xlfn.XLOOKUP(L7,Classes!$AU$11:$AU$70,Classes!$BA$11:$BA$70,0)</f>
        <v>0</v>
      </c>
      <c r="M50" s="265">
        <f>_xlfn.XLOOKUP(M7,Classes!$AU$11:$AU$70,Classes!$BA$11:$BA$70,0)</f>
        <v>0</v>
      </c>
      <c r="N50" s="265">
        <f>_xlfn.XLOOKUP(N7,Classes!$AU$11:$AU$70,Classes!$BA$11:$BA$70,0)</f>
        <v>0</v>
      </c>
      <c r="O50" s="265">
        <f>_xlfn.XLOOKUP(O7,Classes!$AU$11:$AU$70,Classes!$BA$11:$BA$70,0)</f>
        <v>0</v>
      </c>
      <c r="P50" s="265">
        <f>_xlfn.XLOOKUP(P7,Classes!$AU$11:$AU$70,Classes!$BA$11:$BA$70,0)</f>
        <v>0</v>
      </c>
      <c r="Q50" s="265">
        <f>_xlfn.XLOOKUP(Q7,Classes!$AU$11:$AU$70,Classes!$BA$11:$BA$70,0)</f>
        <v>0</v>
      </c>
      <c r="R50" s="265">
        <f>_xlfn.XLOOKUP(R7,Classes!$AU$11:$AU$70,Classes!$BA$11:$BA$70,0)</f>
        <v>0</v>
      </c>
      <c r="S50" s="265">
        <f>_xlfn.XLOOKUP(S7,Classes!$AU$11:$AU$70,Classes!$BA$11:$BA$70,0)</f>
        <v>0</v>
      </c>
      <c r="T50" s="265">
        <f>_xlfn.XLOOKUP(T7,Classes!$AU$11:$AU$70,Classes!$BA$11:$BA$70,0)</f>
        <v>0</v>
      </c>
      <c r="U50" s="265">
        <f>_xlfn.XLOOKUP(U7,Classes!$AU$11:$AU$70,Classes!$BA$11:$BA$70,0)</f>
        <v>0</v>
      </c>
      <c r="V50" s="265">
        <f>_xlfn.XLOOKUP(V7,Classes!$AU$11:$AU$70,Classes!$BA$11:$BA$70,0)</f>
        <v>0</v>
      </c>
      <c r="W50" s="265">
        <f>_xlfn.XLOOKUP(W7,Classes!$AU$11:$AU$70,Classes!$BA$11:$BA$70,0)</f>
        <v>0</v>
      </c>
      <c r="X50" s="265">
        <f>_xlfn.XLOOKUP(X7,Classes!$AU$11:$AU$70,Classes!$BA$11:$BA$70,0)</f>
        <v>0</v>
      </c>
      <c r="Y50" s="265">
        <f>_xlfn.XLOOKUP(Y7,Classes!$AU$11:$AU$70,Classes!$BA$11:$BA$70,0)</f>
        <v>0</v>
      </c>
      <c r="Z50" s="265">
        <f>_xlfn.XLOOKUP(Z7,Classes!$AU$11:$AU$70,Classes!$BA$11:$BA$70,0)</f>
        <v>0</v>
      </c>
      <c r="AA50" s="265">
        <f>_xlfn.XLOOKUP(AA7,Classes!$AU$11:$AU$70,Classes!$BA$11:$BA$70,0)</f>
        <v>0</v>
      </c>
      <c r="AB50" s="265">
        <f>_xlfn.XLOOKUP(AB7,Classes!$AU$11:$AU$70,Classes!$BA$11:$BA$70,0)</f>
        <v>0</v>
      </c>
      <c r="AC50" s="265">
        <f>_xlfn.XLOOKUP(AC7,Classes!$AU$11:$AU$70,Classes!$BA$11:$BA$70,0)</f>
        <v>0</v>
      </c>
      <c r="AD50" s="265">
        <f>_xlfn.XLOOKUP(AD7,Classes!$AU$11:$AU$70,Classes!$BA$11:$BA$70,0)</f>
        <v>0</v>
      </c>
      <c r="AE50" s="265">
        <f>_xlfn.XLOOKUP(AE7,Classes!$AU$11:$AU$70,Classes!$BA$11:$BA$70,0)</f>
        <v>0</v>
      </c>
      <c r="AF50" s="265">
        <f>_xlfn.XLOOKUP(AF7,Classes!$AU$11:$AU$70,Classes!$BA$11:$BA$70,0)</f>
        <v>0</v>
      </c>
      <c r="AG50" s="265">
        <f>_xlfn.XLOOKUP(AG7,Classes!$AU$11:$AU$70,Classes!$BA$11:$BA$70,0)</f>
        <v>0</v>
      </c>
      <c r="AH50" s="265">
        <f>_xlfn.XLOOKUP(AH7,Classes!$AU$11:$AU$70,Classes!$BA$11:$BA$70,0)</f>
        <v>0</v>
      </c>
      <c r="AI50" s="265">
        <f>_xlfn.XLOOKUP(AI7,Classes!$AU$11:$AU$70,Classes!$BA$11:$BA$70,0)</f>
        <v>0</v>
      </c>
      <c r="AJ50" s="265">
        <f>_xlfn.XLOOKUP(AJ7,Classes!$AU$11:$AU$70,Classes!$BA$11:$BA$70,0)</f>
        <v>0</v>
      </c>
      <c r="AK50" s="265">
        <f>_xlfn.XLOOKUP(AK7,Classes!$AU$11:$AU$70,Classes!$BA$11:$BA$70,0)</f>
        <v>0</v>
      </c>
      <c r="AL50" s="265">
        <f>_xlfn.XLOOKUP(AL7,Classes!$AU$11:$AU$70,Classes!$BA$11:$BA$70,0)</f>
        <v>0</v>
      </c>
      <c r="AM50" s="265">
        <f>_xlfn.XLOOKUP(AM7,Classes!$AU$11:$AU$70,Classes!$BA$11:$BA$70,0)</f>
        <v>0</v>
      </c>
      <c r="AN50" s="265">
        <f>_xlfn.XLOOKUP(AN7,Classes!$AU$11:$AU$70,Classes!$BA$11:$BA$70,0)</f>
        <v>0</v>
      </c>
      <c r="AO50" s="265">
        <f>_xlfn.XLOOKUP(AO7,Classes!$AU$11:$AU$70,Classes!$BA$11:$BA$70,0)</f>
        <v>0</v>
      </c>
      <c r="AP50" s="265">
        <f>_xlfn.XLOOKUP(AP7,Classes!$AU$11:$AU$70,Classes!$BA$11:$BA$70,0)</f>
        <v>0</v>
      </c>
      <c r="AQ50" s="265">
        <f>_xlfn.XLOOKUP(AQ7,Classes!$AU$11:$AU$70,Classes!$BA$11:$BA$70,0)</f>
        <v>0</v>
      </c>
      <c r="AR50" s="265">
        <f>_xlfn.XLOOKUP(AR7,Classes!$AU$11:$AU$70,Classes!$BA$11:$BA$70,0)</f>
        <v>0</v>
      </c>
      <c r="AS50" s="265">
        <f>_xlfn.XLOOKUP(AS7,Classes!$AU$11:$AU$70,Classes!$BA$11:$BA$70,0)</f>
        <v>0</v>
      </c>
      <c r="AT50" s="265">
        <f>_xlfn.XLOOKUP(AT7,Classes!$AU$11:$AU$70,Classes!$BA$11:$BA$70,0)</f>
        <v>0</v>
      </c>
      <c r="AU50" s="265">
        <f>_xlfn.XLOOKUP(AU7,Classes!$AU$11:$AU$70,Classes!$BA$11:$BA$70,0)</f>
        <v>0</v>
      </c>
      <c r="AV50" s="265">
        <f>_xlfn.XLOOKUP(AV7,Classes!$AU$11:$AU$70,Classes!$BA$11:$BA$70,0)</f>
        <v>0</v>
      </c>
      <c r="AW50" s="265">
        <f>_xlfn.XLOOKUP(AW7,Classes!$AU$11:$AU$70,Classes!$BA$11:$BA$70,0)</f>
        <v>0</v>
      </c>
      <c r="AX50" s="265">
        <f>_xlfn.XLOOKUP(AX7,Classes!$AU$11:$AU$70,Classes!$BA$11:$BA$70,0)</f>
        <v>0</v>
      </c>
      <c r="AY50" s="265">
        <f>_xlfn.XLOOKUP(AY7,Classes!$AU$11:$AU$70,Classes!$BA$11:$BA$70,0)</f>
        <v>0</v>
      </c>
      <c r="AZ50" s="265">
        <f>_xlfn.XLOOKUP(AZ7,Classes!$AU$11:$AU$70,Classes!$BA$11:$BA$70,0)</f>
        <v>0</v>
      </c>
      <c r="BA50" s="265">
        <f>_xlfn.XLOOKUP(BA7,Classes!$AU$11:$AU$70,Classes!$BA$11:$BA$70,0)</f>
        <v>0</v>
      </c>
      <c r="BB50" s="265">
        <f>_xlfn.XLOOKUP(BB7,Classes!$AU$11:$AU$70,Classes!$BA$11:$BA$70,0)</f>
        <v>0</v>
      </c>
      <c r="BC50" s="265">
        <f>_xlfn.XLOOKUP(BC7,Classes!$AU$11:$AU$70,Classes!$BA$11:$BA$70,0)</f>
        <v>0</v>
      </c>
      <c r="BD50" s="265">
        <f>_xlfn.XLOOKUP(BD7,Classes!$AU$11:$AU$70,Classes!$BA$11:$BA$70,0)</f>
        <v>0</v>
      </c>
      <c r="BE50" s="265">
        <f>_xlfn.XLOOKUP(BE7,Classes!$AU$11:$AU$70,Classes!$BA$11:$BA$70,0)</f>
        <v>0</v>
      </c>
      <c r="BF50" s="265">
        <f>_xlfn.XLOOKUP(BF7,Classes!$AU$11:$AU$70,Classes!$BA$11:$BA$70,0)</f>
        <v>0</v>
      </c>
      <c r="BG50" s="265">
        <f>_xlfn.XLOOKUP(BG7,Classes!$AU$11:$AU$70,Classes!$BA$11:$BA$70,0)</f>
        <v>0</v>
      </c>
      <c r="BH50" s="265">
        <f>_xlfn.XLOOKUP(BH7,Classes!$AU$11:$AU$70,Classes!$BA$11:$BA$70,0)</f>
        <v>0</v>
      </c>
      <c r="BI50" s="265">
        <f>_xlfn.XLOOKUP(BI7,Classes!$AU$11:$AU$70,Classes!$BA$11:$BA$70,0)</f>
        <v>0</v>
      </c>
      <c r="BJ50" s="265">
        <f>_xlfn.XLOOKUP(BJ7,Classes!$AU$11:$AU$70,Classes!$BA$11:$BA$70,0)</f>
        <v>0</v>
      </c>
      <c r="BK50" s="265">
        <f>_xlfn.XLOOKUP(BK7,Classes!$AU$11:$AU$70,Classes!$BA$11:$BA$70,0)</f>
        <v>0</v>
      </c>
    </row>
    <row r="51" spans="2:66" x14ac:dyDescent="0.3">
      <c r="B51" s="122" t="s">
        <v>170</v>
      </c>
      <c r="C51" s="157"/>
      <c r="D51" s="265">
        <f>_xlfn.XLOOKUP(D3,Classes!$AU$11:$AU$70,Classes!$BD$11:$BD$70,0)*_xlfn.XLOOKUP(D3,Classes!$AU$11:$AU$70,Classes!$AW$11:$AW$70,0)</f>
        <v>0</v>
      </c>
      <c r="E51" s="265">
        <f>_xlfn.XLOOKUP(E3,Classes!$AU$11:$AU$70,Classes!$BD$11:$BD$70,0)</f>
        <v>0</v>
      </c>
      <c r="F51" s="265">
        <f>_xlfn.XLOOKUP(F3,Classes!$AU$11:$AU$70,Classes!$BD$11:$BD$70,0)</f>
        <v>0</v>
      </c>
      <c r="G51" s="265">
        <f>_xlfn.XLOOKUP(G3,Classes!$AU$11:$AU$70,Classes!$BD$11:$BD$70,0)</f>
        <v>0</v>
      </c>
      <c r="H51" s="265">
        <f>_xlfn.XLOOKUP(H3,Classes!$AU$11:$AU$70,Classes!$BD$11:$BD$70,0)</f>
        <v>0</v>
      </c>
      <c r="I51" s="265">
        <f>_xlfn.XLOOKUP(I3,Classes!$AU$11:$AU$70,Classes!$BD$11:$BD$70,0)</f>
        <v>0</v>
      </c>
      <c r="J51" s="265">
        <f>_xlfn.XLOOKUP(J3,Classes!$AU$11:$AU$70,Classes!$BD$11:$BD$70,0)</f>
        <v>0</v>
      </c>
      <c r="K51" s="265">
        <f>_xlfn.XLOOKUP(K3,Classes!$AU$11:$AU$70,Classes!$BD$11:$BD$70,0)</f>
        <v>0</v>
      </c>
      <c r="L51" s="265">
        <f>_xlfn.XLOOKUP(L3,Classes!$AU$11:$AU$70,Classes!$BD$11:$BD$70,0)</f>
        <v>0</v>
      </c>
      <c r="M51" s="265">
        <f>_xlfn.XLOOKUP(M3,Classes!$AU$11:$AU$70,Classes!$BD$11:$BD$70,0)</f>
        <v>0</v>
      </c>
      <c r="N51" s="265">
        <f>_xlfn.XLOOKUP(N3,Classes!$AU$11:$AU$70,Classes!$BD$11:$BD$70,0)</f>
        <v>0</v>
      </c>
      <c r="O51" s="265">
        <f>_xlfn.XLOOKUP(O3,Classes!$AU$11:$AU$70,Classes!$BD$11:$BD$70,0)</f>
        <v>0</v>
      </c>
      <c r="P51" s="265">
        <f>_xlfn.XLOOKUP(P3,Classes!$AU$11:$AU$70,Classes!$BD$11:$BD$70,0)</f>
        <v>0</v>
      </c>
      <c r="Q51" s="265">
        <f>_xlfn.XLOOKUP(Q3,Classes!$AU$11:$AU$70,Classes!$BD$11:$BD$70,0)</f>
        <v>0</v>
      </c>
      <c r="R51" s="265">
        <f>_xlfn.XLOOKUP(R3,Classes!$AU$11:$AU$70,Classes!$BD$11:$BD$70,0)</f>
        <v>0</v>
      </c>
      <c r="S51" s="265">
        <f>_xlfn.XLOOKUP(S3,Classes!$AU$11:$AU$70,Classes!$BD$11:$BD$70,0)</f>
        <v>0</v>
      </c>
      <c r="T51" s="265">
        <f>_xlfn.XLOOKUP(T3,Classes!$AU$11:$AU$70,Classes!$BD$11:$BD$70,0)</f>
        <v>0</v>
      </c>
      <c r="U51" s="265">
        <f>_xlfn.XLOOKUP(U3,Classes!$AU$11:$AU$70,Classes!$BD$11:$BD$70,0)</f>
        <v>0</v>
      </c>
      <c r="V51" s="265">
        <f>_xlfn.XLOOKUP(V3,Classes!$AU$11:$AU$70,Classes!$BD$11:$BD$70,0)</f>
        <v>0</v>
      </c>
      <c r="W51" s="265">
        <f>_xlfn.XLOOKUP(W3,Classes!$AU$11:$AU$70,Classes!$BD$11:$BD$70,0)</f>
        <v>0</v>
      </c>
      <c r="X51" s="265">
        <f>_xlfn.XLOOKUP(X3,Classes!$AU$11:$AU$70,Classes!$BD$11:$BD$70,0)</f>
        <v>0</v>
      </c>
      <c r="Y51" s="265">
        <f>_xlfn.XLOOKUP(Y3,Classes!$AU$11:$AU$70,Classes!$BD$11:$BD$70,0)</f>
        <v>0</v>
      </c>
      <c r="Z51" s="265">
        <f>_xlfn.XLOOKUP(Z3,Classes!$AU$11:$AU$70,Classes!$BD$11:$BD$70,0)</f>
        <v>0</v>
      </c>
      <c r="AA51" s="265">
        <f>_xlfn.XLOOKUP(AA3,Classes!$AU$11:$AU$70,Classes!$BD$11:$BD$70,0)</f>
        <v>0</v>
      </c>
      <c r="AB51" s="265">
        <f>_xlfn.XLOOKUP(AB3,Classes!$AU$11:$AU$70,Classes!$BD$11:$BD$70,0)</f>
        <v>0</v>
      </c>
      <c r="AC51" s="265">
        <f>_xlfn.XLOOKUP(AC3,Classes!$AU$11:$AU$70,Classes!$BD$11:$BD$70,0)</f>
        <v>0</v>
      </c>
      <c r="AD51" s="265">
        <f>_xlfn.XLOOKUP(AD3,Classes!$AU$11:$AU$70,Classes!$BD$11:$BD$70,0)</f>
        <v>0</v>
      </c>
      <c r="AE51" s="265">
        <f>_xlfn.XLOOKUP(AE3,Classes!$AU$11:$AU$70,Classes!$BD$11:$BD$70,0)</f>
        <v>0</v>
      </c>
      <c r="AF51" s="265">
        <f>_xlfn.XLOOKUP(AF3,Classes!$AU$11:$AU$70,Classes!$BD$11:$BD$70,0)</f>
        <v>0</v>
      </c>
      <c r="AG51" s="265">
        <f>_xlfn.XLOOKUP(AG3,Classes!$AU$11:$AU$70,Classes!$BD$11:$BD$70,0)</f>
        <v>0</v>
      </c>
      <c r="AH51" s="265">
        <f>_xlfn.XLOOKUP(AH3,Classes!$AU$11:$AU$70,Classes!$BD$11:$BD$70,0)</f>
        <v>0</v>
      </c>
      <c r="AI51" s="265">
        <f>_xlfn.XLOOKUP(AI3,Classes!$AU$11:$AU$70,Classes!$BD$11:$BD$70,0)</f>
        <v>0</v>
      </c>
      <c r="AJ51" s="265">
        <f>_xlfn.XLOOKUP(AJ3,Classes!$AU$11:$AU$70,Classes!$BD$11:$BD$70,0)</f>
        <v>0</v>
      </c>
      <c r="AK51" s="265">
        <f>_xlfn.XLOOKUP(AK3,Classes!$AU$11:$AU$70,Classes!$BD$11:$BD$70,0)</f>
        <v>0</v>
      </c>
      <c r="AL51" s="265">
        <f>_xlfn.XLOOKUP(AL3,Classes!$AU$11:$AU$70,Classes!$BD$11:$BD$70,0)</f>
        <v>0</v>
      </c>
      <c r="AM51" s="265">
        <f>_xlfn.XLOOKUP(AM3,Classes!$AU$11:$AU$70,Classes!$BD$11:$BD$70,0)</f>
        <v>0</v>
      </c>
      <c r="AN51" s="265">
        <f>_xlfn.XLOOKUP(AN3,Classes!$AU$11:$AU$70,Classes!$BD$11:$BD$70,0)</f>
        <v>0</v>
      </c>
      <c r="AO51" s="265">
        <f>_xlfn.XLOOKUP(AO3,Classes!$AU$11:$AU$70,Classes!$BD$11:$BD$70,0)</f>
        <v>0</v>
      </c>
      <c r="AP51" s="265">
        <f>_xlfn.XLOOKUP(AP3,Classes!$AU$11:$AU$70,Classes!$BD$11:$BD$70,0)</f>
        <v>0</v>
      </c>
      <c r="AQ51" s="265">
        <f>_xlfn.XLOOKUP(AQ3,Classes!$AU$11:$AU$70,Classes!$BD$11:$BD$70,0)</f>
        <v>0</v>
      </c>
      <c r="AR51" s="265">
        <f>_xlfn.XLOOKUP(AR3,Classes!$AU$11:$AU$70,Classes!$BD$11:$BD$70,0)</f>
        <v>0</v>
      </c>
      <c r="AS51" s="265">
        <f>_xlfn.XLOOKUP(AS3,Classes!$AU$11:$AU$70,Classes!$BD$11:$BD$70,0)</f>
        <v>0</v>
      </c>
      <c r="AT51" s="265">
        <f>_xlfn.XLOOKUP(AT3,Classes!$AU$11:$AU$70,Classes!$BD$11:$BD$70,0)</f>
        <v>0</v>
      </c>
      <c r="AU51" s="265">
        <f>_xlfn.XLOOKUP(AU3,Classes!$AU$11:$AU$70,Classes!$BD$11:$BD$70,0)</f>
        <v>0</v>
      </c>
      <c r="AV51" s="265">
        <f>_xlfn.XLOOKUP(AV3,Classes!$AU$11:$AU$70,Classes!$BD$11:$BD$70,0)</f>
        <v>0</v>
      </c>
      <c r="AW51" s="265">
        <f>_xlfn.XLOOKUP(AW3,Classes!$AU$11:$AU$70,Classes!$BD$11:$BD$70,0)</f>
        <v>0</v>
      </c>
      <c r="AX51" s="265">
        <f>_xlfn.XLOOKUP(AX3,Classes!$AU$11:$AU$70,Classes!$BD$11:$BD$70,0)</f>
        <v>0</v>
      </c>
      <c r="AY51" s="265">
        <f>_xlfn.XLOOKUP(AY3,Classes!$AU$11:$AU$70,Classes!$BD$11:$BD$70,0)</f>
        <v>0</v>
      </c>
      <c r="AZ51" s="265">
        <f>_xlfn.XLOOKUP(AZ3,Classes!$AU$11:$AU$70,Classes!$BD$11:$BD$70,0)</f>
        <v>0</v>
      </c>
      <c r="BA51" s="265">
        <f>_xlfn.XLOOKUP(BA3,Classes!$AU$11:$AU$70,Classes!$BD$11:$BD$70,0)</f>
        <v>0</v>
      </c>
      <c r="BB51" s="265">
        <f>_xlfn.XLOOKUP(BB3,Classes!$AU$11:$AU$70,Classes!$BD$11:$BD$70,0)</f>
        <v>0</v>
      </c>
      <c r="BC51" s="265">
        <f>_xlfn.XLOOKUP(BC3,Classes!$AU$11:$AU$70,Classes!$BD$11:$BD$70,0)</f>
        <v>0</v>
      </c>
      <c r="BD51" s="265">
        <f>_xlfn.XLOOKUP(BD3,Classes!$AU$11:$AU$70,Classes!$BD$11:$BD$70,0)</f>
        <v>0</v>
      </c>
      <c r="BE51" s="265">
        <f>_xlfn.XLOOKUP(BE3,Classes!$AU$11:$AU$70,Classes!$BD$11:$BD$70,0)</f>
        <v>0</v>
      </c>
      <c r="BF51" s="265">
        <f>_xlfn.XLOOKUP(BF3,Classes!$AU$11:$AU$70,Classes!$BD$11:$BD$70,0)</f>
        <v>0</v>
      </c>
      <c r="BG51" s="265">
        <f>_xlfn.XLOOKUP(BG3,Classes!$AU$11:$AU$70,Classes!$BD$11:$BD$70,0)</f>
        <v>0</v>
      </c>
      <c r="BH51" s="265">
        <f>_xlfn.XLOOKUP(BH3,Classes!$AU$11:$AU$70,Classes!$BD$11:$BD$70,0)</f>
        <v>0</v>
      </c>
      <c r="BI51" s="265">
        <f>_xlfn.XLOOKUP(BI3,Classes!$AU$11:$AU$70,Classes!$BD$11:$BD$70,0)</f>
        <v>0</v>
      </c>
      <c r="BJ51" s="265">
        <f>_xlfn.XLOOKUP(BJ3,Classes!$AU$11:$AU$70,Classes!$BD$11:$BD$70,0)</f>
        <v>0</v>
      </c>
      <c r="BK51" s="265">
        <f>_xlfn.XLOOKUP(BK3,Classes!$AU$11:$AU$70,Classes!$BD$11:$BD$70,0)</f>
        <v>0</v>
      </c>
    </row>
    <row r="52" spans="2:66" x14ac:dyDescent="0.3">
      <c r="B52" s="30"/>
      <c r="O52" s="1"/>
    </row>
    <row r="53" spans="2:66" x14ac:dyDescent="0.3">
      <c r="B53" s="30"/>
      <c r="C53" s="154">
        <v>0</v>
      </c>
      <c r="D53" s="26">
        <v>1</v>
      </c>
      <c r="E53" s="26">
        <f t="shared" ref="E53:O53" si="15">D53+1</f>
        <v>2</v>
      </c>
      <c r="F53" s="26">
        <f t="shared" si="15"/>
        <v>3</v>
      </c>
      <c r="G53" s="26">
        <f t="shared" si="15"/>
        <v>4</v>
      </c>
      <c r="H53" s="26">
        <f t="shared" si="15"/>
        <v>5</v>
      </c>
      <c r="I53" s="26">
        <f t="shared" si="15"/>
        <v>6</v>
      </c>
      <c r="J53" s="26">
        <f t="shared" si="15"/>
        <v>7</v>
      </c>
      <c r="K53" s="26">
        <f t="shared" si="15"/>
        <v>8</v>
      </c>
      <c r="L53" s="26">
        <f t="shared" si="15"/>
        <v>9</v>
      </c>
      <c r="M53" s="26">
        <f t="shared" si="15"/>
        <v>10</v>
      </c>
      <c r="N53" s="26">
        <f t="shared" si="15"/>
        <v>11</v>
      </c>
      <c r="O53" s="26">
        <f t="shared" si="15"/>
        <v>12</v>
      </c>
      <c r="P53" s="26">
        <f>O53+1</f>
        <v>13</v>
      </c>
      <c r="Q53" s="26">
        <f t="shared" ref="Q53:BK53" si="16">P53+1</f>
        <v>14</v>
      </c>
      <c r="R53" s="26">
        <f t="shared" si="16"/>
        <v>15</v>
      </c>
      <c r="S53" s="26">
        <f t="shared" si="16"/>
        <v>16</v>
      </c>
      <c r="T53" s="26">
        <f t="shared" si="16"/>
        <v>17</v>
      </c>
      <c r="U53" s="26">
        <f t="shared" si="16"/>
        <v>18</v>
      </c>
      <c r="V53" s="26">
        <f t="shared" si="16"/>
        <v>19</v>
      </c>
      <c r="W53" s="26">
        <f t="shared" si="16"/>
        <v>20</v>
      </c>
      <c r="X53" s="26">
        <f t="shared" si="16"/>
        <v>21</v>
      </c>
      <c r="Y53" s="26">
        <f t="shared" si="16"/>
        <v>22</v>
      </c>
      <c r="Z53" s="26">
        <f t="shared" si="16"/>
        <v>23</v>
      </c>
      <c r="AA53" s="26">
        <f t="shared" si="16"/>
        <v>24</v>
      </c>
      <c r="AB53" s="26">
        <f t="shared" si="16"/>
        <v>25</v>
      </c>
      <c r="AC53" s="26">
        <f t="shared" si="16"/>
        <v>26</v>
      </c>
      <c r="AD53" s="26">
        <f t="shared" si="16"/>
        <v>27</v>
      </c>
      <c r="AE53" s="26">
        <f t="shared" si="16"/>
        <v>28</v>
      </c>
      <c r="AF53" s="26">
        <f t="shared" si="16"/>
        <v>29</v>
      </c>
      <c r="AG53" s="26">
        <f t="shared" si="16"/>
        <v>30</v>
      </c>
      <c r="AH53" s="26">
        <f t="shared" si="16"/>
        <v>31</v>
      </c>
      <c r="AI53" s="26">
        <f t="shared" si="16"/>
        <v>32</v>
      </c>
      <c r="AJ53" s="26">
        <f t="shared" si="16"/>
        <v>33</v>
      </c>
      <c r="AK53" s="26">
        <f t="shared" si="16"/>
        <v>34</v>
      </c>
      <c r="AL53" s="26">
        <f t="shared" si="16"/>
        <v>35</v>
      </c>
      <c r="AM53" s="26">
        <f t="shared" si="16"/>
        <v>36</v>
      </c>
      <c r="AN53" s="26">
        <f t="shared" si="16"/>
        <v>37</v>
      </c>
      <c r="AO53" s="26">
        <f t="shared" si="16"/>
        <v>38</v>
      </c>
      <c r="AP53" s="26">
        <f t="shared" si="16"/>
        <v>39</v>
      </c>
      <c r="AQ53" s="26">
        <f t="shared" si="16"/>
        <v>40</v>
      </c>
      <c r="AR53" s="26">
        <f t="shared" si="16"/>
        <v>41</v>
      </c>
      <c r="AS53" s="26">
        <f t="shared" si="16"/>
        <v>42</v>
      </c>
      <c r="AT53" s="26">
        <f t="shared" si="16"/>
        <v>43</v>
      </c>
      <c r="AU53" s="26">
        <f t="shared" si="16"/>
        <v>44</v>
      </c>
      <c r="AV53" s="26">
        <f t="shared" si="16"/>
        <v>45</v>
      </c>
      <c r="AW53" s="26">
        <f t="shared" si="16"/>
        <v>46</v>
      </c>
      <c r="AX53" s="26">
        <f t="shared" si="16"/>
        <v>47</v>
      </c>
      <c r="AY53" s="26">
        <f t="shared" si="16"/>
        <v>48</v>
      </c>
      <c r="AZ53" s="26">
        <f t="shared" si="16"/>
        <v>49</v>
      </c>
      <c r="BA53" s="26">
        <f t="shared" si="16"/>
        <v>50</v>
      </c>
      <c r="BB53" s="26">
        <f t="shared" si="16"/>
        <v>51</v>
      </c>
      <c r="BC53" s="26">
        <f t="shared" si="16"/>
        <v>52</v>
      </c>
      <c r="BD53" s="26">
        <f t="shared" si="16"/>
        <v>53</v>
      </c>
      <c r="BE53" s="26">
        <f t="shared" si="16"/>
        <v>54</v>
      </c>
      <c r="BF53" s="26">
        <f t="shared" si="16"/>
        <v>55</v>
      </c>
      <c r="BG53" s="26">
        <f t="shared" si="16"/>
        <v>56</v>
      </c>
      <c r="BH53" s="26">
        <f t="shared" si="16"/>
        <v>57</v>
      </c>
      <c r="BI53" s="26">
        <f t="shared" si="16"/>
        <v>58</v>
      </c>
      <c r="BJ53" s="26">
        <f t="shared" si="16"/>
        <v>59</v>
      </c>
      <c r="BK53" s="26">
        <f t="shared" si="16"/>
        <v>60</v>
      </c>
    </row>
    <row r="54" spans="2:66" x14ac:dyDescent="0.3">
      <c r="B54" s="145" t="s">
        <v>146</v>
      </c>
      <c r="C54" s="205">
        <v>0</v>
      </c>
      <c r="D54" s="146">
        <f>(D56)/C56-1</f>
        <v>1.4647969954770801E-3</v>
      </c>
      <c r="E54" s="146">
        <f t="shared" ref="E54:BK54" si="17">(E56-E6-E7-E8+E41+E45+E49)/D56-1</f>
        <v>1.065331618897325E-3</v>
      </c>
      <c r="F54" s="146">
        <f t="shared" si="17"/>
        <v>-2.3825938212418407E-3</v>
      </c>
      <c r="G54" s="146">
        <f t="shared" si="17"/>
        <v>2.5218606649065167E-2</v>
      </c>
      <c r="H54" s="146">
        <f t="shared" si="17"/>
        <v>2.4575641065732512E-2</v>
      </c>
      <c r="I54" s="146">
        <f t="shared" si="17"/>
        <v>2.3986579426556798E-2</v>
      </c>
      <c r="J54" s="146">
        <f t="shared" si="17"/>
        <v>2.7092222044484693E-2</v>
      </c>
      <c r="K54" s="146">
        <f t="shared" si="17"/>
        <v>2.4790767177682138E-2</v>
      </c>
      <c r="L54" s="146">
        <f t="shared" si="17"/>
        <v>2.4191469373711527E-2</v>
      </c>
      <c r="M54" s="146">
        <f t="shared" si="17"/>
        <v>2.7317872686311029E-2</v>
      </c>
      <c r="N54" s="146">
        <f t="shared" si="17"/>
        <v>2.4991695237664535E-2</v>
      </c>
      <c r="O54" s="146">
        <f t="shared" si="17"/>
        <v>2.438275923657951E-2</v>
      </c>
      <c r="P54" s="146">
        <f t="shared" si="17"/>
        <v>2.7773232679600968E-2</v>
      </c>
      <c r="Q54" s="146">
        <f t="shared" si="17"/>
        <v>2.5978864848275052E-2</v>
      </c>
      <c r="R54" s="146">
        <f t="shared" si="17"/>
        <v>2.5879289301875996E-2</v>
      </c>
      <c r="S54" s="146">
        <f t="shared" si="17"/>
        <v>2.7861417943825018E-2</v>
      </c>
      <c r="T54" s="146">
        <f t="shared" si="17"/>
        <v>2.59294946993609E-2</v>
      </c>
      <c r="U54" s="146">
        <f t="shared" si="17"/>
        <v>2.5836554604859341E-2</v>
      </c>
      <c r="V54" s="146">
        <f t="shared" si="17"/>
        <v>2.7958786176154771E-2</v>
      </c>
      <c r="W54" s="146">
        <f t="shared" si="17"/>
        <v>2.5877670126932761E-2</v>
      </c>
      <c r="X54" s="146">
        <f t="shared" si="17"/>
        <v>2.579572923525264E-2</v>
      </c>
      <c r="Y54" s="146">
        <f t="shared" si="17"/>
        <v>2.8059100042086227E-2</v>
      </c>
      <c r="Z54" s="146">
        <f t="shared" si="17"/>
        <v>2.5833166825579346E-2</v>
      </c>
      <c r="AA54" s="146">
        <f t="shared" si="17"/>
        <v>2.5760993543198385E-2</v>
      </c>
      <c r="AB54" s="146">
        <f t="shared" si="17"/>
        <v>2.8248471535063047E-2</v>
      </c>
      <c r="AC54" s="146">
        <f t="shared" si="17"/>
        <v>2.6079297578972538E-2</v>
      </c>
      <c r="AD54" s="146">
        <f t="shared" si="17"/>
        <v>2.6192129270203868E-2</v>
      </c>
      <c r="AE54" s="146">
        <f t="shared" si="17"/>
        <v>2.8310843919380657E-2</v>
      </c>
      <c r="AF54" s="146">
        <f t="shared" si="17"/>
        <v>2.5994805361747586E-2</v>
      </c>
      <c r="AG54" s="146">
        <f t="shared" si="17"/>
        <v>2.6120361798132041E-2</v>
      </c>
      <c r="AH54" s="146">
        <f t="shared" si="17"/>
        <v>2.8395574566832504E-2</v>
      </c>
      <c r="AI54" s="146">
        <f t="shared" si="17"/>
        <v>2.5910671653754935E-2</v>
      </c>
      <c r="AJ54" s="146">
        <f t="shared" si="17"/>
        <v>2.6039864240543054E-2</v>
      </c>
      <c r="AK54" s="146">
        <f t="shared" si="17"/>
        <v>2.8502407648075101E-2</v>
      </c>
      <c r="AL54" s="146">
        <f t="shared" si="17"/>
        <v>2.5824438381254922E-2</v>
      </c>
      <c r="AM54" s="146">
        <f t="shared" si="17"/>
        <v>2.5976760815726863E-2</v>
      </c>
      <c r="AN54" s="146">
        <f t="shared" si="17"/>
        <v>2.8368342435438842E-2</v>
      </c>
      <c r="AO54" s="146">
        <f t="shared" si="17"/>
        <v>2.5004994500317013E-2</v>
      </c>
      <c r="AP54" s="146">
        <f t="shared" si="17"/>
        <v>2.4689768576414028E-2</v>
      </c>
      <c r="AQ54" s="146">
        <f t="shared" si="17"/>
        <v>2.8548601576533938E-2</v>
      </c>
      <c r="AR54" s="146">
        <f t="shared" si="17"/>
        <v>2.5159506581138746E-2</v>
      </c>
      <c r="AS54" s="146">
        <f t="shared" si="17"/>
        <v>2.4838493987175969E-2</v>
      </c>
      <c r="AT54" s="146">
        <f t="shared" si="17"/>
        <v>2.8716266971739346E-2</v>
      </c>
      <c r="AU54" s="146">
        <f t="shared" si="17"/>
        <v>2.5303244662176816E-2</v>
      </c>
      <c r="AV54" s="146">
        <f t="shared" si="17"/>
        <v>2.4976976404897266E-2</v>
      </c>
      <c r="AW54" s="146">
        <f t="shared" si="17"/>
        <v>2.8872407622708041E-2</v>
      </c>
      <c r="AX54" s="146">
        <f t="shared" si="17"/>
        <v>2.5436838045004961E-2</v>
      </c>
      <c r="AY54" s="146">
        <f t="shared" si="17"/>
        <v>2.5105497048635739E-2</v>
      </c>
      <c r="AZ54" s="146">
        <f t="shared" si="17"/>
        <v>2.9017320110315881E-2</v>
      </c>
      <c r="BA54" s="146">
        <f t="shared" si="17"/>
        <v>2.5560986947828157E-2</v>
      </c>
      <c r="BB54" s="146">
        <f t="shared" si="17"/>
        <v>2.520986752336829E-2</v>
      </c>
      <c r="BC54" s="146">
        <f t="shared" si="17"/>
        <v>2.9137753901272267E-2</v>
      </c>
      <c r="BD54" s="146">
        <f t="shared" si="17"/>
        <v>2.5662683917272666E-2</v>
      </c>
      <c r="BE54" s="146">
        <f t="shared" si="17"/>
        <v>2.5321709497768463E-2</v>
      </c>
      <c r="BF54" s="146">
        <f t="shared" si="17"/>
        <v>2.9512991114667653E-2</v>
      </c>
      <c r="BG54" s="146">
        <f t="shared" si="17"/>
        <v>2.586724921905903E-2</v>
      </c>
      <c r="BH54" s="146">
        <f t="shared" si="17"/>
        <v>2.5423784017922113E-2</v>
      </c>
      <c r="BI54" s="146">
        <f t="shared" si="17"/>
        <v>2.7963717593706638E-2</v>
      </c>
      <c r="BJ54" s="146">
        <f t="shared" si="17"/>
        <v>2.7517309774300447E-2</v>
      </c>
      <c r="BK54" s="146">
        <f t="shared" si="17"/>
        <v>2.7089792456479245E-2</v>
      </c>
    </row>
    <row r="55" spans="2:66" x14ac:dyDescent="0.3">
      <c r="B55" s="145" t="s">
        <v>147</v>
      </c>
      <c r="C55" s="205">
        <v>0</v>
      </c>
      <c r="D55" s="146">
        <f>D59/D8-1</f>
        <v>-2.6185839059443827E-3</v>
      </c>
      <c r="E55" s="146">
        <f t="shared" ref="E55:O55" si="18">(E59-E8)/D59-1</f>
        <v>-1.2127114630990476E-2</v>
      </c>
      <c r="F55" s="146">
        <f t="shared" si="18"/>
        <v>-1.946111724280819E-2</v>
      </c>
      <c r="G55" s="146">
        <f t="shared" si="18"/>
        <v>3.8423356475738579E-2</v>
      </c>
      <c r="H55" s="146">
        <f t="shared" si="18"/>
        <v>3.4830610598155953E-2</v>
      </c>
      <c r="I55" s="146">
        <f t="shared" si="18"/>
        <v>3.4682706838812027E-2</v>
      </c>
      <c r="J55" s="146">
        <f t="shared" si="18"/>
        <v>4.1898166232778422E-2</v>
      </c>
      <c r="K55" s="146">
        <f t="shared" si="18"/>
        <v>3.5102777645314776E-2</v>
      </c>
      <c r="L55" s="146">
        <f t="shared" si="18"/>
        <v>3.3699636209867156E-2</v>
      </c>
      <c r="M55" s="146">
        <f t="shared" si="18"/>
        <v>4.0137558866504941E-2</v>
      </c>
      <c r="N55" s="146">
        <f t="shared" si="18"/>
        <v>3.4783630963725498E-2</v>
      </c>
      <c r="O55" s="146">
        <f t="shared" si="18"/>
        <v>3.3413643991757613E-2</v>
      </c>
      <c r="P55" s="146">
        <f>(P59-P8)/O59-1</f>
        <v>4.0130024213691495E-2</v>
      </c>
      <c r="Q55" s="146">
        <f t="shared" ref="Q55:BK55" si="19">(Q59-Q8)/P59-1</f>
        <v>3.5437609235684508E-2</v>
      </c>
      <c r="R55" s="146">
        <f t="shared" si="19"/>
        <v>3.504868707233233E-2</v>
      </c>
      <c r="S55" s="146">
        <f t="shared" si="19"/>
        <v>3.7752418385272657E-2</v>
      </c>
      <c r="T55" s="146">
        <f t="shared" si="19"/>
        <v>3.2946749978002954E-2</v>
      </c>
      <c r="U55" s="146">
        <f t="shared" si="19"/>
        <v>3.3059862973409349E-2</v>
      </c>
      <c r="V55" s="146">
        <f t="shared" si="19"/>
        <v>3.5829727290713098E-2</v>
      </c>
      <c r="W55" s="146">
        <f t="shared" si="19"/>
        <v>3.1351461889912224E-2</v>
      </c>
      <c r="X55" s="146">
        <f t="shared" si="19"/>
        <v>3.1748137126508036E-2</v>
      </c>
      <c r="Y55" s="146">
        <f t="shared" si="19"/>
        <v>3.3967989486991312E-2</v>
      </c>
      <c r="Z55" s="146">
        <f t="shared" si="19"/>
        <v>3.0322620925222088E-2</v>
      </c>
      <c r="AA55" s="146">
        <f t="shared" si="19"/>
        <v>3.0101940800063121E-2</v>
      </c>
      <c r="AB55" s="146">
        <f t="shared" si="19"/>
        <v>3.2622708787753085E-2</v>
      </c>
      <c r="AC55" s="146">
        <f t="shared" si="19"/>
        <v>2.9697052871660023E-2</v>
      </c>
      <c r="AD55" s="146">
        <f t="shared" si="19"/>
        <v>2.9412996307739192E-2</v>
      </c>
      <c r="AE55" s="146">
        <f t="shared" si="19"/>
        <v>3.1475443499561662E-2</v>
      </c>
      <c r="AF55" s="146">
        <f t="shared" si="19"/>
        <v>2.8375672394661544E-2</v>
      </c>
      <c r="AG55" s="146">
        <f t="shared" si="19"/>
        <v>2.804920075925077E-2</v>
      </c>
      <c r="AH55" s="146">
        <f t="shared" si="19"/>
        <v>3.0534367428343145E-2</v>
      </c>
      <c r="AI55" s="146">
        <f t="shared" si="19"/>
        <v>2.7183228162414252E-2</v>
      </c>
      <c r="AJ55" s="146">
        <f t="shared" si="19"/>
        <v>2.7165429506536665E-2</v>
      </c>
      <c r="AK55" s="146">
        <f t="shared" si="19"/>
        <v>2.9355359176918672E-2</v>
      </c>
      <c r="AL55" s="146">
        <f t="shared" si="19"/>
        <v>2.6317612654278122E-2</v>
      </c>
      <c r="AM55" s="146">
        <f t="shared" si="19"/>
        <v>2.6219952078550657E-2</v>
      </c>
      <c r="AN55" s="146">
        <f t="shared" si="19"/>
        <v>2.8368342435438842E-2</v>
      </c>
      <c r="AO55" s="146">
        <f t="shared" si="19"/>
        <v>2.5004994500317013E-2</v>
      </c>
      <c r="AP55" s="146">
        <f t="shared" si="19"/>
        <v>2.4689768576414028E-2</v>
      </c>
      <c r="AQ55" s="146">
        <f t="shared" si="19"/>
        <v>2.8548601576533938E-2</v>
      </c>
      <c r="AR55" s="146">
        <f t="shared" si="19"/>
        <v>2.5159506581138746E-2</v>
      </c>
      <c r="AS55" s="146">
        <f t="shared" si="19"/>
        <v>2.4838493987175969E-2</v>
      </c>
      <c r="AT55" s="146">
        <f t="shared" si="19"/>
        <v>2.8716266971739124E-2</v>
      </c>
      <c r="AU55" s="146">
        <f t="shared" si="19"/>
        <v>2.5303244662176816E-2</v>
      </c>
      <c r="AV55" s="146">
        <f t="shared" si="19"/>
        <v>2.4976976404897266E-2</v>
      </c>
      <c r="AW55" s="146">
        <f t="shared" si="19"/>
        <v>2.8872407622708041E-2</v>
      </c>
      <c r="AX55" s="146">
        <f t="shared" si="19"/>
        <v>2.5436838045004961E-2</v>
      </c>
      <c r="AY55" s="146">
        <f t="shared" si="19"/>
        <v>2.5105497048635739E-2</v>
      </c>
      <c r="AZ55" s="146">
        <f t="shared" si="19"/>
        <v>2.9017320110315881E-2</v>
      </c>
      <c r="BA55" s="146">
        <f t="shared" si="19"/>
        <v>2.5560986947828157E-2</v>
      </c>
      <c r="BB55" s="146">
        <f t="shared" si="19"/>
        <v>2.520986752336829E-2</v>
      </c>
      <c r="BC55" s="146">
        <f t="shared" si="19"/>
        <v>2.9137753901272267E-2</v>
      </c>
      <c r="BD55" s="146">
        <f t="shared" si="19"/>
        <v>2.5662683917272666E-2</v>
      </c>
      <c r="BE55" s="146">
        <f t="shared" si="19"/>
        <v>2.5321709497768463E-2</v>
      </c>
      <c r="BF55" s="146">
        <f t="shared" si="19"/>
        <v>2.9512991114667653E-2</v>
      </c>
      <c r="BG55" s="146">
        <f t="shared" si="19"/>
        <v>2.586724921905903E-2</v>
      </c>
      <c r="BH55" s="146">
        <f t="shared" si="19"/>
        <v>2.5423784017922113E-2</v>
      </c>
      <c r="BI55" s="146">
        <f t="shared" si="19"/>
        <v>2.7963717593706638E-2</v>
      </c>
      <c r="BJ55" s="146">
        <f t="shared" si="19"/>
        <v>2.7517309774300447E-2</v>
      </c>
      <c r="BK55" s="146">
        <f t="shared" si="19"/>
        <v>2.7089792456479245E-2</v>
      </c>
    </row>
    <row r="56" spans="2:66" x14ac:dyDescent="0.3">
      <c r="B56" s="132" t="s">
        <v>114</v>
      </c>
      <c r="C56" s="161">
        <f>Inputs!C11</f>
        <v>10000000</v>
      </c>
      <c r="D56" s="34">
        <f>D17+D19</f>
        <v>10014647.96995477</v>
      </c>
      <c r="E56" s="34">
        <f>E17+E19</f>
        <v>10025316.891089289</v>
      </c>
      <c r="F56" s="34">
        <f t="shared" ref="F56:BK56" si="20">F17+F19</f>
        <v>10001430.633008588</v>
      </c>
      <c r="G56" s="34">
        <f t="shared" si="20"/>
        <v>10253652.778070342</v>
      </c>
      <c r="H56" s="34">
        <f t="shared" si="20"/>
        <v>10505642.86835685</v>
      </c>
      <c r="I56" s="34">
        <f t="shared" si="20"/>
        <v>10757637.305445731</v>
      </c>
      <c r="J56" s="34">
        <f t="shared" si="20"/>
        <v>11049085.603998899</v>
      </c>
      <c r="K56" s="34">
        <f t="shared" si="20"/>
        <v>11323000.912733916</v>
      </c>
      <c r="L56" s="34">
        <f t="shared" si="20"/>
        <v>11596920.942532826</v>
      </c>
      <c r="M56" s="34">
        <f t="shared" si="20"/>
        <v>11913724.152394153</v>
      </c>
      <c r="N56" s="34">
        <f t="shared" si="20"/>
        <v>12211468.315556392</v>
      </c>
      <c r="O56" s="34">
        <f t="shared" si="20"/>
        <v>12509217.607419722</v>
      </c>
      <c r="P56" s="34">
        <f t="shared" si="20"/>
        <v>12575504.748196773</v>
      </c>
      <c r="Q56" s="34">
        <f t="shared" si="20"/>
        <v>12622600.890136722</v>
      </c>
      <c r="R56" s="34">
        <f t="shared" si="20"/>
        <v>12674416.618003432</v>
      </c>
      <c r="S56" s="34">
        <f t="shared" si="20"/>
        <v>12755844.340069547</v>
      </c>
      <c r="T56" s="34">
        <f t="shared" si="20"/>
        <v>12815666.171301946</v>
      </c>
      <c r="U56" s="34">
        <f t="shared" si="20"/>
        <v>12881446.388648715</v>
      </c>
      <c r="V56" s="34">
        <f t="shared" si="20"/>
        <v>12979466.839581635</v>
      </c>
      <c r="W56" s="34">
        <f t="shared" si="20"/>
        <v>13054947.256733816</v>
      </c>
      <c r="X56" s="34">
        <f t="shared" si="20"/>
        <v>13136658.886409696</v>
      </c>
      <c r="Y56" s="34">
        <f t="shared" si="20"/>
        <v>13252431.793095384</v>
      </c>
      <c r="Z56" s="34">
        <f t="shared" si="20"/>
        <v>13345376.735270534</v>
      </c>
      <c r="AA56" s="34">
        <f t="shared" si="20"/>
        <v>13443352.779749308</v>
      </c>
      <c r="AB56" s="34">
        <f t="shared" si="20"/>
        <v>13476149.270431727</v>
      </c>
      <c r="AC56" s="34">
        <f t="shared" si="20"/>
        <v>13489486.617069773</v>
      </c>
      <c r="AD56" s="34">
        <f t="shared" si="20"/>
        <v>13508876.439597875</v>
      </c>
      <c r="AE56" s="34">
        <f t="shared" si="20"/>
        <v>13559862.130414132</v>
      </c>
      <c r="AF56" s="34">
        <f t="shared" si="20"/>
        <v>13586829.887231994</v>
      </c>
      <c r="AG56" s="34">
        <f t="shared" si="20"/>
        <v>13619068.089596786</v>
      </c>
      <c r="AH56" s="34">
        <f t="shared" si="20"/>
        <v>13689887.383424796</v>
      </c>
      <c r="AI56" s="34">
        <f t="shared" si="20"/>
        <v>13730782.4590276</v>
      </c>
      <c r="AJ56" s="34">
        <f t="shared" si="20"/>
        <v>13780492.365606289</v>
      </c>
      <c r="AK56" s="34">
        <f t="shared" si="20"/>
        <v>13867736.789933819</v>
      </c>
      <c r="AL56" s="34">
        <f t="shared" si="20"/>
        <v>13925747.494742163</v>
      </c>
      <c r="AM56" s="34">
        <f t="shared" si="20"/>
        <v>13991627.765305694</v>
      </c>
      <c r="AN56" s="34">
        <f t="shared" si="20"/>
        <v>14388547.052981079</v>
      </c>
      <c r="AO56" s="34">
        <f t="shared" si="20"/>
        <v>14748332.592908423</v>
      </c>
      <c r="AP56" s="34">
        <f t="shared" si="20"/>
        <v>15112465.511515316</v>
      </c>
      <c r="AQ56" s="34">
        <f t="shared" si="20"/>
        <v>15543905.268242676</v>
      </c>
      <c r="AR56" s="34">
        <f t="shared" si="20"/>
        <v>15934982.255135626</v>
      </c>
      <c r="AS56" s="34">
        <f t="shared" si="20"/>
        <v>16330783.216065567</v>
      </c>
      <c r="AT56" s="34">
        <f t="shared" si="20"/>
        <v>16799742.346755706</v>
      </c>
      <c r="AU56" s="34">
        <f t="shared" si="20"/>
        <v>17224830.337617196</v>
      </c>
      <c r="AV56" s="34">
        <f t="shared" si="20"/>
        <v>17655054.518538218</v>
      </c>
      <c r="AW56" s="34">
        <f t="shared" si="20"/>
        <v>18164798.449198585</v>
      </c>
      <c r="AX56" s="34">
        <f t="shared" si="20"/>
        <v>18626853.485471006</v>
      </c>
      <c r="AY56" s="34">
        <f t="shared" si="20"/>
        <v>19094489.90067587</v>
      </c>
      <c r="AZ56" s="34">
        <f t="shared" si="20"/>
        <v>19648560.826466974</v>
      </c>
      <c r="BA56" s="34">
        <f t="shared" si="20"/>
        <v>20150797.433295902</v>
      </c>
      <c r="BB56" s="34">
        <f t="shared" si="20"/>
        <v>20658796.367079522</v>
      </c>
      <c r="BC56" s="34">
        <f t="shared" si="20"/>
        <v>21260747.291519985</v>
      </c>
      <c r="BD56" s="34">
        <f t="shared" si="20"/>
        <v>21806355.129107274</v>
      </c>
      <c r="BE56" s="34">
        <f t="shared" si="20"/>
        <v>22358529.3188917</v>
      </c>
      <c r="BF56" s="34">
        <f t="shared" si="20"/>
        <v>23018396.396017186</v>
      </c>
      <c r="BG56" s="34">
        <f t="shared" si="20"/>
        <v>23613818.992216054</v>
      </c>
      <c r="BH56" s="34">
        <f t="shared" si="20"/>
        <v>24214171.626112465</v>
      </c>
      <c r="BI56" s="34">
        <f t="shared" si="20"/>
        <v>24891289.883230619</v>
      </c>
      <c r="BJ56" s="34">
        <f t="shared" si="20"/>
        <v>25576231.217629384</v>
      </c>
      <c r="BK56" s="34">
        <f t="shared" si="20"/>
        <v>26269086.013133891</v>
      </c>
    </row>
    <row r="57" spans="2:66" x14ac:dyDescent="0.3">
      <c r="B57" s="30" t="s">
        <v>115</v>
      </c>
      <c r="C57" s="21">
        <f>Inputs!E20</f>
        <v>2500000</v>
      </c>
      <c r="D57" s="21">
        <f>_xlfn.XLOOKUP(D$3,Classes!$Q$11:$Q$70,Classes!$AC$11:$AC$70,0,-1)</f>
        <v>2513432.4847493754</v>
      </c>
      <c r="E57" s="21">
        <f>_xlfn.XLOOKUP(E$3,Classes!$Q$11:$Q$70,Classes!$AC$11:$AC$70,0,-1)</f>
        <v>2547864.0760800359</v>
      </c>
      <c r="F57" s="21">
        <f>_xlfn.XLOOKUP(F$3,Classes!$Q$11:$Q$70,Classes!$AC$11:$AC$70,0,-1)</f>
        <v>2582684.4764254796</v>
      </c>
      <c r="G57" s="21">
        <f>_xlfn.XLOOKUP(G$3,Classes!$Q$11:$Q$70,Classes!$AC$11:$AC$70,0,-1)</f>
        <v>2614892.4537885995</v>
      </c>
      <c r="H57" s="21">
        <f>_xlfn.XLOOKUP(H$3,Classes!$Q$11:$Q$70,Classes!$AC$11:$AC$70,0,-1)</f>
        <v>2652238.0911753783</v>
      </c>
      <c r="I57" s="21">
        <f>_xlfn.XLOOKUP(I$3,Classes!$Q$11:$Q$70,Classes!$AC$11:$AC$70,0,-1)</f>
        <v>2687001.7967507648</v>
      </c>
      <c r="J57" s="21">
        <f>_xlfn.XLOOKUP(J$3,Classes!$Q$11:$Q$70,Classes!$AC$11:$AC$70,0,-1)</f>
        <v>2719076.2464480409</v>
      </c>
      <c r="K57" s="21">
        <f>_xlfn.XLOOKUP(K$3,Classes!$Q$11:$Q$70,Classes!$AC$11:$AC$70,0,-1)</f>
        <v>2756479.6588441329</v>
      </c>
      <c r="L57" s="21">
        <f>_xlfn.XLOOKUP(L$3,Classes!$Q$11:$Q$70,Classes!$AC$11:$AC$70,0,-1)</f>
        <v>2794464.775307002</v>
      </c>
      <c r="M57" s="21">
        <f>_xlfn.XLOOKUP(M$3,Classes!$Q$11:$Q$70,Classes!$AC$11:$AC$70,0,-1)</f>
        <v>2831353.1663276642</v>
      </c>
      <c r="N57" s="21">
        <f>_xlfn.XLOOKUP(N$3,Classes!$Q$11:$Q$70,Classes!$AC$11:$AC$70,0,-1)</f>
        <v>2870462.0503902687</v>
      </c>
      <c r="O57" s="21">
        <f>_xlfn.XLOOKUP(O$3,Classes!$Q$11:$Q$70,Classes!$AC$11:$AC$70,0,-1)</f>
        <v>2910181.0618141</v>
      </c>
      <c r="P57" s="21">
        <f>_xlfn.XLOOKUP(P$3,Classes!$Q$11:$Q$70,Classes!$AC$11:$AC$70,0,-1)</f>
        <v>2667665.9733295916</v>
      </c>
      <c r="Q57" s="21">
        <f>_xlfn.XLOOKUP(Q$3,Classes!$Q$11:$Q$70,Classes!$AC$11:$AC$70,0,-1)</f>
        <v>2425150.8848450831</v>
      </c>
      <c r="R57" s="21">
        <f>_xlfn.XLOOKUP(R$3,Classes!$Q$11:$Q$70,Classes!$AC$11:$AC$70,0,-1)</f>
        <v>2182635.7963605747</v>
      </c>
      <c r="S57" s="21">
        <f>_xlfn.XLOOKUP(S$3,Classes!$Q$11:$Q$70,Classes!$AC$11:$AC$70,0,-1)</f>
        <v>1940120.7078760662</v>
      </c>
      <c r="T57" s="21">
        <f>_xlfn.XLOOKUP(T$3,Classes!$Q$11:$Q$70,Classes!$AC$11:$AC$70,0,-1)</f>
        <v>1697605.619391558</v>
      </c>
      <c r="U57" s="21">
        <f>_xlfn.XLOOKUP(U$3,Classes!$Q$11:$Q$70,Classes!$AC$11:$AC$70,0,-1)</f>
        <v>1455090.5309070495</v>
      </c>
      <c r="V57" s="21">
        <f>_xlfn.XLOOKUP(V$3,Classes!$Q$11:$Q$70,Classes!$AC$11:$AC$70,0,-1)</f>
        <v>1212575.4424225413</v>
      </c>
      <c r="W57" s="21">
        <f>_xlfn.XLOOKUP(W$3,Classes!$Q$11:$Q$70,Classes!$AC$11:$AC$70,0,-1)</f>
        <v>970060.35393803299</v>
      </c>
      <c r="X57" s="21">
        <f>_xlfn.XLOOKUP(X$3,Classes!$Q$11:$Q$70,Classes!$AC$11:$AC$70,0,-1)</f>
        <v>727545.26545352477</v>
      </c>
      <c r="Y57" s="21">
        <f>_xlfn.XLOOKUP(Y$3,Classes!$Q$11:$Q$70,Classes!$AC$11:$AC$70,0,-1)</f>
        <v>485030.17696901649</v>
      </c>
      <c r="Z57" s="21">
        <f>_xlfn.XLOOKUP(Z$3,Classes!$Q$11:$Q$70,Classes!$AC$11:$AC$70,0,-1)</f>
        <v>242515.08848450819</v>
      </c>
      <c r="AA57" s="21">
        <f>_xlfn.XLOOKUP(AA$3,Classes!$Q$11:$Q$70,Classes!$AC$11:$AC$70,0,-1)</f>
        <v>7.5495165674510645E-11</v>
      </c>
      <c r="AB57" s="21">
        <f>_xlfn.XLOOKUP(AB$3,Classes!$Q$11:$Q$70,Classes!$AC$11:$AC$70,0,-1)</f>
        <v>7.6618122175788732E-11</v>
      </c>
      <c r="AC57" s="21">
        <f>_xlfn.XLOOKUP(AC$3,Classes!$Q$11:$Q$70,Classes!$AC$11:$AC$70,0,-1)</f>
        <v>7.7662758687507142E-11</v>
      </c>
      <c r="AD57" s="21">
        <f>_xlfn.XLOOKUP(AD$3,Classes!$Q$11:$Q$70,Classes!$AC$11:$AC$70,0,-1)</f>
        <v>7.872283856477046E-11</v>
      </c>
      <c r="AE57" s="21">
        <f>_xlfn.XLOOKUP(AE$3,Classes!$Q$11:$Q$70,Classes!$AC$11:$AC$70,0,-1)</f>
        <v>7.9847214860733328E-11</v>
      </c>
      <c r="AF57" s="21">
        <f>_xlfn.XLOOKUP(AF$3,Classes!$Q$11:$Q$70,Classes!$AC$11:$AC$70,0,-1)</f>
        <v>8.093896304741753E-11</v>
      </c>
      <c r="AG57" s="21">
        <f>_xlfn.XLOOKUP(AG$3,Classes!$Q$11:$Q$70,Classes!$AC$11:$AC$70,0,-1)</f>
        <v>8.2096954231611184E-11</v>
      </c>
      <c r="AH57" s="21">
        <f>_xlfn.XLOOKUP(AH$3,Classes!$Q$11:$Q$70,Classes!$AC$11:$AC$70,0,-1)</f>
        <v>8.3169318590248881E-11</v>
      </c>
      <c r="AI57" s="21">
        <f>_xlfn.XLOOKUP(AI$3,Classes!$Q$11:$Q$70,Classes!$AC$11:$AC$70,0,-1)</f>
        <v>8.4361235604012003E-11</v>
      </c>
      <c r="AJ57" s="21">
        <f>_xlfn.XLOOKUP(AJ$3,Classes!$Q$11:$Q$70,Classes!$AC$11:$AC$70,0,-1)</f>
        <v>8.5465662700490825E-11</v>
      </c>
      <c r="AK57" s="21">
        <f>_xlfn.XLOOKUP(AK$3,Classes!$Q$11:$Q$70,Classes!$AC$11:$AC$70,0,-1)</f>
        <v>8.6745580712108873E-11</v>
      </c>
      <c r="AL57" s="21">
        <f>_xlfn.XLOOKUP(AL$3,Classes!$Q$11:$Q$70,Classes!$AC$11:$AC$70,0,-1)</f>
        <v>8.793634016903851E-11</v>
      </c>
      <c r="AM57" s="21">
        <f>_xlfn.XLOOKUP(AM$3,Classes!$Q$11:$Q$70,Classes!$AC$11:$AC$70,0,-1)</f>
        <v>8.9144803172549943E-11</v>
      </c>
      <c r="AN57" s="21">
        <f>_xlfn.XLOOKUP(AN$3,Classes!$Q$11:$Q$70,Classes!$AC$11:$AC$70,0,-1)</f>
        <v>9.0482826561668441E-11</v>
      </c>
      <c r="AO57" s="21">
        <f>_xlfn.XLOOKUP(AO$3,Classes!$Q$11:$Q$70,Classes!$AC$11:$AC$70,0,-1)</f>
        <v>9.1670727544283956E-11</v>
      </c>
      <c r="AP57" s="21">
        <f>_xlfn.XLOOKUP(AP$3,Classes!$Q$11:$Q$70,Classes!$AC$11:$AC$70,0,-1)</f>
        <v>9.2991143755921175E-11</v>
      </c>
      <c r="AQ57" s="21">
        <f>_xlfn.XLOOKUP(AQ$3,Classes!$Q$11:$Q$70,Classes!$AC$11:$AC$70,0,-1)</f>
        <v>9.4331329893925503E-11</v>
      </c>
      <c r="AR57" s="21">
        <f>_xlfn.XLOOKUP(AR$3,Classes!$Q$11:$Q$70,Classes!$AC$11:$AC$70,0,-1)</f>
        <v>9.5632044615062411E-11</v>
      </c>
      <c r="AS57" s="21">
        <f>_xlfn.XLOOKUP(AS$3,Classes!$Q$11:$Q$70,Classes!$AC$11:$AC$70,0,-1)</f>
        <v>9.7072275807395534E-11</v>
      </c>
      <c r="AT57" s="21">
        <f>_xlfn.XLOOKUP(AT$3,Classes!$Q$11:$Q$70,Classes!$AC$11:$AC$70,0,-1)</f>
        <v>9.8350259619494782E-11</v>
      </c>
      <c r="AU57" s="21">
        <f>_xlfn.XLOOKUP(AU$3,Classes!$Q$11:$Q$70,Classes!$AC$11:$AC$70,0,-1)</f>
        <v>9.9708667122988312E-11</v>
      </c>
      <c r="AV57" s="21">
        <f>_xlfn.XLOOKUP(AV$3,Classes!$Q$11:$Q$70,Classes!$AC$11:$AC$70,0,-1)</f>
        <v>1.0108737526233307E-10</v>
      </c>
      <c r="AW57" s="21">
        <f>_xlfn.XLOOKUP(AW$3,Classes!$Q$11:$Q$70,Classes!$AC$11:$AC$70,0,-1)</f>
        <v>1.0261317188706299E-10</v>
      </c>
      <c r="AX57" s="21">
        <f>_xlfn.XLOOKUP(AX$3,Classes!$Q$11:$Q$70,Classes!$AC$11:$AC$70,0,-1)</f>
        <v>1.0396712400559262E-10</v>
      </c>
      <c r="AY57" s="21">
        <f>_xlfn.XLOOKUP(AY$3,Classes!$Q$11:$Q$70,Classes!$AC$11:$AC$70,0,-1)</f>
        <v>1.054713696228811E-10</v>
      </c>
      <c r="AZ57" s="21">
        <f>_xlfn.XLOOKUP(AZ$3,Classes!$Q$11:$Q$70,Classes!$AC$11:$AC$70,0,-1)</f>
        <v>1.0699737937858135E-10</v>
      </c>
      <c r="BA57" s="21">
        <f>_xlfn.XLOOKUP(BA$3,Classes!$Q$11:$Q$70,Classes!$AC$11:$AC$70,0,-1)</f>
        <v>1.0841075447135157E-10</v>
      </c>
      <c r="BB57" s="21">
        <f>_xlfn.XLOOKUP(BB$3,Classes!$Q$11:$Q$70,Classes!$AC$11:$AC$70,0,-1)</f>
        <v>1.1004891571932872E-10</v>
      </c>
      <c r="BC57" s="21">
        <f>_xlfn.XLOOKUP(BC$3,Classes!$Q$11:$Q$70,Classes!$AC$11:$AC$70,0,-1)</f>
        <v>1.115731486501041E-10</v>
      </c>
      <c r="BD57" s="21">
        <f>_xlfn.XLOOKUP(BD$3,Classes!$Q$11:$Q$70,Classes!$AC$11:$AC$70,0,-1)</f>
        <v>1.1311849297495431E-10</v>
      </c>
      <c r="BE57" s="21">
        <f>_xlfn.XLOOKUP(BE$3,Classes!$Q$11:$Q$70,Classes!$AC$11:$AC$70,0,-1)</f>
        <v>1.1482874430363333E-10</v>
      </c>
      <c r="BF57" s="21">
        <f>_xlfn.XLOOKUP(BF$3,Classes!$Q$11:$Q$70,Classes!$AC$11:$AC$70,0,-1)</f>
        <v>1.1634641212763699E-10</v>
      </c>
      <c r="BG57" s="21">
        <f>_xlfn.XLOOKUP(BG$3,Classes!$Q$11:$Q$70,Classes!$AC$11:$AC$70,0,-1)</f>
        <v>1.1795786855665622E-10</v>
      </c>
      <c r="BH57" s="21">
        <f>_xlfn.XLOOKUP(BH$3,Classes!$Q$11:$Q$70,Classes!$AC$11:$AC$70,0,-1)</f>
        <v>1.196673939198122E-10</v>
      </c>
      <c r="BI57" s="21">
        <f>_xlfn.XLOOKUP(BI$3,Classes!$Q$11:$Q$70,Classes!$AC$11:$AC$70,0,-1)</f>
        <v>1.2140169488296024E-10</v>
      </c>
      <c r="BJ57" s="21">
        <f>_xlfn.XLOOKUP(BJ$3,Classes!$Q$11:$Q$70,Classes!$AC$11:$AC$70,0,-1)</f>
        <v>1.2300712913889749E-10</v>
      </c>
      <c r="BK57" s="21">
        <f>_xlfn.XLOOKUP(BK$3,Classes!$Q$11:$Q$70,Classes!$AC$11:$AC$70,0,-1)</f>
        <v>1.2486792400541674E-10</v>
      </c>
    </row>
    <row r="58" spans="2:66" x14ac:dyDescent="0.3">
      <c r="B58" s="30" t="s">
        <v>71</v>
      </c>
      <c r="C58" s="21">
        <f>Inputs!J20</f>
        <v>2500000</v>
      </c>
      <c r="D58" s="21">
        <f>_xlfn.XLOOKUP(D$3,Classes!$Q$11:$Q$70,Classes!$AR$11:$AR$70,0,-1)</f>
        <v>2514308.4047351172</v>
      </c>
      <c r="E58" s="21">
        <f>_xlfn.XLOOKUP(E$3,Classes!$Q$11:$Q$70,Classes!$AR$11:$AR$70,0,-1)</f>
        <v>2551022.5283579356</v>
      </c>
      <c r="F58" s="21">
        <f>_xlfn.XLOOKUP(F$3,Classes!$Q$11:$Q$70,Classes!$AR$11:$AR$70,0,-1)</f>
        <v>2588189.7073288336</v>
      </c>
      <c r="G58" s="21">
        <f>_xlfn.XLOOKUP(G$3,Classes!$Q$11:$Q$70,Classes!$AR$11:$AR$70,0,-1)</f>
        <v>2622597.682601593</v>
      </c>
      <c r="H58" s="21">
        <f>_xlfn.XLOOKUP(H$3,Classes!$Q$11:$Q$70,Classes!$AR$11:$AR$70,0,-1)</f>
        <v>2662526.1278319438</v>
      </c>
      <c r="I58" s="21">
        <f>_xlfn.XLOOKUP(I$3,Classes!$Q$11:$Q$70,Classes!$AR$11:$AR$70,0,-1)</f>
        <v>2699723.1369141997</v>
      </c>
      <c r="J58" s="21">
        <f>_xlfn.XLOOKUP(J$3,Classes!$Q$11:$Q$70,Classes!$AR$11:$AR$70,0,-1)</f>
        <v>2734065.6063955361</v>
      </c>
      <c r="K58" s="21">
        <f>_xlfn.XLOOKUP(K$3,Classes!$Q$11:$Q$70,Classes!$AR$11:$AR$70,0,-1)</f>
        <v>2774144.3335219673</v>
      </c>
      <c r="L58" s="21">
        <f>_xlfn.XLOOKUP(L$3,Classes!$Q$11:$Q$70,Classes!$AR$11:$AR$70,0,-1)</f>
        <v>2814878.2518511815</v>
      </c>
      <c r="M58" s="21">
        <f>_xlfn.XLOOKUP(M$3,Classes!$Q$11:$Q$70,Classes!$AR$11:$AR$70,0,-1)</f>
        <v>2854466.3096457105</v>
      </c>
      <c r="N58" s="21">
        <f>_xlfn.XLOOKUP(N$3,Classes!$Q$11:$Q$70,Classes!$AR$11:$AR$70,0,-1)</f>
        <v>2896472.4508034643</v>
      </c>
      <c r="O58" s="21">
        <f>_xlfn.XLOOKUP(O$3,Classes!$Q$11:$Q$70,Classes!$AR$11:$AR$70,0,-1)</f>
        <v>2939167.3726770058</v>
      </c>
      <c r="P58" s="21">
        <f>_xlfn.XLOOKUP(P$3,Classes!$Q$11:$Q$70,Classes!$AR$11:$AR$70,0,-1)</f>
        <v>2980708.8907689219</v>
      </c>
      <c r="Q58" s="21">
        <f>_xlfn.XLOOKUP(Q$3,Classes!$Q$11:$Q$70,Classes!$AR$11:$AR$70,0,-1)</f>
        <v>3024839.1992358733</v>
      </c>
      <c r="R58" s="21">
        <f>_xlfn.XLOOKUP(R$3,Classes!$Q$11:$Q$70,Classes!$AR$11:$AR$70,0,-1)</f>
        <v>3067779.4239540128</v>
      </c>
      <c r="S58" s="21">
        <f>_xlfn.XLOOKUP(S$3,Classes!$Q$11:$Q$70,Classes!$AR$11:$AR$70,0,-1)</f>
        <v>3111448.2276462396</v>
      </c>
      <c r="T58" s="21">
        <f>_xlfn.XLOOKUP(T$3,Classes!$Q$11:$Q$70,Classes!$AR$11:$AR$70,0,-1)</f>
        <v>3159954.3118478484</v>
      </c>
      <c r="U58" s="21">
        <f>_xlfn.XLOOKUP(U$3,Classes!$Q$11:$Q$70,Classes!$AR$11:$AR$70,0,-1)</f>
        <v>3205155.7158548259</v>
      </c>
      <c r="V58" s="21">
        <f>_xlfn.XLOOKUP(V$3,Classes!$Q$11:$Q$70,Classes!$AR$11:$AR$70,0,-1)</f>
        <v>3251127.8961860784</v>
      </c>
      <c r="W58" s="21">
        <f>_xlfn.XLOOKUP(W$3,Classes!$Q$11:$Q$70,Classes!$AR$11:$AR$70,0,-1)</f>
        <v>3302141.7669585044</v>
      </c>
      <c r="X58" s="21">
        <f>_xlfn.XLOOKUP(X$3,Classes!$Q$11:$Q$70,Classes!$AR$11:$AR$70,0,-1)</f>
        <v>3347532.6881991602</v>
      </c>
      <c r="Y58" s="21">
        <f>_xlfn.XLOOKUP(Y$3,Classes!$Q$11:$Q$70,Classes!$AR$11:$AR$70,0,-1)</f>
        <v>3398016.9975099466</v>
      </c>
      <c r="Z58" s="21">
        <f>_xlfn.XLOOKUP(Z$3,Classes!$Q$11:$Q$70,Classes!$AR$11:$AR$70,0,-1)</f>
        <v>3449372.7300766911</v>
      </c>
      <c r="AA58" s="21">
        <f>_xlfn.XLOOKUP(AA$3,Classes!$Q$11:$Q$70,Classes!$AR$11:$AR$70,0,-1)</f>
        <v>3499275.1111551239</v>
      </c>
      <c r="AB58" s="21">
        <f>_xlfn.XLOOKUP(AB$3,Classes!$Q$11:$Q$70,Classes!$AR$11:$AR$70,0,-1)</f>
        <v>3207668.851892197</v>
      </c>
      <c r="AC58" s="21">
        <f>_xlfn.XLOOKUP(AC$3,Classes!$Q$11:$Q$70,Classes!$AR$11:$AR$70,0,-1)</f>
        <v>2916062.5926292697</v>
      </c>
      <c r="AD58" s="21">
        <f>_xlfn.XLOOKUP(AD$3,Classes!$Q$11:$Q$70,Classes!$AR$11:$AR$70,0,-1)</f>
        <v>2624456.3333663428</v>
      </c>
      <c r="AE58" s="21">
        <f>_xlfn.XLOOKUP(AE$3,Classes!$Q$11:$Q$70,Classes!$AR$11:$AR$70,0,-1)</f>
        <v>2332850.0741034155</v>
      </c>
      <c r="AF58" s="21">
        <f>_xlfn.XLOOKUP(AF$3,Classes!$Q$11:$Q$70,Classes!$AR$11:$AR$70,0,-1)</f>
        <v>2041243.8148404879</v>
      </c>
      <c r="AG58" s="21">
        <f>_xlfn.XLOOKUP(AG$3,Classes!$Q$11:$Q$70,Classes!$AR$11:$AR$70,0,-1)</f>
        <v>1749637.5555775613</v>
      </c>
      <c r="AH58" s="21">
        <f>_xlfn.XLOOKUP(AH$3,Classes!$Q$11:$Q$70,Classes!$AR$11:$AR$70,0,-1)</f>
        <v>1458031.2963146341</v>
      </c>
      <c r="AI58" s="21">
        <f>_xlfn.XLOOKUP(AI$3,Classes!$Q$11:$Q$70,Classes!$AR$11:$AR$70,0,-1)</f>
        <v>1166425.037051707</v>
      </c>
      <c r="AJ58" s="21">
        <f>_xlfn.XLOOKUP(AJ$3,Classes!$Q$11:$Q$70,Classes!$AR$11:$AR$70,0,-1)</f>
        <v>874818.77778877981</v>
      </c>
      <c r="AK58" s="21">
        <f>_xlfn.XLOOKUP(AK$3,Classes!$Q$11:$Q$70,Classes!$AR$11:$AR$70,0,-1)</f>
        <v>583212.51852585294</v>
      </c>
      <c r="AL58" s="21">
        <f>_xlfn.XLOOKUP(AL$3,Classes!$Q$11:$Q$70,Classes!$AR$11:$AR$70,0,-1)</f>
        <v>291606.25926292583</v>
      </c>
      <c r="AM58" s="21">
        <f>_xlfn.XLOOKUP(AM$3,Classes!$Q$11:$Q$70,Classes!$AR$11:$AR$70,0,-1)</f>
        <v>-1.0480505352461478E-9</v>
      </c>
      <c r="AN58" s="21">
        <f>_xlfn.XLOOKUP(AN$3,Classes!$Q$11:$Q$70,Classes!$AR$11:$AR$70,0,-1)</f>
        <v>-1.0647701841253282E-9</v>
      </c>
      <c r="AO58" s="21">
        <f>_xlfn.XLOOKUP(AO$3,Classes!$Q$11:$Q$70,Classes!$AR$11:$AR$70,0,-1)</f>
        <v>-1.0796263817408656E-9</v>
      </c>
      <c r="AP58" s="21">
        <f>_xlfn.XLOOKUP(AP$3,Classes!$Q$11:$Q$70,Classes!$AR$11:$AR$70,0,-1)</f>
        <v>-1.0961528436389363E-9</v>
      </c>
      <c r="AQ58" s="21">
        <f>_xlfn.XLOOKUP(AQ$3,Classes!$Q$11:$Q$70,Classes!$AR$11:$AR$70,0,-1)</f>
        <v>-1.1129411434575047E-9</v>
      </c>
      <c r="AR58" s="21">
        <f>_xlfn.XLOOKUP(AR$3,Classes!$Q$11:$Q$70,Classes!$AR$11:$AR$70,0,-1)</f>
        <v>-1.1292486580510333E-9</v>
      </c>
      <c r="AS58" s="21">
        <f>_xlfn.XLOOKUP(AS$3,Classes!$Q$11:$Q$70,Classes!$AR$11:$AR$70,0,-1)</f>
        <v>-1.1473208406013141E-9</v>
      </c>
      <c r="AT58" s="21">
        <f>_xlfn.XLOOKUP(AT$3,Classes!$Q$11:$Q$70,Classes!$AR$11:$AR$70,0,-1)</f>
        <v>-1.163371095421495E-9</v>
      </c>
      <c r="AU58" s="21">
        <f>_xlfn.XLOOKUP(AU$3,Classes!$Q$11:$Q$70,Classes!$AR$11:$AR$70,0,-1)</f>
        <v>-1.1804444940950412E-9</v>
      </c>
      <c r="AV58" s="21">
        <f>_xlfn.XLOOKUP(AV$3,Classes!$Q$11:$Q$70,Classes!$AR$11:$AR$70,0,-1)</f>
        <v>-1.1977866870273079E-9</v>
      </c>
      <c r="AW58" s="21">
        <f>_xlfn.XLOOKUP(AW$3,Classes!$Q$11:$Q$70,Classes!$AR$11:$AR$70,0,-1)</f>
        <v>-1.2169961454962134E-9</v>
      </c>
      <c r="AX58" s="21">
        <f>_xlfn.XLOOKUP(AX$3,Classes!$Q$11:$Q$70,Classes!$AR$11:$AR$70,0,-1)</f>
        <v>-1.23405696800174E-9</v>
      </c>
      <c r="AY58" s="21">
        <f>_xlfn.XLOOKUP(AY$3,Classes!$Q$11:$Q$70,Classes!$AR$11:$AR$70,0,-1)</f>
        <v>-1.2530271435675517E-9</v>
      </c>
      <c r="AZ58" s="21">
        <f>_xlfn.XLOOKUP(AZ$3,Classes!$Q$11:$Q$70,Classes!$AR$11:$AR$70,0,-1)</f>
        <v>-1.2722889325437075E-9</v>
      </c>
      <c r="BA58" s="21">
        <f>_xlfn.XLOOKUP(BA$3,Classes!$Q$11:$Q$70,Classes!$AR$11:$AR$70,0,-1)</f>
        <v>-1.290143631766879E-9</v>
      </c>
      <c r="BB58" s="21">
        <f>_xlfn.XLOOKUP(BB$3,Classes!$Q$11:$Q$70,Classes!$AR$11:$AR$70,0,-1)</f>
        <v>-1.31085602024987E-9</v>
      </c>
      <c r="BC58" s="21">
        <f>_xlfn.XLOOKUP(BC$3,Classes!$Q$11:$Q$70,Classes!$AR$11:$AR$70,0,-1)</f>
        <v>-1.3301444776379062E-9</v>
      </c>
      <c r="BD58" s="21">
        <f>_xlfn.XLOOKUP(BD$3,Classes!$Q$11:$Q$70,Classes!$AR$11:$AR$70,0,-1)</f>
        <v>-1.3497167530674839E-9</v>
      </c>
      <c r="BE58" s="21">
        <f>_xlfn.XLOOKUP(BE$3,Classes!$Q$11:$Q$70,Classes!$AR$11:$AR$70,0,-1)</f>
        <v>-1.3713969284877052E-9</v>
      </c>
      <c r="BF58" s="21">
        <f>_xlfn.XLOOKUP(BF$3,Classes!$Q$11:$Q$70,Classes!$AR$11:$AR$70,0,-1)</f>
        <v>-1.3906525600932121E-9</v>
      </c>
      <c r="BG58" s="21">
        <f>_xlfn.XLOOKUP(BG$3,Classes!$Q$11:$Q$70,Classes!$AR$11:$AR$70,0,-1)</f>
        <v>-1.4111151755388109E-9</v>
      </c>
      <c r="BH58" s="21">
        <f>_xlfn.XLOOKUP(BH$3,Classes!$Q$11:$Q$70,Classes!$AR$11:$AR$70,0,-1)</f>
        <v>-1.4328413107242386E-9</v>
      </c>
      <c r="BI58" s="21">
        <f>_xlfn.XLOOKUP(BI$3,Classes!$Q$11:$Q$70,Classes!$AR$11:$AR$70,0,-1)</f>
        <v>-1.4549019508163371E-9</v>
      </c>
      <c r="BJ58" s="21">
        <f>_xlfn.XLOOKUP(BJ$3,Classes!$Q$11:$Q$70,Classes!$AR$11:$AR$70,0,-1)</f>
        <v>-1.4753407789386333E-9</v>
      </c>
      <c r="BK58" s="21">
        <f>_xlfn.XLOOKUP(BK$3,Classes!$Q$11:$Q$70,Classes!$AR$11:$AR$70,0,-1)</f>
        <v>-1.4990512616457949E-9</v>
      </c>
    </row>
    <row r="59" spans="2:66" x14ac:dyDescent="0.3">
      <c r="B59" s="30" t="s">
        <v>113</v>
      </c>
      <c r="C59" s="21">
        <f>Inputs!O20</f>
        <v>5000000</v>
      </c>
      <c r="D59" s="21">
        <f t="shared" ref="D59:BK59" si="21">D56-D57-D58</f>
        <v>4986907.0804702779</v>
      </c>
      <c r="E59" s="21">
        <f t="shared" si="21"/>
        <v>4926430.286651317</v>
      </c>
      <c r="F59" s="21">
        <f t="shared" si="21"/>
        <v>4830556.4492542744</v>
      </c>
      <c r="G59" s="21">
        <f t="shared" si="21"/>
        <v>5016162.6416801494</v>
      </c>
      <c r="H59" s="21">
        <f t="shared" si="21"/>
        <v>5190878.6493495274</v>
      </c>
      <c r="I59" s="21">
        <f t="shared" si="21"/>
        <v>5370912.3717807662</v>
      </c>
      <c r="J59" s="21">
        <f t="shared" si="21"/>
        <v>5595943.7511553224</v>
      </c>
      <c r="K59" s="21">
        <f t="shared" si="21"/>
        <v>5792376.9203678165</v>
      </c>
      <c r="L59" s="21">
        <f t="shared" si="21"/>
        <v>5987577.9153746432</v>
      </c>
      <c r="M59" s="21">
        <f t="shared" si="21"/>
        <v>6227904.676420778</v>
      </c>
      <c r="N59" s="21">
        <f t="shared" si="21"/>
        <v>6444533.8143626582</v>
      </c>
      <c r="O59" s="21">
        <f t="shared" si="21"/>
        <v>6659869.1729286164</v>
      </c>
      <c r="P59" s="21">
        <f t="shared" si="21"/>
        <v>6927129.8840982588</v>
      </c>
      <c r="Q59" s="21">
        <f t="shared" si="21"/>
        <v>7172610.8060557656</v>
      </c>
      <c r="R59" s="21">
        <f t="shared" si="21"/>
        <v>7424001.3976888442</v>
      </c>
      <c r="S59" s="21">
        <f t="shared" si="21"/>
        <v>7704275.4045472424</v>
      </c>
      <c r="T59" s="21">
        <f t="shared" si="21"/>
        <v>7958106.2400625385</v>
      </c>
      <c r="U59" s="21">
        <f t="shared" si="21"/>
        <v>8221200.1418868396</v>
      </c>
      <c r="V59" s="21">
        <f t="shared" si="21"/>
        <v>8515763.500973016</v>
      </c>
      <c r="W59" s="21">
        <f t="shared" si="21"/>
        <v>8782745.1358372774</v>
      </c>
      <c r="X59" s="21">
        <f t="shared" si="21"/>
        <v>9061580.9327570107</v>
      </c>
      <c r="Y59" s="21">
        <f t="shared" si="21"/>
        <v>9369384.6186164208</v>
      </c>
      <c r="Z59" s="21">
        <f t="shared" si="21"/>
        <v>9653488.9167093337</v>
      </c>
      <c r="AA59" s="21">
        <f t="shared" si="21"/>
        <v>9944077.6685941834</v>
      </c>
      <c r="AB59" s="21">
        <f t="shared" si="21"/>
        <v>10268480.41853953</v>
      </c>
      <c r="AC59" s="21">
        <f t="shared" si="21"/>
        <v>10573424.024440505</v>
      </c>
      <c r="AD59" s="21">
        <f t="shared" si="21"/>
        <v>10884420.106231533</v>
      </c>
      <c r="AE59" s="21">
        <f t="shared" si="21"/>
        <v>11227012.056310717</v>
      </c>
      <c r="AF59" s="21">
        <f t="shared" si="21"/>
        <v>11545586.072391506</v>
      </c>
      <c r="AG59" s="21">
        <f t="shared" si="21"/>
        <v>11869430.534019224</v>
      </c>
      <c r="AH59" s="21">
        <f t="shared" si="21"/>
        <v>12231856.087110162</v>
      </c>
      <c r="AI59" s="21">
        <f t="shared" si="21"/>
        <v>12564357.421975892</v>
      </c>
      <c r="AJ59" s="21">
        <f t="shared" si="21"/>
        <v>12905673.587817509</v>
      </c>
      <c r="AK59" s="21">
        <f t="shared" si="21"/>
        <v>13284524.271407966</v>
      </c>
      <c r="AL59" s="21">
        <f t="shared" si="21"/>
        <v>13634141.235479238</v>
      </c>
      <c r="AM59" s="21">
        <f t="shared" si="21"/>
        <v>13991627.765305696</v>
      </c>
      <c r="AN59" s="21">
        <f t="shared" si="21"/>
        <v>14388547.05298108</v>
      </c>
      <c r="AO59" s="21">
        <f t="shared" si="21"/>
        <v>14748332.592908425</v>
      </c>
      <c r="AP59" s="21">
        <f t="shared" si="21"/>
        <v>15112465.511515317</v>
      </c>
      <c r="AQ59" s="21">
        <f t="shared" si="21"/>
        <v>15543905.268242678</v>
      </c>
      <c r="AR59" s="21">
        <f t="shared" si="21"/>
        <v>15934982.255135627</v>
      </c>
      <c r="AS59" s="21">
        <f t="shared" si="21"/>
        <v>16330783.216065569</v>
      </c>
      <c r="AT59" s="21">
        <f t="shared" si="21"/>
        <v>16799742.346755706</v>
      </c>
      <c r="AU59" s="21">
        <f t="shared" si="21"/>
        <v>17224830.337617196</v>
      </c>
      <c r="AV59" s="21">
        <f t="shared" si="21"/>
        <v>17655054.518538218</v>
      </c>
      <c r="AW59" s="21">
        <f t="shared" si="21"/>
        <v>18164798.449198585</v>
      </c>
      <c r="AX59" s="21">
        <f t="shared" si="21"/>
        <v>18626853.485471006</v>
      </c>
      <c r="AY59" s="21">
        <f t="shared" si="21"/>
        <v>19094489.90067587</v>
      </c>
      <c r="AZ59" s="21">
        <f t="shared" si="21"/>
        <v>19648560.826466974</v>
      </c>
      <c r="BA59" s="21">
        <f t="shared" si="21"/>
        <v>20150797.433295902</v>
      </c>
      <c r="BB59" s="21">
        <f t="shared" si="21"/>
        <v>20658796.367079522</v>
      </c>
      <c r="BC59" s="21">
        <f t="shared" si="21"/>
        <v>21260747.291519985</v>
      </c>
      <c r="BD59" s="21">
        <f t="shared" si="21"/>
        <v>21806355.129107274</v>
      </c>
      <c r="BE59" s="21">
        <f t="shared" si="21"/>
        <v>22358529.3188917</v>
      </c>
      <c r="BF59" s="21">
        <f t="shared" si="21"/>
        <v>23018396.396017186</v>
      </c>
      <c r="BG59" s="21">
        <f t="shared" si="21"/>
        <v>23613818.992216054</v>
      </c>
      <c r="BH59" s="21">
        <f t="shared" si="21"/>
        <v>24214171.626112465</v>
      </c>
      <c r="BI59" s="21">
        <f t="shared" si="21"/>
        <v>24891289.883230619</v>
      </c>
      <c r="BJ59" s="21">
        <f t="shared" si="21"/>
        <v>25576231.217629384</v>
      </c>
      <c r="BK59" s="21">
        <f t="shared" si="21"/>
        <v>26269086.013133891</v>
      </c>
      <c r="BM59" s="1">
        <f>BK59-C59</f>
        <v>21269086.013133891</v>
      </c>
      <c r="BN59" s="1">
        <v>21272115.550000001</v>
      </c>
    </row>
    <row r="60" spans="2:66" x14ac:dyDescent="0.3">
      <c r="B60" s="107" t="s">
        <v>184</v>
      </c>
      <c r="C60" s="21">
        <f>C10</f>
        <v>0</v>
      </c>
      <c r="D60" s="21">
        <f t="shared" ref="D60:BK60" si="22">D10</f>
        <v>3200000</v>
      </c>
      <c r="E60" s="21">
        <f t="shared" si="22"/>
        <v>3200000</v>
      </c>
      <c r="F60" s="21">
        <f t="shared" si="22"/>
        <v>3200000</v>
      </c>
      <c r="G60" s="21">
        <f t="shared" si="22"/>
        <v>3653652.7780703395</v>
      </c>
      <c r="H60" s="21">
        <f t="shared" si="22"/>
        <v>3451990.0902865082</v>
      </c>
      <c r="I60" s="21">
        <f t="shared" si="22"/>
        <v>3451994.4370888826</v>
      </c>
      <c r="J60" s="21">
        <f t="shared" si="22"/>
        <v>3945101.0766235078</v>
      </c>
      <c r="K60" s="21">
        <f t="shared" si="22"/>
        <v>3725905.3990215226</v>
      </c>
      <c r="L60" s="21">
        <f t="shared" si="22"/>
        <v>3725914.4668877935</v>
      </c>
      <c r="M60" s="21">
        <f t="shared" si="22"/>
        <v>4261904.2864848329</v>
      </c>
      <c r="N60" s="21">
        <f t="shared" si="22"/>
        <v>4023649.5621837634</v>
      </c>
      <c r="O60" s="21">
        <f t="shared" si="22"/>
        <v>4023663.7587511223</v>
      </c>
      <c r="P60" s="21">
        <f t="shared" si="22"/>
        <v>4328191.4272618843</v>
      </c>
      <c r="Q60" s="21">
        <f t="shared" si="22"/>
        <v>4070745.7041237135</v>
      </c>
      <c r="R60" s="21">
        <f t="shared" si="22"/>
        <v>4075479.4866178315</v>
      </c>
      <c r="S60" s="21">
        <f t="shared" si="22"/>
        <v>4409619.149327998</v>
      </c>
      <c r="T60" s="21">
        <f t="shared" si="22"/>
        <v>4130567.5353561132</v>
      </c>
      <c r="U60" s="21">
        <f t="shared" si="22"/>
        <v>4141259.7039645873</v>
      </c>
      <c r="V60" s="21">
        <f t="shared" si="22"/>
        <v>4507639.6002609199</v>
      </c>
      <c r="W60" s="21">
        <f t="shared" si="22"/>
        <v>4206047.952508294</v>
      </c>
      <c r="X60" s="21">
        <f t="shared" si="22"/>
        <v>4222971.3336404655</v>
      </c>
      <c r="Y60" s="21">
        <f t="shared" si="22"/>
        <v>4623412.5069466094</v>
      </c>
      <c r="Z60" s="21">
        <f t="shared" si="22"/>
        <v>4298992.8946834449</v>
      </c>
      <c r="AA60" s="21">
        <f t="shared" si="22"/>
        <v>4320947.3781192377</v>
      </c>
      <c r="AB60" s="21">
        <f t="shared" si="22"/>
        <v>4656208.9976290297</v>
      </c>
      <c r="AC60" s="21">
        <f t="shared" si="22"/>
        <v>4312330.2413214911</v>
      </c>
      <c r="AD60" s="21">
        <f t="shared" si="22"/>
        <v>4340337.2006473392</v>
      </c>
      <c r="AE60" s="21">
        <f t="shared" si="22"/>
        <v>4707194.6884452859</v>
      </c>
      <c r="AF60" s="21">
        <f t="shared" si="22"/>
        <v>4339297.9981393516</v>
      </c>
      <c r="AG60" s="21">
        <f t="shared" si="22"/>
        <v>4372575.4030121323</v>
      </c>
      <c r="AH60" s="21">
        <f t="shared" si="22"/>
        <v>4778013.9822732965</v>
      </c>
      <c r="AI60" s="21">
        <f t="shared" si="22"/>
        <v>4380193.073742155</v>
      </c>
      <c r="AJ60" s="21">
        <f t="shared" si="22"/>
        <v>4422285.3095908202</v>
      </c>
      <c r="AK60" s="21">
        <f t="shared" si="22"/>
        <v>4865258.4066008274</v>
      </c>
      <c r="AL60" s="21">
        <f t="shared" si="22"/>
        <v>4438203.7785504973</v>
      </c>
      <c r="AM60" s="21">
        <f t="shared" si="22"/>
        <v>4488165.5801543519</v>
      </c>
      <c r="AN60" s="21">
        <f t="shared" si="22"/>
        <v>5262177.6942762099</v>
      </c>
      <c r="AO60" s="21">
        <f t="shared" si="22"/>
        <v>4797989.3184778448</v>
      </c>
      <c r="AP60" s="21">
        <f t="shared" si="22"/>
        <v>4852298.498761245</v>
      </c>
      <c r="AQ60" s="21">
        <f t="shared" si="22"/>
        <v>5693617.4510035692</v>
      </c>
      <c r="AR60" s="21">
        <f t="shared" si="22"/>
        <v>5189066.3053707937</v>
      </c>
      <c r="AS60" s="21">
        <f t="shared" si="22"/>
        <v>5248099.4596911864</v>
      </c>
      <c r="AT60" s="21">
        <f t="shared" si="22"/>
        <v>6162576.581693707</v>
      </c>
      <c r="AU60" s="21">
        <f t="shared" si="22"/>
        <v>5614154.296232284</v>
      </c>
      <c r="AV60" s="21">
        <f t="shared" si="22"/>
        <v>5678323.6406122083</v>
      </c>
      <c r="AW60" s="21">
        <f t="shared" si="22"/>
        <v>6672320.5123540759</v>
      </c>
      <c r="AX60" s="21">
        <f t="shared" si="22"/>
        <v>6076209.3325047046</v>
      </c>
      <c r="AY60" s="21">
        <f t="shared" si="22"/>
        <v>6145960.0558170713</v>
      </c>
      <c r="AZ60" s="21">
        <f t="shared" si="22"/>
        <v>7226391.4381451812</v>
      </c>
      <c r="BA60" s="21">
        <f t="shared" si="22"/>
        <v>6578445.9393336307</v>
      </c>
      <c r="BB60" s="21">
        <f t="shared" si="22"/>
        <v>6653958.9896006938</v>
      </c>
      <c r="BC60" s="21">
        <f t="shared" si="22"/>
        <v>7828342.3625856442</v>
      </c>
      <c r="BD60" s="21">
        <f t="shared" si="22"/>
        <v>7124053.7769209202</v>
      </c>
      <c r="BE60" s="21">
        <f t="shared" si="22"/>
        <v>7206133.1793851191</v>
      </c>
      <c r="BF60" s="21">
        <f t="shared" si="22"/>
        <v>8000000</v>
      </c>
      <c r="BG60" s="21">
        <f t="shared" si="22"/>
        <v>8000000</v>
      </c>
      <c r="BH60" s="21">
        <f t="shared" si="22"/>
        <v>8000000</v>
      </c>
      <c r="BI60" s="21">
        <f t="shared" si="22"/>
        <v>8000000</v>
      </c>
      <c r="BJ60" s="21">
        <f t="shared" si="22"/>
        <v>8000000</v>
      </c>
      <c r="BK60" s="21">
        <f t="shared" si="22"/>
        <v>8000000</v>
      </c>
      <c r="BM60" s="1"/>
      <c r="BN60" s="1"/>
    </row>
    <row r="61" spans="2:66" x14ac:dyDescent="0.3">
      <c r="B61" s="107" t="s">
        <v>72</v>
      </c>
      <c r="C61" s="34">
        <f>D5</f>
        <v>10000000</v>
      </c>
      <c r="D61" s="21">
        <f>D17</f>
        <v>6814647.9699547691</v>
      </c>
      <c r="E61" s="21">
        <f t="shared" ref="E61:BK61" si="23">E17</f>
        <v>3625316.891089289</v>
      </c>
      <c r="F61" s="21">
        <f t="shared" si="23"/>
        <v>401430.63300858811</v>
      </c>
      <c r="G61" s="21">
        <f t="shared" si="23"/>
        <v>200000.00000000093</v>
      </c>
      <c r="H61" s="21">
        <f t="shared" si="23"/>
        <v>200000.00000000093</v>
      </c>
      <c r="I61" s="21">
        <f t="shared" si="23"/>
        <v>200000.00000000093</v>
      </c>
      <c r="J61" s="21">
        <f t="shared" si="23"/>
        <v>200000.00000000093</v>
      </c>
      <c r="K61" s="21">
        <f t="shared" si="23"/>
        <v>200000.00000000093</v>
      </c>
      <c r="L61" s="21">
        <f t="shared" si="23"/>
        <v>200000.00000000093</v>
      </c>
      <c r="M61" s="21">
        <f t="shared" si="23"/>
        <v>200000.00000000093</v>
      </c>
      <c r="N61" s="21">
        <f t="shared" si="23"/>
        <v>200000.00000000093</v>
      </c>
      <c r="O61" s="21">
        <f t="shared" si="23"/>
        <v>200000.00000000093</v>
      </c>
      <c r="P61" s="21">
        <f t="shared" si="23"/>
        <v>200000.00000000093</v>
      </c>
      <c r="Q61" s="21">
        <f t="shared" si="23"/>
        <v>200000.00000000093</v>
      </c>
      <c r="R61" s="21">
        <f t="shared" si="23"/>
        <v>200000.00000000093</v>
      </c>
      <c r="S61" s="21">
        <f t="shared" si="23"/>
        <v>200000.00000000093</v>
      </c>
      <c r="T61" s="21">
        <f t="shared" si="23"/>
        <v>200000.00000000093</v>
      </c>
      <c r="U61" s="21">
        <f t="shared" si="23"/>
        <v>200000.00000001211</v>
      </c>
      <c r="V61" s="21">
        <f t="shared" si="23"/>
        <v>200000.00000001211</v>
      </c>
      <c r="W61" s="21">
        <f t="shared" si="23"/>
        <v>200000.00000001211</v>
      </c>
      <c r="X61" s="21">
        <f t="shared" si="23"/>
        <v>200000.00000001211</v>
      </c>
      <c r="Y61" s="21">
        <f t="shared" si="23"/>
        <v>200000.00000001211</v>
      </c>
      <c r="Z61" s="21">
        <f t="shared" si="23"/>
        <v>200000.00000001211</v>
      </c>
      <c r="AA61" s="21">
        <f t="shared" si="23"/>
        <v>200000.00000001211</v>
      </c>
      <c r="AB61" s="21">
        <f t="shared" si="23"/>
        <v>200000.00000001211</v>
      </c>
      <c r="AC61" s="21">
        <f t="shared" si="23"/>
        <v>200000.00000001211</v>
      </c>
      <c r="AD61" s="21">
        <f t="shared" si="23"/>
        <v>200000.00000001211</v>
      </c>
      <c r="AE61" s="21">
        <f t="shared" si="23"/>
        <v>200000.00000001211</v>
      </c>
      <c r="AF61" s="21">
        <f t="shared" si="23"/>
        <v>200000.00000001211</v>
      </c>
      <c r="AG61" s="21">
        <f t="shared" si="23"/>
        <v>200000.00000001211</v>
      </c>
      <c r="AH61" s="21">
        <f t="shared" si="23"/>
        <v>200000.00000001211</v>
      </c>
      <c r="AI61" s="21">
        <f t="shared" si="23"/>
        <v>200000.00000001211</v>
      </c>
      <c r="AJ61" s="21">
        <f t="shared" si="23"/>
        <v>200000.00000001211</v>
      </c>
      <c r="AK61" s="21">
        <f t="shared" si="23"/>
        <v>200000.00000001211</v>
      </c>
      <c r="AL61" s="21">
        <f t="shared" si="23"/>
        <v>200000.00000001211</v>
      </c>
      <c r="AM61" s="21">
        <f t="shared" si="23"/>
        <v>200000.00000001211</v>
      </c>
      <c r="AN61" s="21">
        <f t="shared" si="23"/>
        <v>200000.00000001211</v>
      </c>
      <c r="AO61" s="21">
        <f t="shared" si="23"/>
        <v>200000.00000001211</v>
      </c>
      <c r="AP61" s="21">
        <f t="shared" si="23"/>
        <v>200000.00000001211</v>
      </c>
      <c r="AQ61" s="21">
        <f t="shared" si="23"/>
        <v>200000.00000001211</v>
      </c>
      <c r="AR61" s="21">
        <f t="shared" si="23"/>
        <v>200000.00000001211</v>
      </c>
      <c r="AS61" s="21">
        <f t="shared" si="23"/>
        <v>200000.00000001211</v>
      </c>
      <c r="AT61" s="21">
        <f t="shared" si="23"/>
        <v>200000.00000001211</v>
      </c>
      <c r="AU61" s="21">
        <f t="shared" si="23"/>
        <v>200000.00000001211</v>
      </c>
      <c r="AV61" s="21">
        <f t="shared" si="23"/>
        <v>200000.00000001211</v>
      </c>
      <c r="AW61" s="21">
        <f t="shared" si="23"/>
        <v>200000.00000001211</v>
      </c>
      <c r="AX61" s="21">
        <f t="shared" si="23"/>
        <v>200000.00000001211</v>
      </c>
      <c r="AY61" s="21">
        <f t="shared" si="23"/>
        <v>200000.00000001211</v>
      </c>
      <c r="AZ61" s="21">
        <f t="shared" si="23"/>
        <v>200000.00000001211</v>
      </c>
      <c r="BA61" s="21">
        <f t="shared" si="23"/>
        <v>200000.00000001211</v>
      </c>
      <c r="BB61" s="21">
        <f t="shared" si="23"/>
        <v>200000.00000001211</v>
      </c>
      <c r="BC61" s="21">
        <f t="shared" si="23"/>
        <v>200000.00000001211</v>
      </c>
      <c r="BD61" s="21">
        <f t="shared" si="23"/>
        <v>200000.00000001211</v>
      </c>
      <c r="BE61" s="21">
        <f t="shared" si="23"/>
        <v>200000.00000001211</v>
      </c>
      <c r="BF61" s="21">
        <f t="shared" si="23"/>
        <v>688209.43971114419</v>
      </c>
      <c r="BG61" s="21">
        <f t="shared" si="23"/>
        <v>407685.81283092871</v>
      </c>
      <c r="BH61" s="21">
        <f t="shared" si="23"/>
        <v>214171.6261124583</v>
      </c>
      <c r="BI61" s="21">
        <f t="shared" si="23"/>
        <v>891289.88323060982</v>
      </c>
      <c r="BJ61" s="21">
        <f t="shared" si="23"/>
        <v>1576231.2176293777</v>
      </c>
      <c r="BK61" s="21">
        <f t="shared" si="23"/>
        <v>2269086.0131338835</v>
      </c>
      <c r="BN61" s="112"/>
    </row>
    <row r="62" spans="2:66" x14ac:dyDescent="0.3">
      <c r="D62" s="1"/>
    </row>
    <row r="64" spans="2:66" x14ac:dyDescent="0.3">
      <c r="B64" s="27" t="s">
        <v>179</v>
      </c>
    </row>
    <row r="65" spans="2:63" x14ac:dyDescent="0.3">
      <c r="B65" s="27" t="s">
        <v>180</v>
      </c>
    </row>
    <row r="66" spans="2:63" x14ac:dyDescent="0.3">
      <c r="B66" s="27" t="s">
        <v>181</v>
      </c>
      <c r="C66" s="27">
        <v>1000000</v>
      </c>
    </row>
    <row r="67" spans="2:63" x14ac:dyDescent="0.3">
      <c r="C67" s="154" t="s">
        <v>149</v>
      </c>
      <c r="D67" s="26">
        <v>1</v>
      </c>
      <c r="E67" s="26">
        <f t="shared" ref="E67" si="24">D67+1</f>
        <v>2</v>
      </c>
      <c r="F67" s="26">
        <f t="shared" ref="F67" si="25">E67+1</f>
        <v>3</v>
      </c>
      <c r="G67" s="26">
        <f t="shared" ref="G67" si="26">F67+1</f>
        <v>4</v>
      </c>
      <c r="H67" s="26">
        <f t="shared" ref="H67" si="27">G67+1</f>
        <v>5</v>
      </c>
      <c r="I67" s="26">
        <f t="shared" ref="I67" si="28">H67+1</f>
        <v>6</v>
      </c>
      <c r="J67" s="26">
        <f t="shared" ref="J67" si="29">I67+1</f>
        <v>7</v>
      </c>
      <c r="K67" s="26">
        <f t="shared" ref="K67" si="30">J67+1</f>
        <v>8</v>
      </c>
      <c r="L67" s="26">
        <f t="shared" ref="L67" si="31">K67+1</f>
        <v>9</v>
      </c>
      <c r="M67" s="26">
        <f t="shared" ref="M67" si="32">L67+1</f>
        <v>10</v>
      </c>
      <c r="N67" s="26">
        <f t="shared" ref="N67" si="33">M67+1</f>
        <v>11</v>
      </c>
      <c r="O67" s="26">
        <f t="shared" ref="O67" si="34">N67+1</f>
        <v>12</v>
      </c>
      <c r="P67" s="26">
        <f>O67+1</f>
        <v>13</v>
      </c>
      <c r="Q67" s="26">
        <f t="shared" ref="Q67" si="35">P67+1</f>
        <v>14</v>
      </c>
      <c r="R67" s="26">
        <f t="shared" ref="R67" si="36">Q67+1</f>
        <v>15</v>
      </c>
      <c r="S67" s="26">
        <f t="shared" ref="S67" si="37">R67+1</f>
        <v>16</v>
      </c>
      <c r="T67" s="26">
        <f t="shared" ref="T67" si="38">S67+1</f>
        <v>17</v>
      </c>
      <c r="U67" s="26">
        <f t="shared" ref="U67" si="39">T67+1</f>
        <v>18</v>
      </c>
      <c r="V67" s="26">
        <f t="shared" ref="V67" si="40">U67+1</f>
        <v>19</v>
      </c>
      <c r="W67" s="26">
        <f t="shared" ref="W67" si="41">V67+1</f>
        <v>20</v>
      </c>
      <c r="X67" s="26">
        <f t="shared" ref="X67" si="42">W67+1</f>
        <v>21</v>
      </c>
      <c r="Y67" s="26">
        <f t="shared" ref="Y67" si="43">X67+1</f>
        <v>22</v>
      </c>
      <c r="Z67" s="26">
        <f t="shared" ref="Z67" si="44">Y67+1</f>
        <v>23</v>
      </c>
      <c r="AA67" s="26">
        <f t="shared" ref="AA67" si="45">Z67+1</f>
        <v>24</v>
      </c>
      <c r="AB67" s="26">
        <f t="shared" ref="AB67" si="46">AA67+1</f>
        <v>25</v>
      </c>
      <c r="AC67" s="26">
        <f t="shared" ref="AC67" si="47">AB67+1</f>
        <v>26</v>
      </c>
      <c r="AD67" s="26">
        <f t="shared" ref="AD67" si="48">AC67+1</f>
        <v>27</v>
      </c>
      <c r="AE67" s="26">
        <f t="shared" ref="AE67" si="49">AD67+1</f>
        <v>28</v>
      </c>
      <c r="AF67" s="26">
        <f t="shared" ref="AF67" si="50">AE67+1</f>
        <v>29</v>
      </c>
      <c r="AG67" s="26">
        <f t="shared" ref="AG67" si="51">AF67+1</f>
        <v>30</v>
      </c>
      <c r="AH67" s="26">
        <f t="shared" ref="AH67" si="52">AG67+1</f>
        <v>31</v>
      </c>
      <c r="AI67" s="26">
        <f t="shared" ref="AI67" si="53">AH67+1</f>
        <v>32</v>
      </c>
      <c r="AJ67" s="26">
        <f t="shared" ref="AJ67" si="54">AI67+1</f>
        <v>33</v>
      </c>
      <c r="AK67" s="26">
        <f t="shared" ref="AK67" si="55">AJ67+1</f>
        <v>34</v>
      </c>
      <c r="AL67" s="26">
        <f t="shared" ref="AL67" si="56">AK67+1</f>
        <v>35</v>
      </c>
      <c r="AM67" s="26">
        <f t="shared" ref="AM67" si="57">AL67+1</f>
        <v>36</v>
      </c>
      <c r="AN67" s="26">
        <f t="shared" ref="AN67" si="58">AM67+1</f>
        <v>37</v>
      </c>
      <c r="AO67" s="26">
        <f t="shared" ref="AO67" si="59">AN67+1</f>
        <v>38</v>
      </c>
      <c r="AP67" s="26">
        <f t="shared" ref="AP67" si="60">AO67+1</f>
        <v>39</v>
      </c>
      <c r="AQ67" s="26">
        <f t="shared" ref="AQ67" si="61">AP67+1</f>
        <v>40</v>
      </c>
      <c r="AR67" s="26">
        <f t="shared" ref="AR67" si="62">AQ67+1</f>
        <v>41</v>
      </c>
      <c r="AS67" s="26">
        <f t="shared" ref="AS67" si="63">AR67+1</f>
        <v>42</v>
      </c>
      <c r="AT67" s="26">
        <f t="shared" ref="AT67" si="64">AS67+1</f>
        <v>43</v>
      </c>
      <c r="AU67" s="26">
        <f t="shared" ref="AU67" si="65">AT67+1</f>
        <v>44</v>
      </c>
      <c r="AV67" s="26">
        <f t="shared" ref="AV67" si="66">AU67+1</f>
        <v>45</v>
      </c>
      <c r="AW67" s="26">
        <f t="shared" ref="AW67" si="67">AV67+1</f>
        <v>46</v>
      </c>
      <c r="AX67" s="26">
        <f t="shared" ref="AX67" si="68">AW67+1</f>
        <v>47</v>
      </c>
      <c r="AY67" s="26">
        <f t="shared" ref="AY67" si="69">AX67+1</f>
        <v>48</v>
      </c>
      <c r="AZ67" s="26">
        <f t="shared" ref="AZ67" si="70">AY67+1</f>
        <v>49</v>
      </c>
      <c r="BA67" s="26">
        <f t="shared" ref="BA67" si="71">AZ67+1</f>
        <v>50</v>
      </c>
      <c r="BB67" s="26">
        <f t="shared" ref="BB67" si="72">BA67+1</f>
        <v>51</v>
      </c>
      <c r="BC67" s="26">
        <f t="shared" ref="BC67" si="73">BB67+1</f>
        <v>52</v>
      </c>
      <c r="BD67" s="26">
        <f t="shared" ref="BD67" si="74">BC67+1</f>
        <v>53</v>
      </c>
      <c r="BE67" s="26">
        <f t="shared" ref="BE67" si="75">BD67+1</f>
        <v>54</v>
      </c>
      <c r="BF67" s="26">
        <f t="shared" ref="BF67" si="76">BE67+1</f>
        <v>55</v>
      </c>
      <c r="BG67" s="26">
        <f t="shared" ref="BG67" si="77">BF67+1</f>
        <v>56</v>
      </c>
      <c r="BH67" s="26">
        <f t="shared" ref="BH67" si="78">BG67+1</f>
        <v>57</v>
      </c>
      <c r="BI67" s="26">
        <f t="shared" ref="BI67" si="79">BH67+1</f>
        <v>58</v>
      </c>
      <c r="BJ67" s="26">
        <f t="shared" ref="BJ67" si="80">BI67+1</f>
        <v>59</v>
      </c>
      <c r="BK67" s="26">
        <f t="shared" ref="BK67" si="81">BJ67+1</f>
        <v>60</v>
      </c>
    </row>
    <row r="68" spans="2:63" x14ac:dyDescent="0.3">
      <c r="B68" s="132" t="s">
        <v>114</v>
      </c>
      <c r="C68" s="248">
        <f t="shared" ref="C68:AH68" si="82">C56/$C$66</f>
        <v>10</v>
      </c>
      <c r="D68" s="248">
        <f t="shared" si="82"/>
        <v>10.014647969954771</v>
      </c>
      <c r="E68" s="248">
        <f t="shared" si="82"/>
        <v>10.025316891089288</v>
      </c>
      <c r="F68" s="248">
        <f t="shared" si="82"/>
        <v>10.001430633008589</v>
      </c>
      <c r="G68" s="248">
        <f t="shared" si="82"/>
        <v>10.253652778070341</v>
      </c>
      <c r="H68" s="248">
        <f t="shared" si="82"/>
        <v>10.505642868356849</v>
      </c>
      <c r="I68" s="248">
        <f t="shared" si="82"/>
        <v>10.75763730544573</v>
      </c>
      <c r="J68" s="248">
        <f t="shared" si="82"/>
        <v>11.049085603998899</v>
      </c>
      <c r="K68" s="248">
        <f t="shared" si="82"/>
        <v>11.323000912733916</v>
      </c>
      <c r="L68" s="248">
        <f t="shared" si="82"/>
        <v>11.596920942532826</v>
      </c>
      <c r="M68" s="248">
        <f t="shared" si="82"/>
        <v>11.913724152394153</v>
      </c>
      <c r="N68" s="248">
        <f t="shared" si="82"/>
        <v>12.211468315556392</v>
      </c>
      <c r="O68" s="248">
        <f t="shared" si="82"/>
        <v>12.509217607419721</v>
      </c>
      <c r="P68" s="248">
        <f t="shared" si="82"/>
        <v>12.575504748196773</v>
      </c>
      <c r="Q68" s="248">
        <f t="shared" si="82"/>
        <v>12.622600890136722</v>
      </c>
      <c r="R68" s="248">
        <f t="shared" si="82"/>
        <v>12.674416618003432</v>
      </c>
      <c r="S68" s="248">
        <f t="shared" si="82"/>
        <v>12.755844340069547</v>
      </c>
      <c r="T68" s="248">
        <f t="shared" si="82"/>
        <v>12.815666171301945</v>
      </c>
      <c r="U68" s="248">
        <f t="shared" si="82"/>
        <v>12.881446388648715</v>
      </c>
      <c r="V68" s="248">
        <f t="shared" si="82"/>
        <v>12.979466839581635</v>
      </c>
      <c r="W68" s="248">
        <f t="shared" si="82"/>
        <v>13.054947256733817</v>
      </c>
      <c r="X68" s="248">
        <f t="shared" si="82"/>
        <v>13.136658886409696</v>
      </c>
      <c r="Y68" s="248">
        <f t="shared" si="82"/>
        <v>13.252431793095385</v>
      </c>
      <c r="Z68" s="248">
        <f t="shared" si="82"/>
        <v>13.345376735270534</v>
      </c>
      <c r="AA68" s="248">
        <f t="shared" si="82"/>
        <v>13.443352779749308</v>
      </c>
      <c r="AB68" s="248">
        <f t="shared" si="82"/>
        <v>13.476149270431728</v>
      </c>
      <c r="AC68" s="248">
        <f t="shared" si="82"/>
        <v>13.489486617069774</v>
      </c>
      <c r="AD68" s="248">
        <f t="shared" si="82"/>
        <v>13.508876439597875</v>
      </c>
      <c r="AE68" s="248">
        <f t="shared" si="82"/>
        <v>13.559862130414132</v>
      </c>
      <c r="AF68" s="248">
        <f t="shared" si="82"/>
        <v>13.586829887231994</v>
      </c>
      <c r="AG68" s="248">
        <f t="shared" si="82"/>
        <v>13.619068089596785</v>
      </c>
      <c r="AH68" s="248">
        <f t="shared" si="82"/>
        <v>13.689887383424796</v>
      </c>
      <c r="AI68" s="248">
        <f t="shared" ref="AI68:BK68" si="83">AI56/$C$66</f>
        <v>13.7307824590276</v>
      </c>
      <c r="AJ68" s="248">
        <f t="shared" si="83"/>
        <v>13.780492365606289</v>
      </c>
      <c r="AK68" s="248">
        <f t="shared" si="83"/>
        <v>13.867736789933819</v>
      </c>
      <c r="AL68" s="248">
        <f t="shared" si="83"/>
        <v>13.925747494742163</v>
      </c>
      <c r="AM68" s="248">
        <f t="shared" si="83"/>
        <v>13.991627765305694</v>
      </c>
      <c r="AN68" s="248">
        <f t="shared" si="83"/>
        <v>14.388547052981078</v>
      </c>
      <c r="AO68" s="248">
        <f t="shared" si="83"/>
        <v>14.748332592908424</v>
      </c>
      <c r="AP68" s="248">
        <f t="shared" si="83"/>
        <v>15.112465511515316</v>
      </c>
      <c r="AQ68" s="248">
        <f t="shared" si="83"/>
        <v>15.543905268242677</v>
      </c>
      <c r="AR68" s="248">
        <f t="shared" si="83"/>
        <v>15.934982255135626</v>
      </c>
      <c r="AS68" s="248">
        <f t="shared" si="83"/>
        <v>16.330783216065566</v>
      </c>
      <c r="AT68" s="248">
        <f t="shared" si="83"/>
        <v>16.799742346755707</v>
      </c>
      <c r="AU68" s="248">
        <f t="shared" si="83"/>
        <v>17.224830337617195</v>
      </c>
      <c r="AV68" s="248">
        <f t="shared" si="83"/>
        <v>17.655054518538218</v>
      </c>
      <c r="AW68" s="248">
        <f t="shared" si="83"/>
        <v>18.164798449198585</v>
      </c>
      <c r="AX68" s="248">
        <f t="shared" si="83"/>
        <v>18.626853485471006</v>
      </c>
      <c r="AY68" s="248">
        <f t="shared" si="83"/>
        <v>19.094489900675871</v>
      </c>
      <c r="AZ68" s="248">
        <f t="shared" si="83"/>
        <v>19.648560826466973</v>
      </c>
      <c r="BA68" s="248">
        <f t="shared" si="83"/>
        <v>20.150797433295903</v>
      </c>
      <c r="BB68" s="248">
        <f t="shared" si="83"/>
        <v>20.658796367079521</v>
      </c>
      <c r="BC68" s="248">
        <f t="shared" si="83"/>
        <v>21.260747291519984</v>
      </c>
      <c r="BD68" s="248">
        <f t="shared" si="83"/>
        <v>21.806355129107274</v>
      </c>
      <c r="BE68" s="248">
        <f t="shared" si="83"/>
        <v>22.358529318891701</v>
      </c>
      <c r="BF68" s="248">
        <f t="shared" si="83"/>
        <v>23.018396396017188</v>
      </c>
      <c r="BG68" s="248">
        <f t="shared" si="83"/>
        <v>23.613818992216054</v>
      </c>
      <c r="BH68" s="248">
        <f t="shared" si="83"/>
        <v>24.214171626112464</v>
      </c>
      <c r="BI68" s="248">
        <f t="shared" si="83"/>
        <v>24.89128988323062</v>
      </c>
      <c r="BJ68" s="248">
        <f t="shared" si="83"/>
        <v>25.576231217629385</v>
      </c>
      <c r="BK68" s="248">
        <f t="shared" si="83"/>
        <v>26.26908601313389</v>
      </c>
    </row>
    <row r="69" spans="2:63" x14ac:dyDescent="0.3">
      <c r="B69" s="30" t="s">
        <v>115</v>
      </c>
      <c r="C69" s="116">
        <f t="shared" ref="C69:AH69" si="84">C57/$C$66</f>
        <v>2.5</v>
      </c>
      <c r="D69" s="116">
        <f t="shared" si="84"/>
        <v>2.5134324847493752</v>
      </c>
      <c r="E69" s="116">
        <f t="shared" si="84"/>
        <v>2.5478640760800357</v>
      </c>
      <c r="F69" s="116">
        <f t="shared" si="84"/>
        <v>2.5826844764254795</v>
      </c>
      <c r="G69" s="116">
        <f t="shared" si="84"/>
        <v>2.6148924537885994</v>
      </c>
      <c r="H69" s="116">
        <f t="shared" si="84"/>
        <v>2.6522380911753785</v>
      </c>
      <c r="I69" s="116">
        <f t="shared" si="84"/>
        <v>2.6870017967507649</v>
      </c>
      <c r="J69" s="116">
        <f t="shared" si="84"/>
        <v>2.7190762464480409</v>
      </c>
      <c r="K69" s="116">
        <f t="shared" si="84"/>
        <v>2.7564796588441327</v>
      </c>
      <c r="L69" s="116">
        <f t="shared" si="84"/>
        <v>2.7944647753070022</v>
      </c>
      <c r="M69" s="116">
        <f t="shared" si="84"/>
        <v>2.8313531663276641</v>
      </c>
      <c r="N69" s="116">
        <f t="shared" si="84"/>
        <v>2.8704620503902687</v>
      </c>
      <c r="O69" s="116">
        <f t="shared" si="84"/>
        <v>2.9101810618141002</v>
      </c>
      <c r="P69" s="116">
        <f t="shared" si="84"/>
        <v>2.6676659733295915</v>
      </c>
      <c r="Q69" s="116">
        <f t="shared" si="84"/>
        <v>2.4251508848450829</v>
      </c>
      <c r="R69" s="116">
        <f t="shared" si="84"/>
        <v>2.1826357963605747</v>
      </c>
      <c r="S69" s="116">
        <f t="shared" si="84"/>
        <v>1.9401207078760663</v>
      </c>
      <c r="T69" s="116">
        <f t="shared" si="84"/>
        <v>1.6976056193915581</v>
      </c>
      <c r="U69" s="116">
        <f t="shared" si="84"/>
        <v>1.4550905309070497</v>
      </c>
      <c r="V69" s="116">
        <f t="shared" si="84"/>
        <v>1.2125754424225412</v>
      </c>
      <c r="W69" s="116">
        <f t="shared" si="84"/>
        <v>0.97006035393803303</v>
      </c>
      <c r="X69" s="116">
        <f t="shared" si="84"/>
        <v>0.72754526545352483</v>
      </c>
      <c r="Y69" s="116">
        <f t="shared" si="84"/>
        <v>0.48503017696901651</v>
      </c>
      <c r="Z69" s="116">
        <f t="shared" si="84"/>
        <v>0.2425150884845082</v>
      </c>
      <c r="AA69" s="116">
        <f t="shared" si="84"/>
        <v>7.549516567451065E-17</v>
      </c>
      <c r="AB69" s="116">
        <f t="shared" si="84"/>
        <v>7.6618122175788737E-17</v>
      </c>
      <c r="AC69" s="116">
        <f t="shared" si="84"/>
        <v>7.7662758687507139E-17</v>
      </c>
      <c r="AD69" s="116">
        <f t="shared" si="84"/>
        <v>7.8722838564770462E-17</v>
      </c>
      <c r="AE69" s="116">
        <f t="shared" si="84"/>
        <v>7.9847214860733327E-17</v>
      </c>
      <c r="AF69" s="116">
        <f t="shared" si="84"/>
        <v>8.0938963047417531E-17</v>
      </c>
      <c r="AG69" s="116">
        <f t="shared" si="84"/>
        <v>8.209695423161118E-17</v>
      </c>
      <c r="AH69" s="116">
        <f t="shared" si="84"/>
        <v>8.3169318590248878E-17</v>
      </c>
      <c r="AI69" s="116">
        <f t="shared" ref="AI69:BK69" si="85">AI57/$C$66</f>
        <v>8.4361235604012002E-17</v>
      </c>
      <c r="AJ69" s="116">
        <f t="shared" si="85"/>
        <v>8.5465662700490827E-17</v>
      </c>
      <c r="AK69" s="116">
        <f t="shared" si="85"/>
        <v>8.6745580712108867E-17</v>
      </c>
      <c r="AL69" s="116">
        <f t="shared" si="85"/>
        <v>8.7936340169038506E-17</v>
      </c>
      <c r="AM69" s="116">
        <f t="shared" si="85"/>
        <v>8.9144803172549937E-17</v>
      </c>
      <c r="AN69" s="116">
        <f t="shared" si="85"/>
        <v>9.0482826561668444E-17</v>
      </c>
      <c r="AO69" s="116">
        <f t="shared" si="85"/>
        <v>9.167072754428395E-17</v>
      </c>
      <c r="AP69" s="116">
        <f t="shared" si="85"/>
        <v>9.2991143755921177E-17</v>
      </c>
      <c r="AQ69" s="116">
        <f t="shared" si="85"/>
        <v>9.4331329893925501E-17</v>
      </c>
      <c r="AR69" s="116">
        <f t="shared" si="85"/>
        <v>9.5632044615062406E-17</v>
      </c>
      <c r="AS69" s="116">
        <f t="shared" si="85"/>
        <v>9.707227580739554E-17</v>
      </c>
      <c r="AT69" s="116">
        <f t="shared" si="85"/>
        <v>9.835025961949478E-17</v>
      </c>
      <c r="AU69" s="116">
        <f t="shared" si="85"/>
        <v>9.9708667122988314E-17</v>
      </c>
      <c r="AV69" s="116">
        <f t="shared" si="85"/>
        <v>1.0108737526233307E-16</v>
      </c>
      <c r="AW69" s="116">
        <f t="shared" si="85"/>
        <v>1.0261317188706299E-16</v>
      </c>
      <c r="AX69" s="116">
        <f t="shared" si="85"/>
        <v>1.0396712400559261E-16</v>
      </c>
      <c r="AY69" s="116">
        <f t="shared" si="85"/>
        <v>1.0547136962288109E-16</v>
      </c>
      <c r="AZ69" s="116">
        <f t="shared" si="85"/>
        <v>1.0699737937858135E-16</v>
      </c>
      <c r="BA69" s="116">
        <f t="shared" si="85"/>
        <v>1.0841075447135156E-16</v>
      </c>
      <c r="BB69" s="116">
        <f t="shared" si="85"/>
        <v>1.1004891571932871E-16</v>
      </c>
      <c r="BC69" s="116">
        <f t="shared" si="85"/>
        <v>1.1157314865010411E-16</v>
      </c>
      <c r="BD69" s="116">
        <f t="shared" si="85"/>
        <v>1.1311849297495432E-16</v>
      </c>
      <c r="BE69" s="116">
        <f t="shared" si="85"/>
        <v>1.1482874430363334E-16</v>
      </c>
      <c r="BF69" s="116">
        <f t="shared" si="85"/>
        <v>1.1634641212763698E-16</v>
      </c>
      <c r="BG69" s="116">
        <f t="shared" si="85"/>
        <v>1.1795786855665622E-16</v>
      </c>
      <c r="BH69" s="116">
        <f t="shared" si="85"/>
        <v>1.196673939198122E-16</v>
      </c>
      <c r="BI69" s="116">
        <f t="shared" si="85"/>
        <v>1.2140169488296023E-16</v>
      </c>
      <c r="BJ69" s="116">
        <f t="shared" si="85"/>
        <v>1.2300712913889751E-16</v>
      </c>
      <c r="BK69" s="116">
        <f t="shared" si="85"/>
        <v>1.2486792400541674E-16</v>
      </c>
    </row>
    <row r="70" spans="2:63" x14ac:dyDescent="0.3">
      <c r="B70" s="30" t="s">
        <v>71</v>
      </c>
      <c r="C70" s="116">
        <f t="shared" ref="C70:AH70" si="86">C58/$C$66</f>
        <v>2.5</v>
      </c>
      <c r="D70" s="116">
        <f t="shared" si="86"/>
        <v>2.5143084047351172</v>
      </c>
      <c r="E70" s="116">
        <f t="shared" si="86"/>
        <v>2.5510225283579357</v>
      </c>
      <c r="F70" s="116">
        <f t="shared" si="86"/>
        <v>2.5881897073288336</v>
      </c>
      <c r="G70" s="116">
        <f t="shared" si="86"/>
        <v>2.6225976826015929</v>
      </c>
      <c r="H70" s="116">
        <f t="shared" si="86"/>
        <v>2.6625261278319439</v>
      </c>
      <c r="I70" s="116">
        <f t="shared" si="86"/>
        <v>2.6997231369141996</v>
      </c>
      <c r="J70" s="116">
        <f t="shared" si="86"/>
        <v>2.7340656063955362</v>
      </c>
      <c r="K70" s="116">
        <f t="shared" si="86"/>
        <v>2.7741443335219671</v>
      </c>
      <c r="L70" s="116">
        <f t="shared" si="86"/>
        <v>2.8148782518511815</v>
      </c>
      <c r="M70" s="116">
        <f t="shared" si="86"/>
        <v>2.8544663096457104</v>
      </c>
      <c r="N70" s="116">
        <f t="shared" si="86"/>
        <v>2.8964724508034645</v>
      </c>
      <c r="O70" s="116">
        <f t="shared" si="86"/>
        <v>2.939167372677006</v>
      </c>
      <c r="P70" s="116">
        <f t="shared" si="86"/>
        <v>2.9807088907689221</v>
      </c>
      <c r="Q70" s="116">
        <f t="shared" si="86"/>
        <v>3.0248391992358732</v>
      </c>
      <c r="R70" s="116">
        <f t="shared" si="86"/>
        <v>3.0677794239540126</v>
      </c>
      <c r="S70" s="116">
        <f t="shared" si="86"/>
        <v>3.1114482276462394</v>
      </c>
      <c r="T70" s="116">
        <f t="shared" si="86"/>
        <v>3.1599543118478484</v>
      </c>
      <c r="U70" s="116">
        <f t="shared" si="86"/>
        <v>3.2051557158548261</v>
      </c>
      <c r="V70" s="116">
        <f t="shared" si="86"/>
        <v>3.2511278961860786</v>
      </c>
      <c r="W70" s="116">
        <f t="shared" si="86"/>
        <v>3.3021417669585045</v>
      </c>
      <c r="X70" s="116">
        <f t="shared" si="86"/>
        <v>3.3475326881991601</v>
      </c>
      <c r="Y70" s="116">
        <f t="shared" si="86"/>
        <v>3.3980169975099468</v>
      </c>
      <c r="Z70" s="116">
        <f t="shared" si="86"/>
        <v>3.449372730076691</v>
      </c>
      <c r="AA70" s="116">
        <f t="shared" si="86"/>
        <v>3.4992751111551241</v>
      </c>
      <c r="AB70" s="116">
        <f t="shared" si="86"/>
        <v>3.2076688518921972</v>
      </c>
      <c r="AC70" s="116">
        <f t="shared" si="86"/>
        <v>2.9160625926292698</v>
      </c>
      <c r="AD70" s="116">
        <f t="shared" si="86"/>
        <v>2.6244563333663429</v>
      </c>
      <c r="AE70" s="116">
        <f t="shared" si="86"/>
        <v>2.3328500741034155</v>
      </c>
      <c r="AF70" s="116">
        <f t="shared" si="86"/>
        <v>2.0412438148404881</v>
      </c>
      <c r="AG70" s="116">
        <f t="shared" si="86"/>
        <v>1.7496375555775612</v>
      </c>
      <c r="AH70" s="116">
        <f t="shared" si="86"/>
        <v>1.4580312963146342</v>
      </c>
      <c r="AI70" s="116">
        <f t="shared" ref="AI70:BK70" si="87">AI58/$C$66</f>
        <v>1.1664250370517071</v>
      </c>
      <c r="AJ70" s="116">
        <f t="shared" si="87"/>
        <v>0.87481877778877981</v>
      </c>
      <c r="AK70" s="116">
        <f t="shared" si="87"/>
        <v>0.58321251852585299</v>
      </c>
      <c r="AL70" s="116">
        <f t="shared" si="87"/>
        <v>0.29160625926292583</v>
      </c>
      <c r="AM70" s="116">
        <f t="shared" si="87"/>
        <v>-1.0480505352461477E-15</v>
      </c>
      <c r="AN70" s="116">
        <f t="shared" si="87"/>
        <v>-1.0647701841253281E-15</v>
      </c>
      <c r="AO70" s="116">
        <f t="shared" si="87"/>
        <v>-1.0796263817408656E-15</v>
      </c>
      <c r="AP70" s="116">
        <f t="shared" si="87"/>
        <v>-1.0961528436389362E-15</v>
      </c>
      <c r="AQ70" s="116">
        <f t="shared" si="87"/>
        <v>-1.1129411434575047E-15</v>
      </c>
      <c r="AR70" s="116">
        <f t="shared" si="87"/>
        <v>-1.1292486580510333E-15</v>
      </c>
      <c r="AS70" s="116">
        <f t="shared" si="87"/>
        <v>-1.1473208406013141E-15</v>
      </c>
      <c r="AT70" s="116">
        <f t="shared" si="87"/>
        <v>-1.1633710954214949E-15</v>
      </c>
      <c r="AU70" s="116">
        <f t="shared" si="87"/>
        <v>-1.1804444940950411E-15</v>
      </c>
      <c r="AV70" s="116">
        <f t="shared" si="87"/>
        <v>-1.1977866870273079E-15</v>
      </c>
      <c r="AW70" s="116">
        <f t="shared" si="87"/>
        <v>-1.2169961454962134E-15</v>
      </c>
      <c r="AX70" s="116">
        <f t="shared" si="87"/>
        <v>-1.2340569680017399E-15</v>
      </c>
      <c r="AY70" s="116">
        <f t="shared" si="87"/>
        <v>-1.2530271435675517E-15</v>
      </c>
      <c r="AZ70" s="116">
        <f t="shared" si="87"/>
        <v>-1.2722889325437074E-15</v>
      </c>
      <c r="BA70" s="116">
        <f t="shared" si="87"/>
        <v>-1.2901436317668791E-15</v>
      </c>
      <c r="BB70" s="116">
        <f t="shared" si="87"/>
        <v>-1.31085602024987E-15</v>
      </c>
      <c r="BC70" s="116">
        <f t="shared" si="87"/>
        <v>-1.3301444776379062E-15</v>
      </c>
      <c r="BD70" s="116">
        <f t="shared" si="87"/>
        <v>-1.3497167530674838E-15</v>
      </c>
      <c r="BE70" s="116">
        <f t="shared" si="87"/>
        <v>-1.3713969284877052E-15</v>
      </c>
      <c r="BF70" s="116">
        <f t="shared" si="87"/>
        <v>-1.3906525600932122E-15</v>
      </c>
      <c r="BG70" s="116">
        <f t="shared" si="87"/>
        <v>-1.411115175538811E-15</v>
      </c>
      <c r="BH70" s="116">
        <f t="shared" si="87"/>
        <v>-1.4328413107242386E-15</v>
      </c>
      <c r="BI70" s="116">
        <f t="shared" si="87"/>
        <v>-1.4549019508163372E-15</v>
      </c>
      <c r="BJ70" s="116">
        <f t="shared" si="87"/>
        <v>-1.4753407789386333E-15</v>
      </c>
      <c r="BK70" s="116">
        <f t="shared" si="87"/>
        <v>-1.4990512616457949E-15</v>
      </c>
    </row>
    <row r="71" spans="2:63" x14ac:dyDescent="0.3">
      <c r="B71" s="30" t="s">
        <v>113</v>
      </c>
      <c r="C71" s="116">
        <f t="shared" ref="C71:AH71" si="88">C59/$C$66</f>
        <v>5</v>
      </c>
      <c r="D71" s="116">
        <f t="shared" si="88"/>
        <v>4.986907080470278</v>
      </c>
      <c r="E71" s="116">
        <f t="shared" si="88"/>
        <v>4.9264302866513168</v>
      </c>
      <c r="F71" s="116">
        <f t="shared" si="88"/>
        <v>4.8305564492542743</v>
      </c>
      <c r="G71" s="116">
        <f t="shared" si="88"/>
        <v>5.0161626416801495</v>
      </c>
      <c r="H71" s="116">
        <f t="shared" si="88"/>
        <v>5.1908786493495276</v>
      </c>
      <c r="I71" s="116">
        <f t="shared" si="88"/>
        <v>5.3709123717807659</v>
      </c>
      <c r="J71" s="116">
        <f t="shared" si="88"/>
        <v>5.5959437511553221</v>
      </c>
      <c r="K71" s="116">
        <f t="shared" si="88"/>
        <v>5.7923769203678166</v>
      </c>
      <c r="L71" s="116">
        <f t="shared" si="88"/>
        <v>5.9875779153746436</v>
      </c>
      <c r="M71" s="116">
        <f t="shared" si="88"/>
        <v>6.2279046764207777</v>
      </c>
      <c r="N71" s="116">
        <f t="shared" si="88"/>
        <v>6.444533814362658</v>
      </c>
      <c r="O71" s="116">
        <f t="shared" si="88"/>
        <v>6.6598691729286168</v>
      </c>
      <c r="P71" s="116">
        <f t="shared" si="88"/>
        <v>6.9271298840982585</v>
      </c>
      <c r="Q71" s="116">
        <f t="shared" si="88"/>
        <v>7.1726108060557658</v>
      </c>
      <c r="R71" s="116">
        <f t="shared" si="88"/>
        <v>7.4240013976888442</v>
      </c>
      <c r="S71" s="116">
        <f t="shared" si="88"/>
        <v>7.7042754045472428</v>
      </c>
      <c r="T71" s="116">
        <f t="shared" si="88"/>
        <v>7.9581062400625386</v>
      </c>
      <c r="U71" s="116">
        <f t="shared" si="88"/>
        <v>8.2212001418868397</v>
      </c>
      <c r="V71" s="116">
        <f t="shared" si="88"/>
        <v>8.5157635009730157</v>
      </c>
      <c r="W71" s="116">
        <f t="shared" si="88"/>
        <v>8.7827451358372777</v>
      </c>
      <c r="X71" s="116">
        <f t="shared" si="88"/>
        <v>9.0615809327570105</v>
      </c>
      <c r="Y71" s="116">
        <f t="shared" si="88"/>
        <v>9.3693846186164205</v>
      </c>
      <c r="Z71" s="116">
        <f t="shared" si="88"/>
        <v>9.6534889167093336</v>
      </c>
      <c r="AA71" s="116">
        <f t="shared" si="88"/>
        <v>9.9440776685941827</v>
      </c>
      <c r="AB71" s="116">
        <f t="shared" si="88"/>
        <v>10.26848041853953</v>
      </c>
      <c r="AC71" s="116">
        <f t="shared" si="88"/>
        <v>10.573424024440504</v>
      </c>
      <c r="AD71" s="116">
        <f t="shared" si="88"/>
        <v>10.884420106231532</v>
      </c>
      <c r="AE71" s="116">
        <f t="shared" si="88"/>
        <v>11.227012056310716</v>
      </c>
      <c r="AF71" s="116">
        <f t="shared" si="88"/>
        <v>11.545586072391506</v>
      </c>
      <c r="AG71" s="116">
        <f t="shared" si="88"/>
        <v>11.869430534019225</v>
      </c>
      <c r="AH71" s="116">
        <f t="shared" si="88"/>
        <v>12.231856087110161</v>
      </c>
      <c r="AI71" s="116">
        <f t="shared" ref="AI71:BK71" si="89">AI59/$C$66</f>
        <v>12.564357421975892</v>
      </c>
      <c r="AJ71" s="116">
        <f t="shared" si="89"/>
        <v>12.905673587817509</v>
      </c>
      <c r="AK71" s="116">
        <f t="shared" si="89"/>
        <v>13.284524271407966</v>
      </c>
      <c r="AL71" s="116">
        <f t="shared" si="89"/>
        <v>13.634141235479238</v>
      </c>
      <c r="AM71" s="116">
        <f t="shared" si="89"/>
        <v>13.991627765305696</v>
      </c>
      <c r="AN71" s="116">
        <f t="shared" si="89"/>
        <v>14.38854705298108</v>
      </c>
      <c r="AO71" s="116">
        <f t="shared" si="89"/>
        <v>14.748332592908426</v>
      </c>
      <c r="AP71" s="116">
        <f t="shared" si="89"/>
        <v>15.112465511515317</v>
      </c>
      <c r="AQ71" s="116">
        <f t="shared" si="89"/>
        <v>15.543905268242678</v>
      </c>
      <c r="AR71" s="116">
        <f t="shared" si="89"/>
        <v>15.934982255135628</v>
      </c>
      <c r="AS71" s="116">
        <f t="shared" si="89"/>
        <v>16.330783216065569</v>
      </c>
      <c r="AT71" s="116">
        <f t="shared" si="89"/>
        <v>16.799742346755707</v>
      </c>
      <c r="AU71" s="116">
        <f t="shared" si="89"/>
        <v>17.224830337617195</v>
      </c>
      <c r="AV71" s="116">
        <f t="shared" si="89"/>
        <v>17.655054518538218</v>
      </c>
      <c r="AW71" s="116">
        <f t="shared" si="89"/>
        <v>18.164798449198585</v>
      </c>
      <c r="AX71" s="116">
        <f t="shared" si="89"/>
        <v>18.626853485471006</v>
      </c>
      <c r="AY71" s="116">
        <f t="shared" si="89"/>
        <v>19.094489900675871</v>
      </c>
      <c r="AZ71" s="116">
        <f t="shared" si="89"/>
        <v>19.648560826466973</v>
      </c>
      <c r="BA71" s="116">
        <f t="shared" si="89"/>
        <v>20.150797433295903</v>
      </c>
      <c r="BB71" s="116">
        <f t="shared" si="89"/>
        <v>20.658796367079521</v>
      </c>
      <c r="BC71" s="116">
        <f t="shared" si="89"/>
        <v>21.260747291519984</v>
      </c>
      <c r="BD71" s="116">
        <f t="shared" si="89"/>
        <v>21.806355129107274</v>
      </c>
      <c r="BE71" s="116">
        <f t="shared" si="89"/>
        <v>22.358529318891701</v>
      </c>
      <c r="BF71" s="116">
        <f t="shared" si="89"/>
        <v>23.018396396017188</v>
      </c>
      <c r="BG71" s="116">
        <f t="shared" si="89"/>
        <v>23.613818992216054</v>
      </c>
      <c r="BH71" s="116">
        <f t="shared" si="89"/>
        <v>24.214171626112464</v>
      </c>
      <c r="BI71" s="116">
        <f t="shared" si="89"/>
        <v>24.89128988323062</v>
      </c>
      <c r="BJ71" s="116">
        <f t="shared" si="89"/>
        <v>25.576231217629385</v>
      </c>
      <c r="BK71" s="116">
        <f t="shared" si="89"/>
        <v>26.26908601313389</v>
      </c>
    </row>
    <row r="72" spans="2:63" x14ac:dyDescent="0.3">
      <c r="B72" s="30" t="s">
        <v>72</v>
      </c>
      <c r="C72" s="116">
        <f t="shared" ref="C72:AG72" si="90">C61/$C$66</f>
        <v>10</v>
      </c>
      <c r="D72" s="116">
        <f t="shared" si="90"/>
        <v>6.8146479699547688</v>
      </c>
      <c r="E72" s="116">
        <f t="shared" si="90"/>
        <v>3.6253168910892888</v>
      </c>
      <c r="F72" s="116">
        <f t="shared" si="90"/>
        <v>0.40143063300858811</v>
      </c>
      <c r="G72" s="116">
        <f t="shared" si="90"/>
        <v>0.20000000000000093</v>
      </c>
      <c r="H72" s="116">
        <f t="shared" si="90"/>
        <v>0.20000000000000093</v>
      </c>
      <c r="I72" s="116">
        <f t="shared" si="90"/>
        <v>0.20000000000000093</v>
      </c>
      <c r="J72" s="116">
        <f t="shared" si="90"/>
        <v>0.20000000000000093</v>
      </c>
      <c r="K72" s="116">
        <f t="shared" si="90"/>
        <v>0.20000000000000093</v>
      </c>
      <c r="L72" s="116">
        <f t="shared" si="90"/>
        <v>0.20000000000000093</v>
      </c>
      <c r="M72" s="116">
        <f t="shared" si="90"/>
        <v>0.20000000000000093</v>
      </c>
      <c r="N72" s="116">
        <f t="shared" si="90"/>
        <v>0.20000000000000093</v>
      </c>
      <c r="O72" s="116">
        <f t="shared" si="90"/>
        <v>0.20000000000000093</v>
      </c>
      <c r="P72" s="116">
        <f t="shared" si="90"/>
        <v>0.20000000000000093</v>
      </c>
      <c r="Q72" s="116">
        <f t="shared" si="90"/>
        <v>0.20000000000000093</v>
      </c>
      <c r="R72" s="116">
        <f t="shared" si="90"/>
        <v>0.20000000000000093</v>
      </c>
      <c r="S72" s="116">
        <f t="shared" si="90"/>
        <v>0.20000000000000093</v>
      </c>
      <c r="T72" s="116">
        <f t="shared" si="90"/>
        <v>0.20000000000000093</v>
      </c>
      <c r="U72" s="116">
        <f t="shared" si="90"/>
        <v>0.20000000000001211</v>
      </c>
      <c r="V72" s="116">
        <f t="shared" si="90"/>
        <v>0.20000000000001211</v>
      </c>
      <c r="W72" s="116">
        <f t="shared" si="90"/>
        <v>0.20000000000001211</v>
      </c>
      <c r="X72" s="116">
        <f t="shared" si="90"/>
        <v>0.20000000000001211</v>
      </c>
      <c r="Y72" s="116">
        <f t="shared" si="90"/>
        <v>0.20000000000001211</v>
      </c>
      <c r="Z72" s="116">
        <f t="shared" si="90"/>
        <v>0.20000000000001211</v>
      </c>
      <c r="AA72" s="116">
        <f t="shared" si="90"/>
        <v>0.20000000000001211</v>
      </c>
      <c r="AB72" s="116">
        <f t="shared" si="90"/>
        <v>0.20000000000001211</v>
      </c>
      <c r="AC72" s="116">
        <f t="shared" si="90"/>
        <v>0.20000000000001211</v>
      </c>
      <c r="AD72" s="116">
        <f t="shared" si="90"/>
        <v>0.20000000000001211</v>
      </c>
      <c r="AE72" s="116">
        <f t="shared" si="90"/>
        <v>0.20000000000001211</v>
      </c>
      <c r="AF72" s="116">
        <f t="shared" si="90"/>
        <v>0.20000000000001211</v>
      </c>
      <c r="AG72" s="116">
        <f t="shared" si="90"/>
        <v>0.20000000000001211</v>
      </c>
      <c r="AH72" s="116">
        <f t="shared" ref="AH72:BK72" si="91">AH61/$C$66</f>
        <v>0.20000000000001211</v>
      </c>
      <c r="AI72" s="116">
        <f t="shared" si="91"/>
        <v>0.20000000000001211</v>
      </c>
      <c r="AJ72" s="116">
        <f t="shared" si="91"/>
        <v>0.20000000000001211</v>
      </c>
      <c r="AK72" s="116">
        <f t="shared" si="91"/>
        <v>0.20000000000001211</v>
      </c>
      <c r="AL72" s="116">
        <f t="shared" si="91"/>
        <v>0.20000000000001211</v>
      </c>
      <c r="AM72" s="116">
        <f t="shared" si="91"/>
        <v>0.20000000000001211</v>
      </c>
      <c r="AN72" s="116">
        <f t="shared" si="91"/>
        <v>0.20000000000001211</v>
      </c>
      <c r="AO72" s="116">
        <f t="shared" si="91"/>
        <v>0.20000000000001211</v>
      </c>
      <c r="AP72" s="116">
        <f t="shared" si="91"/>
        <v>0.20000000000001211</v>
      </c>
      <c r="AQ72" s="116">
        <f t="shared" si="91"/>
        <v>0.20000000000001211</v>
      </c>
      <c r="AR72" s="116">
        <f t="shared" si="91"/>
        <v>0.20000000000001211</v>
      </c>
      <c r="AS72" s="116">
        <f t="shared" si="91"/>
        <v>0.20000000000001211</v>
      </c>
      <c r="AT72" s="116">
        <f t="shared" si="91"/>
        <v>0.20000000000001211</v>
      </c>
      <c r="AU72" s="116">
        <f t="shared" si="91"/>
        <v>0.20000000000001211</v>
      </c>
      <c r="AV72" s="116">
        <f t="shared" si="91"/>
        <v>0.20000000000001211</v>
      </c>
      <c r="AW72" s="116">
        <f t="shared" si="91"/>
        <v>0.20000000000001211</v>
      </c>
      <c r="AX72" s="116">
        <f t="shared" si="91"/>
        <v>0.20000000000001211</v>
      </c>
      <c r="AY72" s="116">
        <f t="shared" si="91"/>
        <v>0.20000000000001211</v>
      </c>
      <c r="AZ72" s="116">
        <f t="shared" si="91"/>
        <v>0.20000000000001211</v>
      </c>
      <c r="BA72" s="116">
        <f t="shared" si="91"/>
        <v>0.20000000000001211</v>
      </c>
      <c r="BB72" s="116">
        <f t="shared" si="91"/>
        <v>0.20000000000001211</v>
      </c>
      <c r="BC72" s="116">
        <f t="shared" si="91"/>
        <v>0.20000000000001211</v>
      </c>
      <c r="BD72" s="116">
        <f t="shared" si="91"/>
        <v>0.20000000000001211</v>
      </c>
      <c r="BE72" s="116">
        <f t="shared" si="91"/>
        <v>0.20000000000001211</v>
      </c>
      <c r="BF72" s="116">
        <f t="shared" si="91"/>
        <v>0.68820943971114423</v>
      </c>
      <c r="BG72" s="116">
        <f t="shared" si="91"/>
        <v>0.4076858128309287</v>
      </c>
      <c r="BH72" s="116">
        <f t="shared" si="91"/>
        <v>0.2141716261124583</v>
      </c>
      <c r="BI72" s="116">
        <f t="shared" si="91"/>
        <v>0.89128988323060987</v>
      </c>
      <c r="BJ72" s="116">
        <f t="shared" si="91"/>
        <v>1.5762312176293778</v>
      </c>
      <c r="BK72" s="116">
        <f t="shared" si="91"/>
        <v>2.2690860131338835</v>
      </c>
    </row>
  </sheetData>
  <conditionalFormatting sqref="D17:BK17">
    <cfRule type="cellIs" dxfId="19" priority="1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D7" formula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E1A84E6-34CC-4EDC-B929-202EB10788EA}">
            <xm:f>ROUND(D$17,4)&lt;ROUND(Inputs!$C$12,4)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D17:BK17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852A6-71DF-4E66-8CA1-A7841584EA66}">
  <sheetPr codeName="Planilha8">
    <tabColor rgb="FF0000FF"/>
  </sheetPr>
  <dimension ref="A2:L82"/>
  <sheetViews>
    <sheetView showGridLines="0" workbookViewId="0"/>
  </sheetViews>
  <sheetFormatPr defaultColWidth="9" defaultRowHeight="15.75" x14ac:dyDescent="0.3"/>
  <cols>
    <col min="1" max="1" width="1.625" style="47" customWidth="1"/>
    <col min="2" max="2" width="58.75" style="47" bestFit="1" customWidth="1"/>
    <col min="3" max="3" width="17.125" style="46" bestFit="1" customWidth="1"/>
    <col min="4" max="4" width="31.75" style="47" bestFit="1" customWidth="1"/>
    <col min="5" max="5" width="13.25" style="47" bestFit="1" customWidth="1"/>
    <col min="6" max="6" width="23.625" style="47" bestFit="1" customWidth="1"/>
    <col min="7" max="7" width="18.375" style="47" bestFit="1" customWidth="1"/>
    <col min="8" max="8" width="8.75" style="47" bestFit="1" customWidth="1"/>
    <col min="9" max="9" width="17.125" style="47" bestFit="1" customWidth="1"/>
    <col min="10" max="10" width="18.5" style="47" bestFit="1" customWidth="1"/>
    <col min="11" max="11" width="36.875" style="47" bestFit="1" customWidth="1"/>
    <col min="12" max="12" width="14.125" style="47" bestFit="1" customWidth="1"/>
    <col min="13" max="16384" width="9" style="47"/>
  </cols>
  <sheetData>
    <row r="2" spans="2:10" x14ac:dyDescent="0.3">
      <c r="B2" s="45" t="s">
        <v>100</v>
      </c>
    </row>
    <row r="3" spans="2:10" x14ac:dyDescent="0.3">
      <c r="B3" s="48">
        <v>0</v>
      </c>
      <c r="D3" s="49"/>
      <c r="E3" s="49"/>
      <c r="F3" s="49"/>
      <c r="G3" s="49"/>
      <c r="H3" s="49"/>
      <c r="I3" s="49"/>
    </row>
    <row r="4" spans="2:10" ht="16.5" thickBot="1" x14ac:dyDescent="0.35">
      <c r="D4" s="49"/>
      <c r="E4" s="49"/>
      <c r="F4" s="49"/>
      <c r="G4" s="49"/>
      <c r="H4" s="49"/>
      <c r="I4" s="49"/>
    </row>
    <row r="5" spans="2:10" ht="16.5" thickBot="1" x14ac:dyDescent="0.35">
      <c r="B5" s="50" t="s">
        <v>10</v>
      </c>
      <c r="C5" s="51"/>
      <c r="D5" s="52"/>
      <c r="E5" s="52"/>
      <c r="F5" s="52"/>
      <c r="G5" s="52"/>
      <c r="H5" s="52"/>
      <c r="I5" s="52"/>
      <c r="J5" s="52"/>
    </row>
    <row r="6" spans="2:10" x14ac:dyDescent="0.3">
      <c r="B6" s="53"/>
      <c r="C6" s="54"/>
      <c r="E6" s="55"/>
    </row>
    <row r="7" spans="2:10" x14ac:dyDescent="0.3">
      <c r="B7" s="133" t="s">
        <v>11</v>
      </c>
      <c r="C7" s="134"/>
      <c r="D7" s="133"/>
      <c r="E7" s="133"/>
      <c r="F7" s="133"/>
      <c r="G7" s="133"/>
      <c r="H7" s="133"/>
      <c r="I7" s="133"/>
      <c r="J7" s="133"/>
    </row>
    <row r="8" spans="2:10" x14ac:dyDescent="0.3">
      <c r="B8" s="56" t="s">
        <v>12</v>
      </c>
      <c r="C8" s="57" t="s">
        <v>13</v>
      </c>
      <c r="D8" s="57" t="s">
        <v>14</v>
      </c>
      <c r="E8" s="57" t="s">
        <v>15</v>
      </c>
      <c r="F8" s="57" t="s">
        <v>16</v>
      </c>
      <c r="G8" s="57" t="s">
        <v>17</v>
      </c>
      <c r="H8" s="57" t="s">
        <v>18</v>
      </c>
      <c r="I8" s="57" t="s">
        <v>19</v>
      </c>
      <c r="J8" s="57" t="s">
        <v>20</v>
      </c>
    </row>
    <row r="9" spans="2:10" x14ac:dyDescent="0.3">
      <c r="B9" s="47" t="s">
        <v>63</v>
      </c>
      <c r="C9" s="46" t="s">
        <v>143</v>
      </c>
      <c r="D9" s="58">
        <v>50000</v>
      </c>
      <c r="E9" s="46" t="s">
        <v>22</v>
      </c>
      <c r="F9" s="46" t="s">
        <v>23</v>
      </c>
      <c r="G9" s="48">
        <f>D9</f>
        <v>50000</v>
      </c>
      <c r="H9" s="59">
        <v>0</v>
      </c>
      <c r="I9" s="60">
        <f>G9/(1-H9)</f>
        <v>50000</v>
      </c>
      <c r="J9" s="60"/>
    </row>
    <row r="10" spans="2:10" x14ac:dyDescent="0.3">
      <c r="B10" s="47" t="s">
        <v>60</v>
      </c>
      <c r="C10" s="46" t="s">
        <v>61</v>
      </c>
      <c r="D10" s="58">
        <v>1500</v>
      </c>
      <c r="E10" s="46" t="s">
        <v>22</v>
      </c>
      <c r="F10" s="46" t="s">
        <v>23</v>
      </c>
      <c r="G10" s="48">
        <f>D10</f>
        <v>1500</v>
      </c>
      <c r="H10" s="59">
        <v>0</v>
      </c>
      <c r="I10" s="60">
        <f t="shared" ref="I10:I15" si="0">G10/(1-H10)</f>
        <v>1500</v>
      </c>
      <c r="J10" s="61"/>
    </row>
    <row r="11" spans="2:10" x14ac:dyDescent="0.3">
      <c r="B11" s="47" t="s">
        <v>50</v>
      </c>
      <c r="C11" s="46" t="s">
        <v>51</v>
      </c>
      <c r="D11" s="60">
        <v>1207</v>
      </c>
      <c r="E11" s="46" t="s">
        <v>22</v>
      </c>
      <c r="F11" s="46" t="s">
        <v>23</v>
      </c>
      <c r="G11" s="48">
        <f>D11</f>
        <v>1207</v>
      </c>
      <c r="H11" s="59">
        <v>0</v>
      </c>
      <c r="I11" s="60">
        <f t="shared" si="0"/>
        <v>1207</v>
      </c>
      <c r="J11" s="61"/>
    </row>
    <row r="12" spans="2:10" x14ac:dyDescent="0.3">
      <c r="B12" s="47" t="s">
        <v>52</v>
      </c>
      <c r="C12" s="46" t="s">
        <v>51</v>
      </c>
      <c r="D12" s="60">
        <v>120.7</v>
      </c>
      <c r="E12" s="46" t="s">
        <v>22</v>
      </c>
      <c r="F12" s="46" t="s">
        <v>53</v>
      </c>
      <c r="G12" s="48">
        <f>D12</f>
        <v>120.7</v>
      </c>
      <c r="H12" s="59">
        <v>0</v>
      </c>
      <c r="I12" s="60">
        <f t="shared" si="0"/>
        <v>120.7</v>
      </c>
      <c r="J12" s="61"/>
    </row>
    <row r="13" spans="2:10" x14ac:dyDescent="0.3">
      <c r="B13" s="47" t="s">
        <v>54</v>
      </c>
      <c r="C13" s="46" t="s">
        <v>51</v>
      </c>
      <c r="D13" s="62">
        <v>3.4789999999999997E-5</v>
      </c>
      <c r="E13" s="46" t="s">
        <v>22</v>
      </c>
      <c r="F13" s="46" t="s">
        <v>64</v>
      </c>
      <c r="G13" s="48">
        <f>D13*Inputs!E20</f>
        <v>86.974999999999994</v>
      </c>
      <c r="H13" s="59">
        <v>0</v>
      </c>
      <c r="I13" s="60">
        <f t="shared" si="0"/>
        <v>86.974999999999994</v>
      </c>
      <c r="J13" s="61"/>
    </row>
    <row r="14" spans="2:10" x14ac:dyDescent="0.3">
      <c r="B14" s="63" t="s">
        <v>56</v>
      </c>
      <c r="C14" s="46" t="s">
        <v>26</v>
      </c>
      <c r="D14" s="62" t="s">
        <v>57</v>
      </c>
      <c r="E14" s="46" t="s">
        <v>22</v>
      </c>
      <c r="F14" s="46" t="s">
        <v>64</v>
      </c>
      <c r="G14" s="48">
        <f>SUM(E56:E62)</f>
        <v>22</v>
      </c>
      <c r="H14" s="59">
        <v>0</v>
      </c>
      <c r="I14" s="60">
        <f t="shared" si="0"/>
        <v>22</v>
      </c>
      <c r="J14" s="61"/>
    </row>
    <row r="15" spans="2:10" x14ac:dyDescent="0.3">
      <c r="B15" s="63" t="s">
        <v>25</v>
      </c>
      <c r="C15" s="46" t="s">
        <v>26</v>
      </c>
      <c r="D15" s="62" t="s">
        <v>57</v>
      </c>
      <c r="E15" s="46" t="s">
        <v>22</v>
      </c>
      <c r="F15" s="46" t="s">
        <v>64</v>
      </c>
      <c r="G15" s="48">
        <f>SUM(F67:F71)</f>
        <v>725</v>
      </c>
      <c r="H15" s="59">
        <v>0</v>
      </c>
      <c r="I15" s="60">
        <f t="shared" si="0"/>
        <v>725</v>
      </c>
      <c r="J15" s="61"/>
    </row>
    <row r="16" spans="2:10" x14ac:dyDescent="0.3">
      <c r="B16" s="64" t="s">
        <v>27</v>
      </c>
      <c r="C16" s="65"/>
      <c r="D16" s="66"/>
      <c r="E16" s="66"/>
      <c r="F16" s="66"/>
      <c r="G16" s="67"/>
      <c r="H16" s="67"/>
      <c r="I16" s="68">
        <f>SUM(I9:I15)</f>
        <v>53661.674999999996</v>
      </c>
      <c r="J16" s="69"/>
    </row>
    <row r="17" spans="1:12" x14ac:dyDescent="0.3">
      <c r="G17" s="70"/>
    </row>
    <row r="18" spans="1:12" x14ac:dyDescent="0.3">
      <c r="B18" s="133" t="s">
        <v>28</v>
      </c>
      <c r="C18" s="134"/>
      <c r="D18" s="133"/>
      <c r="E18" s="133"/>
      <c r="F18" s="133"/>
      <c r="G18" s="133"/>
      <c r="H18" s="133"/>
      <c r="I18" s="133"/>
      <c r="J18" s="133"/>
      <c r="K18" s="133"/>
    </row>
    <row r="19" spans="1:12" x14ac:dyDescent="0.3">
      <c r="B19" s="56" t="s">
        <v>12</v>
      </c>
      <c r="C19" s="57"/>
      <c r="D19" s="57" t="s">
        <v>14</v>
      </c>
      <c r="E19" s="57" t="s">
        <v>15</v>
      </c>
      <c r="F19" s="57" t="s">
        <v>16</v>
      </c>
      <c r="G19" s="57" t="s">
        <v>29</v>
      </c>
      <c r="H19" s="57" t="s">
        <v>18</v>
      </c>
      <c r="I19" s="57" t="s">
        <v>30</v>
      </c>
      <c r="J19" s="57" t="s">
        <v>49</v>
      </c>
      <c r="K19" s="215" t="s">
        <v>167</v>
      </c>
    </row>
    <row r="20" spans="1:12" x14ac:dyDescent="0.3">
      <c r="B20" s="71" t="s">
        <v>59</v>
      </c>
      <c r="C20" s="72" t="s">
        <v>112</v>
      </c>
      <c r="D20" s="73">
        <v>1E-3</v>
      </c>
      <c r="E20" s="46" t="s">
        <v>32</v>
      </c>
      <c r="F20" s="46" t="s">
        <v>64</v>
      </c>
      <c r="G20" s="60">
        <f>MAX(Inputs!$E$20*D20,J20*12)</f>
        <v>156000</v>
      </c>
      <c r="H20" s="59">
        <v>0</v>
      </c>
      <c r="I20" s="60">
        <f t="shared" ref="I20:I25" si="1">G20/(1-H20)</f>
        <v>156000</v>
      </c>
      <c r="J20" s="74">
        <v>13000</v>
      </c>
      <c r="K20" s="74">
        <v>50000000</v>
      </c>
      <c r="L20" s="204"/>
    </row>
    <row r="21" spans="1:12" x14ac:dyDescent="0.3">
      <c r="B21" s="71" t="s">
        <v>117</v>
      </c>
      <c r="C21" s="72" t="s">
        <v>143</v>
      </c>
      <c r="D21" s="73">
        <v>1E-3</v>
      </c>
      <c r="E21" s="46" t="s">
        <v>32</v>
      </c>
      <c r="F21" s="46" t="s">
        <v>64</v>
      </c>
      <c r="G21" s="60">
        <f>MAX(Inputs!$E$20*D21,J21*12)</f>
        <v>144000</v>
      </c>
      <c r="H21" s="59">
        <v>0</v>
      </c>
      <c r="I21" s="60">
        <f t="shared" si="1"/>
        <v>144000</v>
      </c>
      <c r="J21" s="74">
        <v>12000</v>
      </c>
      <c r="K21" s="74">
        <v>50000000</v>
      </c>
    </row>
    <row r="22" spans="1:12" x14ac:dyDescent="0.3">
      <c r="B22" s="63" t="s">
        <v>33</v>
      </c>
      <c r="C22" s="72" t="s">
        <v>34</v>
      </c>
      <c r="D22" s="60">
        <f>VLOOKUP(B3,'Custos FIDC'!B30:D39,3,TRUE)</f>
        <v>939.81</v>
      </c>
      <c r="E22" s="46" t="s">
        <v>35</v>
      </c>
      <c r="F22" s="46" t="s">
        <v>36</v>
      </c>
      <c r="G22" s="48">
        <f>D22*4</f>
        <v>3759.24</v>
      </c>
      <c r="H22" s="59">
        <v>0</v>
      </c>
      <c r="I22" s="60">
        <f t="shared" si="1"/>
        <v>3759.24</v>
      </c>
      <c r="J22" s="61"/>
    </row>
    <row r="23" spans="1:12" x14ac:dyDescent="0.3">
      <c r="B23" s="63" t="s">
        <v>62</v>
      </c>
      <c r="C23" s="72" t="s">
        <v>24</v>
      </c>
      <c r="D23" s="60">
        <f>VLOOKUP(B3,'Custos FIDC'!B43:D52,3,TRUE)</f>
        <v>68.5</v>
      </c>
      <c r="E23" s="46" t="s">
        <v>37</v>
      </c>
      <c r="F23" s="46" t="s">
        <v>36</v>
      </c>
      <c r="G23" s="48">
        <f>D23*6</f>
        <v>411</v>
      </c>
      <c r="H23" s="59">
        <v>0</v>
      </c>
      <c r="I23" s="60">
        <f t="shared" si="1"/>
        <v>411</v>
      </c>
      <c r="J23" s="61"/>
    </row>
    <row r="24" spans="1:12" x14ac:dyDescent="0.3">
      <c r="A24" s="75"/>
      <c r="B24" s="63" t="s">
        <v>125</v>
      </c>
      <c r="C24" s="72" t="s">
        <v>126</v>
      </c>
      <c r="D24" s="62" t="s">
        <v>57</v>
      </c>
      <c r="E24" s="72" t="s">
        <v>32</v>
      </c>
      <c r="F24" s="72" t="s">
        <v>36</v>
      </c>
      <c r="G24" s="60">
        <f>SUM(F67:F71)*12</f>
        <v>8700</v>
      </c>
      <c r="H24" s="59">
        <v>0</v>
      </c>
      <c r="I24" s="60">
        <f t="shared" si="1"/>
        <v>8700</v>
      </c>
      <c r="J24" s="162"/>
    </row>
    <row r="25" spans="1:12" x14ac:dyDescent="0.3">
      <c r="A25" s="76"/>
      <c r="B25" s="77" t="s">
        <v>38</v>
      </c>
      <c r="C25" s="78" t="s">
        <v>21</v>
      </c>
      <c r="D25" s="79">
        <v>30000</v>
      </c>
      <c r="E25" s="80" t="s">
        <v>31</v>
      </c>
      <c r="F25" s="78" t="s">
        <v>23</v>
      </c>
      <c r="G25" s="79">
        <f>D25</f>
        <v>30000</v>
      </c>
      <c r="H25" s="81">
        <v>0</v>
      </c>
      <c r="I25" s="79">
        <f t="shared" si="1"/>
        <v>30000</v>
      </c>
      <c r="J25" s="82"/>
    </row>
    <row r="26" spans="1:12" x14ac:dyDescent="0.3">
      <c r="A26" s="76"/>
      <c r="B26" s="64" t="s">
        <v>27</v>
      </c>
      <c r="C26" s="65"/>
      <c r="D26" s="66"/>
      <c r="E26" s="66"/>
      <c r="F26" s="66"/>
      <c r="G26" s="66"/>
      <c r="H26" s="66"/>
      <c r="I26" s="68">
        <f>SUM(I20:I25)</f>
        <v>342870.24</v>
      </c>
      <c r="J26" s="69"/>
      <c r="K26" s="69"/>
    </row>
    <row r="27" spans="1:12" x14ac:dyDescent="0.3">
      <c r="A27" s="76"/>
      <c r="B27" s="76"/>
      <c r="C27" s="83"/>
      <c r="D27" s="83"/>
      <c r="E27" s="84"/>
      <c r="F27" s="83"/>
      <c r="G27" s="83"/>
      <c r="H27" s="85"/>
      <c r="I27" s="84"/>
      <c r="J27" s="76"/>
    </row>
    <row r="28" spans="1:12" x14ac:dyDescent="0.3">
      <c r="A28" s="76"/>
      <c r="B28" s="135" t="s">
        <v>39</v>
      </c>
      <c r="C28" s="136"/>
      <c r="D28" s="137"/>
      <c r="E28" s="86"/>
      <c r="F28" s="83"/>
      <c r="G28" s="83"/>
      <c r="H28" s="85"/>
      <c r="I28" s="84"/>
      <c r="J28" s="76"/>
    </row>
    <row r="29" spans="1:12" x14ac:dyDescent="0.3">
      <c r="A29" s="76"/>
      <c r="B29" s="87" t="s">
        <v>40</v>
      </c>
      <c r="C29" s="87" t="s">
        <v>41</v>
      </c>
      <c r="D29" s="87" t="s">
        <v>42</v>
      </c>
      <c r="E29" s="46"/>
      <c r="F29" s="83"/>
      <c r="G29" s="60"/>
      <c r="H29" s="85"/>
      <c r="I29" s="84"/>
      <c r="J29" s="76"/>
    </row>
    <row r="30" spans="1:12" x14ac:dyDescent="0.3">
      <c r="A30" s="76"/>
      <c r="B30" s="88">
        <v>0</v>
      </c>
      <c r="C30" s="88">
        <v>5031489.2</v>
      </c>
      <c r="D30" s="88">
        <v>939.81</v>
      </c>
      <c r="E30" s="46"/>
      <c r="F30" s="83"/>
      <c r="G30" s="60"/>
      <c r="H30" s="85"/>
      <c r="I30" s="84"/>
      <c r="J30" s="76"/>
    </row>
    <row r="31" spans="1:12" x14ac:dyDescent="0.3">
      <c r="A31" s="76"/>
      <c r="B31" s="88">
        <v>5031489.21</v>
      </c>
      <c r="C31" s="88">
        <v>10062978.4</v>
      </c>
      <c r="D31" s="88">
        <v>1409.71</v>
      </c>
      <c r="E31" s="46"/>
      <c r="F31" s="83"/>
      <c r="G31" s="60"/>
      <c r="H31" s="85"/>
      <c r="I31" s="84"/>
      <c r="J31" s="76"/>
    </row>
    <row r="32" spans="1:12" x14ac:dyDescent="0.3">
      <c r="A32" s="76"/>
      <c r="B32" s="88">
        <v>10062978.41</v>
      </c>
      <c r="C32" s="88">
        <v>20125956.799999997</v>
      </c>
      <c r="D32" s="88">
        <v>2114.5700000000002</v>
      </c>
      <c r="E32" s="46"/>
      <c r="F32" s="83"/>
      <c r="G32" s="60"/>
      <c r="H32" s="85"/>
      <c r="I32" s="84"/>
      <c r="J32" s="76"/>
    </row>
    <row r="33" spans="1:10" x14ac:dyDescent="0.3">
      <c r="A33" s="76"/>
      <c r="B33" s="88">
        <v>20125956.809999999</v>
      </c>
      <c r="C33" s="88">
        <v>40251913.600000001</v>
      </c>
      <c r="D33" s="88">
        <v>2819.43</v>
      </c>
      <c r="E33" s="46"/>
      <c r="F33" s="83"/>
      <c r="G33" s="60"/>
      <c r="H33" s="85"/>
      <c r="I33" s="84"/>
      <c r="J33" s="76"/>
    </row>
    <row r="34" spans="1:10" x14ac:dyDescent="0.3">
      <c r="A34" s="76"/>
      <c r="B34" s="88">
        <v>40251913.609999999</v>
      </c>
      <c r="C34" s="88">
        <v>80503827.199999988</v>
      </c>
      <c r="D34" s="88">
        <v>3759.23</v>
      </c>
      <c r="E34" s="46"/>
      <c r="F34" s="83"/>
      <c r="G34" s="60"/>
      <c r="H34" s="85"/>
      <c r="I34" s="84"/>
      <c r="J34" s="76"/>
    </row>
    <row r="35" spans="1:10" x14ac:dyDescent="0.3">
      <c r="A35" s="76"/>
      <c r="B35" s="88">
        <v>80503827.209999993</v>
      </c>
      <c r="C35" s="88">
        <v>161007654.40000001</v>
      </c>
      <c r="D35" s="88">
        <v>6014.78</v>
      </c>
      <c r="E35" s="46"/>
      <c r="F35" s="83"/>
      <c r="G35" s="60"/>
      <c r="H35" s="85"/>
      <c r="I35" s="84"/>
      <c r="J35" s="76"/>
    </row>
    <row r="36" spans="1:10" x14ac:dyDescent="0.3">
      <c r="B36" s="88">
        <v>161007654.41</v>
      </c>
      <c r="C36" s="88">
        <v>322015308.80000001</v>
      </c>
      <c r="D36" s="88">
        <v>9022.16</v>
      </c>
      <c r="E36" s="46"/>
      <c r="F36" s="83"/>
      <c r="G36" s="60"/>
      <c r="H36" s="85"/>
      <c r="I36" s="84"/>
      <c r="J36" s="76"/>
    </row>
    <row r="37" spans="1:10" x14ac:dyDescent="0.3">
      <c r="B37" s="88">
        <v>322015308.81</v>
      </c>
      <c r="C37" s="88">
        <v>644030617.60000002</v>
      </c>
      <c r="D37" s="88">
        <v>12029.55</v>
      </c>
      <c r="E37" s="46"/>
      <c r="F37" s="83"/>
      <c r="G37" s="60"/>
      <c r="H37" s="85"/>
      <c r="I37" s="84"/>
      <c r="J37" s="76"/>
    </row>
    <row r="38" spans="1:10" x14ac:dyDescent="0.3">
      <c r="B38" s="88">
        <v>644030617.61000001</v>
      </c>
      <c r="C38" s="88">
        <v>1288061235.2</v>
      </c>
      <c r="D38" s="88">
        <v>15036.94</v>
      </c>
      <c r="E38" s="46"/>
      <c r="G38" s="60"/>
    </row>
    <row r="39" spans="1:10" x14ac:dyDescent="0.3">
      <c r="B39" s="89">
        <v>1288061235.21</v>
      </c>
      <c r="C39" s="89" t="s">
        <v>43</v>
      </c>
      <c r="D39" s="89">
        <v>16916.560000000001</v>
      </c>
      <c r="E39" s="46"/>
      <c r="G39" s="60"/>
    </row>
    <row r="40" spans="1:10" x14ac:dyDescent="0.3">
      <c r="G40" s="60"/>
    </row>
    <row r="41" spans="1:10" x14ac:dyDescent="0.3">
      <c r="B41" s="135" t="s">
        <v>44</v>
      </c>
      <c r="C41" s="136"/>
      <c r="D41" s="137"/>
      <c r="E41" s="46"/>
    </row>
    <row r="42" spans="1:10" x14ac:dyDescent="0.3">
      <c r="B42" s="87" t="s">
        <v>40</v>
      </c>
      <c r="C42" s="87" t="s">
        <v>41</v>
      </c>
      <c r="D42" s="90" t="s">
        <v>42</v>
      </c>
      <c r="E42" s="46"/>
    </row>
    <row r="43" spans="1:10" x14ac:dyDescent="0.3">
      <c r="B43" s="91">
        <v>0</v>
      </c>
      <c r="C43" s="91">
        <v>2500000</v>
      </c>
      <c r="D43" s="92">
        <v>68.5</v>
      </c>
      <c r="E43" s="46"/>
    </row>
    <row r="44" spans="1:10" x14ac:dyDescent="0.3">
      <c r="B44" s="88">
        <v>2500000.0099999998</v>
      </c>
      <c r="C44" s="88">
        <v>5000000</v>
      </c>
      <c r="D44" s="92">
        <v>103</v>
      </c>
      <c r="E44" s="46"/>
    </row>
    <row r="45" spans="1:10" x14ac:dyDescent="0.3">
      <c r="B45" s="88">
        <v>5000000.01</v>
      </c>
      <c r="C45" s="88">
        <v>10000000</v>
      </c>
      <c r="D45" s="92">
        <v>153</v>
      </c>
      <c r="E45" s="46"/>
    </row>
    <row r="46" spans="1:10" x14ac:dyDescent="0.3">
      <c r="B46" s="88">
        <v>10000000.01</v>
      </c>
      <c r="C46" s="88">
        <v>20000000</v>
      </c>
      <c r="D46" s="92">
        <v>206</v>
      </c>
      <c r="E46" s="46"/>
    </row>
    <row r="47" spans="1:10" x14ac:dyDescent="0.3">
      <c r="B47" s="88">
        <v>20000000.010000002</v>
      </c>
      <c r="C47" s="88">
        <v>40000000</v>
      </c>
      <c r="D47" s="92">
        <v>274</v>
      </c>
      <c r="E47" s="46"/>
    </row>
    <row r="48" spans="1:10" x14ac:dyDescent="0.3">
      <c r="B48" s="88">
        <v>40000000.009999998</v>
      </c>
      <c r="C48" s="88">
        <v>80000000</v>
      </c>
      <c r="D48" s="92">
        <v>440</v>
      </c>
      <c r="E48" s="46"/>
    </row>
    <row r="49" spans="2:5" x14ac:dyDescent="0.3">
      <c r="B49" s="88">
        <v>80000000.010000005</v>
      </c>
      <c r="C49" s="88">
        <v>160000000</v>
      </c>
      <c r="D49" s="92">
        <v>661</v>
      </c>
      <c r="E49" s="46"/>
    </row>
    <row r="50" spans="2:5" x14ac:dyDescent="0.3">
      <c r="B50" s="88">
        <v>160000000.00999999</v>
      </c>
      <c r="C50" s="88">
        <v>320000000</v>
      </c>
      <c r="D50" s="92">
        <v>775</v>
      </c>
      <c r="E50" s="46"/>
    </row>
    <row r="51" spans="2:5" x14ac:dyDescent="0.3">
      <c r="B51" s="88">
        <v>320000000.00999999</v>
      </c>
      <c r="C51" s="88">
        <v>640000000</v>
      </c>
      <c r="D51" s="92">
        <v>965</v>
      </c>
      <c r="E51" s="46"/>
    </row>
    <row r="52" spans="2:5" x14ac:dyDescent="0.3">
      <c r="B52" s="89">
        <v>640000000.00999999</v>
      </c>
      <c r="C52" s="89" t="s">
        <v>43</v>
      </c>
      <c r="D52" s="93">
        <v>1090</v>
      </c>
      <c r="E52" s="46"/>
    </row>
    <row r="54" spans="2:5" x14ac:dyDescent="0.3">
      <c r="B54" s="300" t="s">
        <v>45</v>
      </c>
      <c r="C54" s="301"/>
      <c r="D54" s="301"/>
      <c r="E54" s="302"/>
    </row>
    <row r="55" spans="2:5" x14ac:dyDescent="0.3">
      <c r="B55" s="87" t="s">
        <v>40</v>
      </c>
      <c r="C55" s="87" t="s">
        <v>41</v>
      </c>
      <c r="D55" s="90" t="s">
        <v>46</v>
      </c>
      <c r="E55" s="87" t="s">
        <v>55</v>
      </c>
    </row>
    <row r="56" spans="2:5" x14ac:dyDescent="0.3">
      <c r="B56" s="88">
        <v>0</v>
      </c>
      <c r="C56" s="88">
        <v>100000000</v>
      </c>
      <c r="D56" s="94">
        <v>8.8000000000000004E-6</v>
      </c>
      <c r="E56" s="95">
        <f>MAX(IF( Inputs!E20&gt;=$C$56,$C$56*$D$56, Inputs!E20*$D$56),0)</f>
        <v>22</v>
      </c>
    </row>
    <row r="57" spans="2:5" x14ac:dyDescent="0.3">
      <c r="B57" s="88">
        <v>100000000.01000001</v>
      </c>
      <c r="C57" s="88">
        <v>1000000000</v>
      </c>
      <c r="D57" s="96">
        <v>7.4000000000000003E-6</v>
      </c>
      <c r="E57" s="97">
        <f>MAX(IF( Inputs!E20-C56&lt;C57-C56,( Inputs!E20-C56)*D57,(C57-C56)*D57),0)</f>
        <v>0</v>
      </c>
    </row>
    <row r="58" spans="2:5" x14ac:dyDescent="0.3">
      <c r="B58" s="88">
        <v>1000000000.01</v>
      </c>
      <c r="C58" s="88">
        <v>2500000000</v>
      </c>
      <c r="D58" s="96">
        <v>4.8999999999999997E-6</v>
      </c>
      <c r="E58" s="97">
        <f>MAX(IF( Inputs!E20-C57&lt;C58-C57,( Inputs!E20-C57)*D58,(C58-C57)*D58),0)</f>
        <v>0</v>
      </c>
    </row>
    <row r="59" spans="2:5" x14ac:dyDescent="0.3">
      <c r="B59" s="88">
        <v>2500000000.0100002</v>
      </c>
      <c r="C59" s="88">
        <v>5000000000</v>
      </c>
      <c r="D59" s="96">
        <v>3.7000000000000002E-6</v>
      </c>
      <c r="E59" s="97">
        <f>MAX(IF( Inputs!E20-C58&lt;C59-C58,( Inputs!E20-C58)*D59,(C59-C58)*D59),0)</f>
        <v>0</v>
      </c>
    </row>
    <row r="60" spans="2:5" x14ac:dyDescent="0.3">
      <c r="B60" s="88">
        <v>5000000000.0100002</v>
      </c>
      <c r="C60" s="88">
        <v>15000000000</v>
      </c>
      <c r="D60" s="96">
        <v>3.1E-6</v>
      </c>
      <c r="E60" s="97">
        <f>MAX(IF( Inputs!E20-C59&lt;C60-C59,( Inputs!E20-C59)*D60,(C60-C59)*D60),0)</f>
        <v>0</v>
      </c>
    </row>
    <row r="61" spans="2:5" x14ac:dyDescent="0.3">
      <c r="B61" s="88">
        <v>15000000000.01</v>
      </c>
      <c r="C61" s="88">
        <v>50000000000</v>
      </c>
      <c r="D61" s="96">
        <v>2.5000000000000002E-6</v>
      </c>
      <c r="E61" s="97">
        <f>MAX(IF( Inputs!E20-C60&lt;C61-C60,( Inputs!E20-C60)*D61,(C61-C60)*D61),0)</f>
        <v>0</v>
      </c>
    </row>
    <row r="62" spans="2:5" x14ac:dyDescent="0.3">
      <c r="B62" s="89">
        <v>50000000000.010002</v>
      </c>
      <c r="C62" s="89"/>
      <c r="D62" s="98">
        <v>1.7999999999999999E-6</v>
      </c>
      <c r="E62" s="99">
        <f>MAX(IF( Inputs!E20-C61&lt;C62-C61,( Inputs!E20-C61)*D62,(C62-C61)*D62),0)</f>
        <v>0</v>
      </c>
    </row>
    <row r="63" spans="2:5" x14ac:dyDescent="0.3">
      <c r="B63" s="138"/>
      <c r="C63" s="138"/>
      <c r="D63" s="139" t="s">
        <v>58</v>
      </c>
      <c r="E63" s="140">
        <f>SUM(E56:E62)</f>
        <v>22</v>
      </c>
    </row>
    <row r="65" spans="2:8" x14ac:dyDescent="0.3">
      <c r="B65" s="300" t="s">
        <v>47</v>
      </c>
      <c r="C65" s="301"/>
      <c r="D65" s="301"/>
      <c r="E65" s="301"/>
      <c r="F65" s="302"/>
    </row>
    <row r="66" spans="2:8" x14ac:dyDescent="0.3">
      <c r="B66" s="87" t="s">
        <v>40</v>
      </c>
      <c r="C66" s="87" t="s">
        <v>41</v>
      </c>
      <c r="D66" s="57"/>
      <c r="E66" s="57" t="s">
        <v>46</v>
      </c>
      <c r="F66" s="90" t="s">
        <v>48</v>
      </c>
    </row>
    <row r="67" spans="2:8" x14ac:dyDescent="0.3">
      <c r="B67" s="100">
        <v>0</v>
      </c>
      <c r="C67" s="100">
        <v>50000000</v>
      </c>
      <c r="D67" s="101">
        <f>IF( Inputs!E20&gt;=C67,C67, Inputs!E20)</f>
        <v>2500000</v>
      </c>
      <c r="E67" s="102">
        <v>2.9E-4</v>
      </c>
      <c r="F67" s="95">
        <f>MAX(IF( Inputs!E20&gt;=$D$67,$D$67*$E$67, Inputs!E20*$E$67),0)</f>
        <v>725</v>
      </c>
      <c r="H67" s="106"/>
    </row>
    <row r="68" spans="2:8" x14ac:dyDescent="0.3">
      <c r="B68" s="100">
        <v>50000000.009999998</v>
      </c>
      <c r="C68" s="100">
        <v>250000000</v>
      </c>
      <c r="D68" s="100">
        <f>IF( Inputs!E20&lt;=C68, Inputs!E20-D67,C68)</f>
        <v>0</v>
      </c>
      <c r="E68" s="103">
        <v>2.3000000000000001E-4</v>
      </c>
      <c r="F68" s="97">
        <f>MAX(IF( Inputs!E20-C67&lt;C68-C67,( Inputs!E20-C67)*E68,(C68-C67)*E68),0)</f>
        <v>0</v>
      </c>
    </row>
    <row r="69" spans="2:8" x14ac:dyDescent="0.3">
      <c r="B69" s="100">
        <v>250000000.00999999</v>
      </c>
      <c r="C69" s="100">
        <v>1000000000</v>
      </c>
      <c r="D69" s="100">
        <f>IF( Inputs!E20&lt;=C69, Inputs!E20-D68-D67,C69)</f>
        <v>0</v>
      </c>
      <c r="E69" s="103">
        <v>1.75E-4</v>
      </c>
      <c r="F69" s="97">
        <f>MAX(IF( Inputs!E20-C68&lt;C69-C68,( Inputs!E20-C68)*E69,(C69-C68)*E69),0)</f>
        <v>0</v>
      </c>
    </row>
    <row r="70" spans="2:8" x14ac:dyDescent="0.3">
      <c r="B70" s="100">
        <v>1000000000.01</v>
      </c>
      <c r="C70" s="100">
        <v>2500000000</v>
      </c>
      <c r="D70" s="100">
        <f>IF( Inputs!E20&lt;=C70, Inputs!E20-D68-D67-D69,C70)</f>
        <v>0</v>
      </c>
      <c r="E70" s="103">
        <v>1.2999999999999999E-4</v>
      </c>
      <c r="F70" s="97">
        <f>MAX(IF( Inputs!E20-C69&lt;C70-C69,( Inputs!E20-C69)*E70,(C70-C69)*E70),0)</f>
        <v>0</v>
      </c>
    </row>
    <row r="71" spans="2:8" x14ac:dyDescent="0.3">
      <c r="B71" s="104">
        <v>2500000000.0100002</v>
      </c>
      <c r="C71" s="104"/>
      <c r="D71" s="104">
        <v>0</v>
      </c>
      <c r="E71" s="105">
        <v>9.0000000000000006E-5</v>
      </c>
      <c r="F71" s="99">
        <f>D71*E71</f>
        <v>0</v>
      </c>
    </row>
    <row r="72" spans="2:8" x14ac:dyDescent="0.3">
      <c r="B72" s="141"/>
      <c r="C72" s="141"/>
      <c r="D72" s="141"/>
      <c r="E72" s="142" t="s">
        <v>58</v>
      </c>
      <c r="F72" s="140">
        <f>SUM(F67:F71)</f>
        <v>725</v>
      </c>
    </row>
    <row r="74" spans="2:8" x14ac:dyDescent="0.3">
      <c r="B74" s="87" t="s">
        <v>40</v>
      </c>
      <c r="C74" s="87" t="s">
        <v>41</v>
      </c>
      <c r="D74" s="90" t="s">
        <v>46</v>
      </c>
    </row>
    <row r="75" spans="2:8" x14ac:dyDescent="0.3">
      <c r="B75" s="88">
        <v>0</v>
      </c>
      <c r="C75" s="88">
        <v>100000000</v>
      </c>
      <c r="D75" s="94">
        <v>8.8000000000000004E-6</v>
      </c>
    </row>
    <row r="76" spans="2:8" x14ac:dyDescent="0.3">
      <c r="B76" s="88">
        <v>100000000.01000001</v>
      </c>
      <c r="C76" s="88">
        <v>1000000000</v>
      </c>
      <c r="D76" s="96">
        <v>7.4000000000000003E-6</v>
      </c>
    </row>
    <row r="77" spans="2:8" x14ac:dyDescent="0.3">
      <c r="B77" s="88">
        <v>1000000000.01</v>
      </c>
      <c r="C77" s="88">
        <v>2500000000</v>
      </c>
      <c r="D77" s="96">
        <v>4.8999999999999997E-6</v>
      </c>
    </row>
    <row r="78" spans="2:8" x14ac:dyDescent="0.3">
      <c r="B78" s="88">
        <v>2500000000.0100002</v>
      </c>
      <c r="C78" s="88">
        <v>5000000000</v>
      </c>
      <c r="D78" s="96">
        <v>3.7000000000000002E-6</v>
      </c>
    </row>
    <row r="79" spans="2:8" x14ac:dyDescent="0.3">
      <c r="B79" s="88">
        <v>5000000000.0100002</v>
      </c>
      <c r="C79" s="88">
        <v>15000000000</v>
      </c>
      <c r="D79" s="96">
        <v>3.1E-6</v>
      </c>
    </row>
    <row r="80" spans="2:8" x14ac:dyDescent="0.3">
      <c r="B80" s="88">
        <v>15000000000.01</v>
      </c>
      <c r="C80" s="88">
        <v>50000000000</v>
      </c>
      <c r="D80" s="96">
        <v>2.5000000000000002E-6</v>
      </c>
    </row>
    <row r="81" spans="2:4" x14ac:dyDescent="0.3">
      <c r="B81" s="89">
        <v>50000000000.010002</v>
      </c>
      <c r="C81" s="89"/>
      <c r="D81" s="98">
        <v>1.7999999999999999E-6</v>
      </c>
    </row>
    <row r="82" spans="2:4" x14ac:dyDescent="0.3">
      <c r="B82" s="138"/>
      <c r="C82" s="138"/>
      <c r="D82" s="139" t="s">
        <v>58</v>
      </c>
    </row>
  </sheetData>
  <mergeCells count="2">
    <mergeCell ref="B54:E54"/>
    <mergeCell ref="B65:F6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45008-34FF-4540-A64B-E8655E13F2B5}">
  <sheetPr codeName="Planilha9">
    <tabColor rgb="FF0000FF"/>
  </sheetPr>
  <dimension ref="A1:S14402"/>
  <sheetViews>
    <sheetView showGridLines="0" workbookViewId="0">
      <selection activeCell="G36" sqref="G36"/>
    </sheetView>
  </sheetViews>
  <sheetFormatPr defaultColWidth="0" defaultRowHeight="16.5" zeroHeight="1" x14ac:dyDescent="0.3"/>
  <cols>
    <col min="1" max="1" width="9.5" bestFit="1" customWidth="1"/>
    <col min="2" max="2" width="11.875" bestFit="1" customWidth="1"/>
    <col min="3" max="3" width="14" bestFit="1" customWidth="1"/>
    <col min="4" max="4" width="9.375" bestFit="1" customWidth="1"/>
    <col min="5" max="5" width="11.625" bestFit="1" customWidth="1"/>
    <col min="6" max="6" width="12.5" bestFit="1" customWidth="1"/>
    <col min="7" max="7" width="13.5" bestFit="1" customWidth="1"/>
    <col min="8" max="8" width="12.5" bestFit="1" customWidth="1"/>
    <col min="9" max="9" width="11.25" bestFit="1" customWidth="1"/>
    <col min="10" max="10" width="9.375" bestFit="1" customWidth="1"/>
    <col min="11" max="11" width="9.875" bestFit="1" customWidth="1"/>
    <col min="12" max="12" width="8.75" bestFit="1" customWidth="1"/>
    <col min="13" max="13" width="11.875" bestFit="1" customWidth="1"/>
    <col min="14" max="15" width="12.25" bestFit="1" customWidth="1"/>
    <col min="16" max="16" width="8.875" customWidth="1"/>
    <col min="17" max="18" width="10.375" hidden="1" customWidth="1"/>
    <col min="19" max="19" width="0" hidden="1" customWidth="1"/>
    <col min="20" max="16384" width="8.875" hidden="1"/>
  </cols>
  <sheetData>
    <row r="1" spans="1:19" ht="25.5" x14ac:dyDescent="0.3">
      <c r="A1" s="17" t="s">
        <v>65</v>
      </c>
      <c r="B1" s="255" t="s">
        <v>159</v>
      </c>
      <c r="C1" s="17" t="s">
        <v>161</v>
      </c>
      <c r="D1" s="17" t="s">
        <v>119</v>
      </c>
      <c r="E1" s="17" t="s">
        <v>66</v>
      </c>
      <c r="F1" s="17" t="s">
        <v>120</v>
      </c>
      <c r="G1" s="17" t="s">
        <v>118</v>
      </c>
      <c r="H1" s="17" t="s">
        <v>81</v>
      </c>
      <c r="I1" s="255" t="s">
        <v>76</v>
      </c>
      <c r="J1" s="17" t="s">
        <v>75</v>
      </c>
      <c r="K1" s="17" t="s">
        <v>74</v>
      </c>
      <c r="L1" s="17" t="s">
        <v>79</v>
      </c>
      <c r="M1" s="22" t="s">
        <v>77</v>
      </c>
      <c r="N1" s="22" t="s">
        <v>80</v>
      </c>
      <c r="O1" s="22" t="s">
        <v>78</v>
      </c>
    </row>
    <row r="2" spans="1:19" x14ac:dyDescent="0.3">
      <c r="A2" s="25" t="s">
        <v>160</v>
      </c>
      <c r="B2" s="211">
        <v>0</v>
      </c>
      <c r="C2" s="210">
        <f>1-Tabela1[[#This Row],[PDD]]</f>
        <v>1</v>
      </c>
      <c r="D2" s="127">
        <f>Inputs!B3</f>
        <v>46253</v>
      </c>
      <c r="E2" s="127">
        <f>DATE(YEAR(Tabela1[[#This Row],[Data de Cessão]]),MONTH(Tabela1[[#This Row],[Data de Cessão]])+Inputs!$C$15,DAY(Tabela1[[#This Row],[Data de Cessão]]))</f>
        <v>46345</v>
      </c>
      <c r="F2" s="128">
        <f>_xlfn.XLOOKUP(Tabela1[[#This Row],[Data de Cessão]],Caixa!$D$3:$BK$3,Caixa!$D$10:$BK$10,0,1,1)</f>
        <v>3200000</v>
      </c>
      <c r="G2" s="128">
        <f>H2-F2</f>
        <v>278260.86956521729</v>
      </c>
      <c r="H2" s="129">
        <f>(F2/(1-I2))</f>
        <v>3478260.8695652173</v>
      </c>
      <c r="I2" s="224">
        <v>0.08</v>
      </c>
      <c r="J2" s="23">
        <f>(H2/F2)^(1/O2)-1</f>
        <v>0.38579760375252592</v>
      </c>
      <c r="K2" s="23">
        <f>(1+J2)^(1/12)-1</f>
        <v>2.7562666773265798E-2</v>
      </c>
      <c r="L2" s="23"/>
      <c r="M2" s="131">
        <f t="shared" ref="M2:M33" si="0">(E2-D2)</f>
        <v>92</v>
      </c>
      <c r="N2" s="225">
        <f>M2/30</f>
        <v>3.0666666666666669</v>
      </c>
      <c r="O2" s="225">
        <f>N2/12</f>
        <v>0.25555555555555559</v>
      </c>
      <c r="P2" s="24"/>
      <c r="Q2" s="165"/>
      <c r="R2" s="113"/>
      <c r="S2" s="113"/>
    </row>
    <row r="3" spans="1:19" x14ac:dyDescent="0.3">
      <c r="A3" s="18" t="s">
        <v>160</v>
      </c>
      <c r="B3" s="211">
        <v>0</v>
      </c>
      <c r="C3" s="210">
        <f>1-Tabela1[[#This Row],[PDD]]</f>
        <v>1</v>
      </c>
      <c r="D3" s="33">
        <f>DATE(YEAR(D2),MONTH(D2)+Inputs!$C$16,DAY(D2))</f>
        <v>46284</v>
      </c>
      <c r="E3" s="127">
        <f>DATE(YEAR(Tabela1[[#This Row],[Data de Cessão]]),MONTH(Tabela1[[#This Row],[Data de Cessão]])+Inputs!$C$15,DAY(Tabela1[[#This Row],[Data de Cessão]]))</f>
        <v>46375</v>
      </c>
      <c r="F3" s="128">
        <f>_xlfn.XLOOKUP(Tabela1[[#This Row],[Data de Cessão]],Caixa!$D$3:$BK$3,Caixa!$D$10:$BK$10,0,1,1)</f>
        <v>3200000</v>
      </c>
      <c r="G3" s="128">
        <f t="shared" ref="G3:G61" si="1">H3-F3</f>
        <v>278260.86956521729</v>
      </c>
      <c r="H3" s="129">
        <f t="shared" ref="H3:H61" si="2">(F3/(1-I3))</f>
        <v>3478260.8695652173</v>
      </c>
      <c r="I3" s="224">
        <v>0.08</v>
      </c>
      <c r="J3" s="23">
        <f t="shared" ref="J3:J60" si="3">(H3/F3)^(1/O3)-1</f>
        <v>0.39077522859416081</v>
      </c>
      <c r="K3" s="23">
        <f t="shared" ref="K3:K60" si="4">(1+J3)^(1/12)-1</f>
        <v>2.7869735441721E-2</v>
      </c>
      <c r="L3" s="23"/>
      <c r="M3" s="131">
        <f t="shared" si="0"/>
        <v>91</v>
      </c>
      <c r="N3" s="225">
        <f t="shared" ref="N3:N60" si="5">M3/30</f>
        <v>3.0333333333333332</v>
      </c>
      <c r="O3" s="225">
        <f t="shared" ref="O3:O60" si="6">N3/12</f>
        <v>0.25277777777777777</v>
      </c>
    </row>
    <row r="4" spans="1:19" x14ac:dyDescent="0.3">
      <c r="A4" s="18" t="s">
        <v>160</v>
      </c>
      <c r="B4" s="211">
        <v>0</v>
      </c>
      <c r="C4" s="210">
        <f>1-Tabela1[[#This Row],[PDD]]</f>
        <v>1</v>
      </c>
      <c r="D4" s="33">
        <f>DATE(YEAR(D3),MONTH(D3)+Inputs!$C$16,DAY(D3))</f>
        <v>46314</v>
      </c>
      <c r="E4" s="127">
        <f>DATE(YEAR(Tabela1[[#This Row],[Data de Cessão]]),MONTH(Tabela1[[#This Row],[Data de Cessão]])+Inputs!$C$15,DAY(Tabela1[[#This Row],[Data de Cessão]]))</f>
        <v>46406</v>
      </c>
      <c r="F4" s="128">
        <f>_xlfn.XLOOKUP(Tabela1[[#This Row],[Data de Cessão]],Caixa!$D$3:$BK$3,Caixa!$D$10:$BK$10,0,1,1)</f>
        <v>3200000</v>
      </c>
      <c r="G4" s="128">
        <f t="shared" si="1"/>
        <v>278260.86956521729</v>
      </c>
      <c r="H4" s="129">
        <f t="shared" si="2"/>
        <v>3478260.8695652173</v>
      </c>
      <c r="I4" s="224">
        <v>0.08</v>
      </c>
      <c r="J4" s="23">
        <f t="shared" si="3"/>
        <v>0.38579760375252592</v>
      </c>
      <c r="K4" s="23">
        <f t="shared" si="4"/>
        <v>2.7562666773265798E-2</v>
      </c>
      <c r="L4" s="23"/>
      <c r="M4" s="131">
        <f t="shared" si="0"/>
        <v>92</v>
      </c>
      <c r="N4" s="225">
        <f t="shared" si="5"/>
        <v>3.0666666666666669</v>
      </c>
      <c r="O4" s="225">
        <f t="shared" si="6"/>
        <v>0.25555555555555559</v>
      </c>
    </row>
    <row r="5" spans="1:19" x14ac:dyDescent="0.3">
      <c r="A5" s="18" t="s">
        <v>160</v>
      </c>
      <c r="B5" s="211">
        <v>0</v>
      </c>
      <c r="C5" s="210">
        <f>1-Tabela1[[#This Row],[PDD]]</f>
        <v>1</v>
      </c>
      <c r="D5" s="33">
        <f>DATE(YEAR(D4),MONTH(D4)+Inputs!$C$16,DAY(D4))</f>
        <v>46345</v>
      </c>
      <c r="E5" s="127">
        <f>DATE(YEAR(Tabela1[[#This Row],[Data de Cessão]]),MONTH(Tabela1[[#This Row],[Data de Cessão]])+Inputs!$C$15,DAY(Tabela1[[#This Row],[Data de Cessão]]))</f>
        <v>46437</v>
      </c>
      <c r="F5" s="128">
        <f>_xlfn.XLOOKUP(Tabela1[[#This Row],[Data de Cessão]],Caixa!$D$3:$BK$3,Caixa!$D$10:$BK$10,0,1,1)</f>
        <v>3653652.7780703395</v>
      </c>
      <c r="G5" s="128">
        <f t="shared" si="1"/>
        <v>317708.93722350756</v>
      </c>
      <c r="H5" s="129">
        <f t="shared" si="2"/>
        <v>3971361.715293847</v>
      </c>
      <c r="I5" s="224">
        <v>0.08</v>
      </c>
      <c r="J5" s="23">
        <f t="shared" si="3"/>
        <v>0.38579760375252592</v>
      </c>
      <c r="K5" s="23">
        <f t="shared" si="4"/>
        <v>2.7562666773265798E-2</v>
      </c>
      <c r="L5" s="23"/>
      <c r="M5" s="131">
        <f t="shared" si="0"/>
        <v>92</v>
      </c>
      <c r="N5" s="225">
        <f t="shared" si="5"/>
        <v>3.0666666666666669</v>
      </c>
      <c r="O5" s="225">
        <f t="shared" si="6"/>
        <v>0.25555555555555559</v>
      </c>
      <c r="R5" s="109"/>
    </row>
    <row r="6" spans="1:19" x14ac:dyDescent="0.3">
      <c r="A6" s="18" t="s">
        <v>160</v>
      </c>
      <c r="B6" s="211">
        <v>0</v>
      </c>
      <c r="C6" s="210">
        <f>1-Tabela1[[#This Row],[PDD]]</f>
        <v>1</v>
      </c>
      <c r="D6" s="33">
        <f>DATE(YEAR(D5),MONTH(D5)+Inputs!$C$16,DAY(D5))</f>
        <v>46375</v>
      </c>
      <c r="E6" s="127">
        <f>DATE(YEAR(Tabela1[[#This Row],[Data de Cessão]]),MONTH(Tabela1[[#This Row],[Data de Cessão]])+Inputs!$C$15,DAY(Tabela1[[#This Row],[Data de Cessão]]))</f>
        <v>46465</v>
      </c>
      <c r="F6" s="128">
        <f>_xlfn.XLOOKUP(Tabela1[[#This Row],[Data de Cessão]],Caixa!$D$3:$BK$3,Caixa!$D$10:$BK$10,0,1,1)</f>
        <v>3451990.0902865082</v>
      </c>
      <c r="G6" s="128">
        <f t="shared" si="1"/>
        <v>300173.05132926162</v>
      </c>
      <c r="H6" s="129">
        <f t="shared" si="2"/>
        <v>3752163.1416157698</v>
      </c>
      <c r="I6" s="224">
        <v>0.08</v>
      </c>
      <c r="J6" s="23">
        <f t="shared" si="3"/>
        <v>0.39588194724861614</v>
      </c>
      <c r="K6" s="23">
        <f t="shared" si="4"/>
        <v>2.818372270192615E-2</v>
      </c>
      <c r="L6" s="23"/>
      <c r="M6" s="131">
        <f t="shared" si="0"/>
        <v>90</v>
      </c>
      <c r="N6" s="225">
        <f t="shared" si="5"/>
        <v>3</v>
      </c>
      <c r="O6" s="225">
        <f t="shared" si="6"/>
        <v>0.25</v>
      </c>
    </row>
    <row r="7" spans="1:19" x14ac:dyDescent="0.3">
      <c r="A7" s="18" t="s">
        <v>160</v>
      </c>
      <c r="B7" s="211">
        <v>0</v>
      </c>
      <c r="C7" s="210">
        <f>1-Tabela1[[#This Row],[PDD]]</f>
        <v>1</v>
      </c>
      <c r="D7" s="33">
        <f>DATE(YEAR(D6),MONTH(D6)+Inputs!$C$16,DAY(D6))</f>
        <v>46406</v>
      </c>
      <c r="E7" s="127">
        <f>DATE(YEAR(Tabela1[[#This Row],[Data de Cessão]]),MONTH(Tabela1[[#This Row],[Data de Cessão]])+Inputs!$C$15,DAY(Tabela1[[#This Row],[Data de Cessão]]))</f>
        <v>46496</v>
      </c>
      <c r="F7" s="128">
        <f>_xlfn.XLOOKUP(Tabela1[[#This Row],[Data de Cessão]],Caixa!$D$3:$BK$3,Caixa!$D$10:$BK$10,0,1,1)</f>
        <v>3451994.4370888826</v>
      </c>
      <c r="G7" s="128">
        <f t="shared" si="1"/>
        <v>300173.42931207642</v>
      </c>
      <c r="H7" s="129">
        <f t="shared" si="2"/>
        <v>3752167.866400959</v>
      </c>
      <c r="I7" s="224">
        <v>0.08</v>
      </c>
      <c r="J7" s="23">
        <f t="shared" si="3"/>
        <v>0.39588194724861614</v>
      </c>
      <c r="K7" s="23">
        <f t="shared" si="4"/>
        <v>2.818372270192615E-2</v>
      </c>
      <c r="L7" s="23"/>
      <c r="M7" s="131">
        <f t="shared" si="0"/>
        <v>90</v>
      </c>
      <c r="N7" s="225">
        <f t="shared" si="5"/>
        <v>3</v>
      </c>
      <c r="O7" s="225">
        <f t="shared" si="6"/>
        <v>0.25</v>
      </c>
    </row>
    <row r="8" spans="1:19" x14ac:dyDescent="0.3">
      <c r="A8" s="18" t="s">
        <v>160</v>
      </c>
      <c r="B8" s="211">
        <v>0</v>
      </c>
      <c r="C8" s="210">
        <f>1-Tabela1[[#This Row],[PDD]]</f>
        <v>1</v>
      </c>
      <c r="D8" s="33">
        <f>DATE(YEAR(D7),MONTH(D7)+Inputs!$C$16,DAY(D7))</f>
        <v>46437</v>
      </c>
      <c r="E8" s="127">
        <f>DATE(YEAR(Tabela1[[#This Row],[Data de Cessão]]),MONTH(Tabela1[[#This Row],[Data de Cessão]])+Inputs!$C$15,DAY(Tabela1[[#This Row],[Data de Cessão]]))</f>
        <v>46526</v>
      </c>
      <c r="F8" s="128">
        <f>_xlfn.XLOOKUP(Tabela1[[#This Row],[Data de Cessão]],Caixa!$D$3:$BK$3,Caixa!$D$10:$BK$10,0,1,1)</f>
        <v>3945101.0766235078</v>
      </c>
      <c r="G8" s="128">
        <f t="shared" si="1"/>
        <v>343052.26753247902</v>
      </c>
      <c r="H8" s="129">
        <f t="shared" si="2"/>
        <v>4288153.3441559868</v>
      </c>
      <c r="I8" s="224">
        <v>0.08</v>
      </c>
      <c r="J8" s="23">
        <f t="shared" si="3"/>
        <v>0.40112281205995304</v>
      </c>
      <c r="K8" s="23">
        <f t="shared" si="4"/>
        <v>2.8504865028026849E-2</v>
      </c>
      <c r="L8" s="23"/>
      <c r="M8" s="131">
        <f t="shared" si="0"/>
        <v>89</v>
      </c>
      <c r="N8" s="225">
        <f t="shared" si="5"/>
        <v>2.9666666666666668</v>
      </c>
      <c r="O8" s="225">
        <f t="shared" si="6"/>
        <v>0.24722222222222223</v>
      </c>
    </row>
    <row r="9" spans="1:19" x14ac:dyDescent="0.3">
      <c r="A9" s="18" t="s">
        <v>160</v>
      </c>
      <c r="B9" s="211">
        <v>0</v>
      </c>
      <c r="C9" s="210">
        <f>1-Tabela1[[#This Row],[PDD]]</f>
        <v>1</v>
      </c>
      <c r="D9" s="33">
        <f>DATE(YEAR(D8),MONTH(D8)+Inputs!$C$16,DAY(D8))</f>
        <v>46465</v>
      </c>
      <c r="E9" s="127">
        <f>DATE(YEAR(Tabela1[[#This Row],[Data de Cessão]]),MONTH(Tabela1[[#This Row],[Data de Cessão]])+Inputs!$C$15,DAY(Tabela1[[#This Row],[Data de Cessão]]))</f>
        <v>46557</v>
      </c>
      <c r="F9" s="128">
        <f>_xlfn.XLOOKUP(Tabela1[[#This Row],[Data de Cessão]],Caixa!$D$3:$BK$3,Caixa!$D$10:$BK$10,0,1,1)</f>
        <v>3725905.3990215226</v>
      </c>
      <c r="G9" s="128">
        <f t="shared" si="1"/>
        <v>323991.77382795839</v>
      </c>
      <c r="H9" s="129">
        <f t="shared" si="2"/>
        <v>4049897.172849481</v>
      </c>
      <c r="I9" s="224">
        <v>0.08</v>
      </c>
      <c r="J9" s="23">
        <f t="shared" si="3"/>
        <v>0.38579760375252592</v>
      </c>
      <c r="K9" s="23">
        <f t="shared" si="4"/>
        <v>2.7562666773265798E-2</v>
      </c>
      <c r="L9" s="23"/>
      <c r="M9" s="131">
        <f t="shared" si="0"/>
        <v>92</v>
      </c>
      <c r="N9" s="225">
        <f t="shared" si="5"/>
        <v>3.0666666666666669</v>
      </c>
      <c r="O9" s="225">
        <f t="shared" si="6"/>
        <v>0.25555555555555559</v>
      </c>
    </row>
    <row r="10" spans="1:19" x14ac:dyDescent="0.3">
      <c r="A10" s="18" t="s">
        <v>160</v>
      </c>
      <c r="B10" s="211">
        <v>0</v>
      </c>
      <c r="C10" s="210">
        <f>1-Tabela1[[#This Row],[PDD]]</f>
        <v>1</v>
      </c>
      <c r="D10" s="33">
        <f>DATE(YEAR(D9),MONTH(D9)+Inputs!$C$16,DAY(D9))</f>
        <v>46496</v>
      </c>
      <c r="E10" s="127">
        <f>DATE(YEAR(Tabela1[[#This Row],[Data de Cessão]]),MONTH(Tabela1[[#This Row],[Data de Cessão]])+Inputs!$C$15,DAY(Tabela1[[#This Row],[Data de Cessão]]))</f>
        <v>46587</v>
      </c>
      <c r="F10" s="128">
        <f>_xlfn.XLOOKUP(Tabela1[[#This Row],[Data de Cessão]],Caixa!$D$3:$BK$3,Caixa!$D$10:$BK$10,0,1,1)</f>
        <v>3725914.4668877935</v>
      </c>
      <c r="G10" s="128">
        <f t="shared" si="1"/>
        <v>323992.56233806862</v>
      </c>
      <c r="H10" s="129">
        <f t="shared" si="2"/>
        <v>4049907.0292258621</v>
      </c>
      <c r="I10" s="224">
        <v>0.08</v>
      </c>
      <c r="J10" s="23">
        <f t="shared" si="3"/>
        <v>0.39077522859416081</v>
      </c>
      <c r="K10" s="23">
        <f t="shared" si="4"/>
        <v>2.7869735441721E-2</v>
      </c>
      <c r="L10" s="23"/>
      <c r="M10" s="131">
        <f t="shared" si="0"/>
        <v>91</v>
      </c>
      <c r="N10" s="225">
        <f t="shared" si="5"/>
        <v>3.0333333333333332</v>
      </c>
      <c r="O10" s="225">
        <f t="shared" si="6"/>
        <v>0.25277777777777777</v>
      </c>
    </row>
    <row r="11" spans="1:19" x14ac:dyDescent="0.3">
      <c r="A11" s="18" t="s">
        <v>160</v>
      </c>
      <c r="B11" s="211">
        <v>0</v>
      </c>
      <c r="C11" s="210">
        <f>1-Tabela1[[#This Row],[PDD]]</f>
        <v>1</v>
      </c>
      <c r="D11" s="33">
        <f>DATE(YEAR(D10),MONTH(D10)+Inputs!$C$16,DAY(D10))</f>
        <v>46526</v>
      </c>
      <c r="E11" s="127">
        <f>DATE(YEAR(Tabela1[[#This Row],[Data de Cessão]]),MONTH(Tabela1[[#This Row],[Data de Cessão]])+Inputs!$C$15,DAY(Tabela1[[#This Row],[Data de Cessão]]))</f>
        <v>46618</v>
      </c>
      <c r="F11" s="128">
        <f>_xlfn.XLOOKUP(Tabela1[[#This Row],[Data de Cessão]],Caixa!$D$3:$BK$3,Caixa!$D$10:$BK$10,0,1,1)</f>
        <v>4261904.2864848329</v>
      </c>
      <c r="G11" s="128">
        <f t="shared" si="1"/>
        <v>370600.37273781095</v>
      </c>
      <c r="H11" s="129">
        <f t="shared" si="2"/>
        <v>4632504.6592226438</v>
      </c>
      <c r="I11" s="224">
        <v>0.08</v>
      </c>
      <c r="J11" s="23">
        <f t="shared" si="3"/>
        <v>0.38579760375252592</v>
      </c>
      <c r="K11" s="23">
        <f t="shared" si="4"/>
        <v>2.7562666773265798E-2</v>
      </c>
      <c r="L11" s="23"/>
      <c r="M11" s="131">
        <f t="shared" si="0"/>
        <v>92</v>
      </c>
      <c r="N11" s="225">
        <f t="shared" si="5"/>
        <v>3.0666666666666669</v>
      </c>
      <c r="O11" s="225">
        <f t="shared" si="6"/>
        <v>0.25555555555555559</v>
      </c>
    </row>
    <row r="12" spans="1:19" x14ac:dyDescent="0.3">
      <c r="A12" s="18" t="s">
        <v>160</v>
      </c>
      <c r="B12" s="211">
        <v>0</v>
      </c>
      <c r="C12" s="210">
        <f>1-Tabela1[[#This Row],[PDD]]</f>
        <v>1</v>
      </c>
      <c r="D12" s="33">
        <f>DATE(YEAR(D11),MONTH(D11)+Inputs!$C$16,DAY(D11))</f>
        <v>46557</v>
      </c>
      <c r="E12" s="127">
        <f>DATE(YEAR(Tabela1[[#This Row],[Data de Cessão]]),MONTH(Tabela1[[#This Row],[Data de Cessão]])+Inputs!$C$15,DAY(Tabela1[[#This Row],[Data de Cessão]]))</f>
        <v>46649</v>
      </c>
      <c r="F12" s="128">
        <f>_xlfn.XLOOKUP(Tabela1[[#This Row],[Data de Cessão]],Caixa!$D$3:$BK$3,Caixa!$D$10:$BK$10,0,1,1)</f>
        <v>4023649.5621837634</v>
      </c>
      <c r="G12" s="128">
        <f t="shared" si="1"/>
        <v>349882.57062467514</v>
      </c>
      <c r="H12" s="129">
        <f t="shared" si="2"/>
        <v>4373532.1328084385</v>
      </c>
      <c r="I12" s="224">
        <v>0.08</v>
      </c>
      <c r="J12" s="23">
        <f t="shared" si="3"/>
        <v>0.38579760375252592</v>
      </c>
      <c r="K12" s="23">
        <f t="shared" si="4"/>
        <v>2.7562666773265798E-2</v>
      </c>
      <c r="L12" s="23"/>
      <c r="M12" s="131">
        <f t="shared" si="0"/>
        <v>92</v>
      </c>
      <c r="N12" s="225">
        <f t="shared" si="5"/>
        <v>3.0666666666666669</v>
      </c>
      <c r="O12" s="225">
        <f t="shared" si="6"/>
        <v>0.25555555555555559</v>
      </c>
    </row>
    <row r="13" spans="1:19" x14ac:dyDescent="0.3">
      <c r="A13" s="18" t="s">
        <v>160</v>
      </c>
      <c r="B13" s="211">
        <v>0</v>
      </c>
      <c r="C13" s="210">
        <f>1-Tabela1[[#This Row],[PDD]]</f>
        <v>1</v>
      </c>
      <c r="D13" s="33">
        <f>DATE(YEAR(D12),MONTH(D12)+Inputs!$C$16,DAY(D12))</f>
        <v>46587</v>
      </c>
      <c r="E13" s="127">
        <f>DATE(YEAR(Tabela1[[#This Row],[Data de Cessão]]),MONTH(Tabela1[[#This Row],[Data de Cessão]])+Inputs!$C$15,DAY(Tabela1[[#This Row],[Data de Cessão]]))</f>
        <v>46679</v>
      </c>
      <c r="F13" s="128">
        <f>_xlfn.XLOOKUP(Tabela1[[#This Row],[Data de Cessão]],Caixa!$D$3:$BK$3,Caixa!$D$10:$BK$10,0,1,1)</f>
        <v>4023663.7587511223</v>
      </c>
      <c r="G13" s="128">
        <f t="shared" si="1"/>
        <v>349883.80510879308</v>
      </c>
      <c r="H13" s="129">
        <f t="shared" si="2"/>
        <v>4373547.5638599154</v>
      </c>
      <c r="I13" s="224">
        <v>0.08</v>
      </c>
      <c r="J13" s="23">
        <f t="shared" si="3"/>
        <v>0.38579760375252592</v>
      </c>
      <c r="K13" s="23">
        <f t="shared" si="4"/>
        <v>2.7562666773265798E-2</v>
      </c>
      <c r="L13" s="23"/>
      <c r="M13" s="131">
        <f t="shared" si="0"/>
        <v>92</v>
      </c>
      <c r="N13" s="225">
        <f t="shared" si="5"/>
        <v>3.0666666666666669</v>
      </c>
      <c r="O13" s="225">
        <f t="shared" si="6"/>
        <v>0.25555555555555559</v>
      </c>
    </row>
    <row r="14" spans="1:19" x14ac:dyDescent="0.3">
      <c r="A14" s="18" t="s">
        <v>160</v>
      </c>
      <c r="B14" s="211">
        <v>0</v>
      </c>
      <c r="C14" s="210">
        <f>1-Tabela1[[#This Row],[PDD]]</f>
        <v>1</v>
      </c>
      <c r="D14" s="33">
        <f>DATE(YEAR(D13),MONTH(D13)+Inputs!$C$16,DAY(D13))</f>
        <v>46618</v>
      </c>
      <c r="E14" s="127">
        <f>DATE(YEAR(Tabela1[[#This Row],[Data de Cessão]]),MONTH(Tabela1[[#This Row],[Data de Cessão]])+Inputs!$C$15,DAY(Tabela1[[#This Row],[Data de Cessão]]))</f>
        <v>46710</v>
      </c>
      <c r="F14" s="128">
        <f>_xlfn.XLOOKUP(Tabela1[[#This Row],[Data de Cessão]],Caixa!$D$3:$BK$3,Caixa!$D$10:$BK$10,0,1,1)</f>
        <v>4328191.4272618843</v>
      </c>
      <c r="G14" s="128">
        <f t="shared" si="1"/>
        <v>376364.47193581611</v>
      </c>
      <c r="H14" s="129">
        <f t="shared" si="2"/>
        <v>4704555.8991977004</v>
      </c>
      <c r="I14" s="224">
        <v>0.08</v>
      </c>
      <c r="J14" s="23">
        <f t="shared" si="3"/>
        <v>0.38579760375252592</v>
      </c>
      <c r="K14" s="23">
        <f t="shared" si="4"/>
        <v>2.7562666773265798E-2</v>
      </c>
      <c r="L14" s="23"/>
      <c r="M14" s="131">
        <f t="shared" si="0"/>
        <v>92</v>
      </c>
      <c r="N14" s="225">
        <f t="shared" si="5"/>
        <v>3.0666666666666669</v>
      </c>
      <c r="O14" s="225">
        <f t="shared" si="6"/>
        <v>0.25555555555555559</v>
      </c>
    </row>
    <row r="15" spans="1:19" x14ac:dyDescent="0.3">
      <c r="A15" s="18" t="s">
        <v>160</v>
      </c>
      <c r="B15" s="211">
        <v>0</v>
      </c>
      <c r="C15" s="210">
        <f>1-Tabela1[[#This Row],[PDD]]</f>
        <v>1</v>
      </c>
      <c r="D15" s="33">
        <f>DATE(YEAR(D14),MONTH(D14)+Inputs!$C$16,DAY(D14))</f>
        <v>46649</v>
      </c>
      <c r="E15" s="127">
        <f>DATE(YEAR(Tabela1[[#This Row],[Data de Cessão]]),MONTH(Tabela1[[#This Row],[Data de Cessão]])+Inputs!$C$15,DAY(Tabela1[[#This Row],[Data de Cessão]]))</f>
        <v>46740</v>
      </c>
      <c r="F15" s="128">
        <f>_xlfn.XLOOKUP(Tabela1[[#This Row],[Data de Cessão]],Caixa!$D$3:$BK$3,Caixa!$D$10:$BK$10,0,1,1)</f>
        <v>4070745.7041237135</v>
      </c>
      <c r="G15" s="128">
        <f t="shared" si="1"/>
        <v>353977.88731510518</v>
      </c>
      <c r="H15" s="129">
        <f t="shared" si="2"/>
        <v>4424723.5914388187</v>
      </c>
      <c r="I15" s="224">
        <v>0.08</v>
      </c>
      <c r="J15" s="23">
        <f t="shared" si="3"/>
        <v>0.39077522859416081</v>
      </c>
      <c r="K15" s="23">
        <f t="shared" si="4"/>
        <v>2.7869735441721E-2</v>
      </c>
      <c r="L15" s="23"/>
      <c r="M15" s="131">
        <f t="shared" si="0"/>
        <v>91</v>
      </c>
      <c r="N15" s="225">
        <f t="shared" si="5"/>
        <v>3.0333333333333332</v>
      </c>
      <c r="O15" s="225">
        <f t="shared" si="6"/>
        <v>0.25277777777777777</v>
      </c>
    </row>
    <row r="16" spans="1:19" x14ac:dyDescent="0.3">
      <c r="A16" s="18" t="s">
        <v>160</v>
      </c>
      <c r="B16" s="211">
        <v>0</v>
      </c>
      <c r="C16" s="210">
        <f>1-Tabela1[[#This Row],[PDD]]</f>
        <v>1</v>
      </c>
      <c r="D16" s="33">
        <f>DATE(YEAR(D15),MONTH(D15)+Inputs!$C$16,DAY(D15))</f>
        <v>46679</v>
      </c>
      <c r="E16" s="127">
        <f>DATE(YEAR(Tabela1[[#This Row],[Data de Cessão]]),MONTH(Tabela1[[#This Row],[Data de Cessão]])+Inputs!$C$15,DAY(Tabela1[[#This Row],[Data de Cessão]]))</f>
        <v>46771</v>
      </c>
      <c r="F16" s="128">
        <f>_xlfn.XLOOKUP(Tabela1[[#This Row],[Data de Cessão]],Caixa!$D$3:$BK$3,Caixa!$D$10:$BK$10,0,1,1)</f>
        <v>4075479.4866178315</v>
      </c>
      <c r="G16" s="128">
        <f t="shared" si="1"/>
        <v>354389.52057546377</v>
      </c>
      <c r="H16" s="129">
        <f t="shared" si="2"/>
        <v>4429869.0071932953</v>
      </c>
      <c r="I16" s="224">
        <v>0.08</v>
      </c>
      <c r="J16" s="23">
        <f t="shared" si="3"/>
        <v>0.38579760375252592</v>
      </c>
      <c r="K16" s="23">
        <f t="shared" si="4"/>
        <v>2.7562666773265798E-2</v>
      </c>
      <c r="L16" s="23"/>
      <c r="M16" s="131">
        <f t="shared" si="0"/>
        <v>92</v>
      </c>
      <c r="N16" s="225">
        <f t="shared" si="5"/>
        <v>3.0666666666666669</v>
      </c>
      <c r="O16" s="225">
        <f t="shared" si="6"/>
        <v>0.25555555555555559</v>
      </c>
    </row>
    <row r="17" spans="1:15" x14ac:dyDescent="0.3">
      <c r="A17" s="18" t="s">
        <v>160</v>
      </c>
      <c r="B17" s="211">
        <v>0</v>
      </c>
      <c r="C17" s="210">
        <f>1-Tabela1[[#This Row],[PDD]]</f>
        <v>1</v>
      </c>
      <c r="D17" s="33">
        <f>DATE(YEAR(D16),MONTH(D16)+Inputs!$C$16,DAY(D16))</f>
        <v>46710</v>
      </c>
      <c r="E17" s="127">
        <f>DATE(YEAR(Tabela1[[#This Row],[Data de Cessão]]),MONTH(Tabela1[[#This Row],[Data de Cessão]])+Inputs!$C$15,DAY(Tabela1[[#This Row],[Data de Cessão]]))</f>
        <v>46802</v>
      </c>
      <c r="F17" s="128">
        <f>_xlfn.XLOOKUP(Tabela1[[#This Row],[Data de Cessão]],Caixa!$D$3:$BK$3,Caixa!$D$10:$BK$10,0,1,1)</f>
        <v>4409619.149327998</v>
      </c>
      <c r="G17" s="128">
        <f t="shared" si="1"/>
        <v>383445.14341982547</v>
      </c>
      <c r="H17" s="129">
        <f t="shared" si="2"/>
        <v>4793064.2927478235</v>
      </c>
      <c r="I17" s="224">
        <v>0.08</v>
      </c>
      <c r="J17" s="23">
        <f t="shared" si="3"/>
        <v>0.38579760375252592</v>
      </c>
      <c r="K17" s="23">
        <f t="shared" si="4"/>
        <v>2.7562666773265798E-2</v>
      </c>
      <c r="L17" s="23"/>
      <c r="M17" s="131">
        <f t="shared" si="0"/>
        <v>92</v>
      </c>
      <c r="N17" s="225">
        <f t="shared" si="5"/>
        <v>3.0666666666666669</v>
      </c>
      <c r="O17" s="225">
        <f t="shared" si="6"/>
        <v>0.25555555555555559</v>
      </c>
    </row>
    <row r="18" spans="1:15" x14ac:dyDescent="0.3">
      <c r="A18" s="18" t="s">
        <v>160</v>
      </c>
      <c r="B18" s="211">
        <v>0</v>
      </c>
      <c r="C18" s="210">
        <f>1-Tabela1[[#This Row],[PDD]]</f>
        <v>1</v>
      </c>
      <c r="D18" s="33">
        <f>DATE(YEAR(D17),MONTH(D17)+Inputs!$C$16,DAY(D17))</f>
        <v>46740</v>
      </c>
      <c r="E18" s="127">
        <f>DATE(YEAR(Tabela1[[#This Row],[Data de Cessão]]),MONTH(Tabela1[[#This Row],[Data de Cessão]])+Inputs!$C$15,DAY(Tabela1[[#This Row],[Data de Cessão]]))</f>
        <v>46831</v>
      </c>
      <c r="F18" s="128">
        <f>_xlfn.XLOOKUP(Tabela1[[#This Row],[Data de Cessão]],Caixa!$D$3:$BK$3,Caixa!$D$10:$BK$10,0,1,1)</f>
        <v>4130567.5353561132</v>
      </c>
      <c r="G18" s="128">
        <f t="shared" si="1"/>
        <v>359179.78568313969</v>
      </c>
      <c r="H18" s="129">
        <f t="shared" si="2"/>
        <v>4489747.3210392529</v>
      </c>
      <c r="I18" s="224">
        <v>0.08</v>
      </c>
      <c r="J18" s="23">
        <f t="shared" si="3"/>
        <v>0.39077522859416081</v>
      </c>
      <c r="K18" s="23">
        <f t="shared" si="4"/>
        <v>2.7869735441721E-2</v>
      </c>
      <c r="L18" s="23"/>
      <c r="M18" s="131">
        <f t="shared" si="0"/>
        <v>91</v>
      </c>
      <c r="N18" s="225">
        <f t="shared" si="5"/>
        <v>3.0333333333333332</v>
      </c>
      <c r="O18" s="225">
        <f t="shared" si="6"/>
        <v>0.25277777777777777</v>
      </c>
    </row>
    <row r="19" spans="1:15" x14ac:dyDescent="0.3">
      <c r="A19" s="18" t="s">
        <v>160</v>
      </c>
      <c r="B19" s="211">
        <v>0</v>
      </c>
      <c r="C19" s="210">
        <f>1-Tabela1[[#This Row],[PDD]]</f>
        <v>1</v>
      </c>
      <c r="D19" s="33">
        <f>DATE(YEAR(D18),MONTH(D18)+Inputs!$C$16,DAY(D18))</f>
        <v>46771</v>
      </c>
      <c r="E19" s="127">
        <f>DATE(YEAR(Tabela1[[#This Row],[Data de Cessão]]),MONTH(Tabela1[[#This Row],[Data de Cessão]])+Inputs!$C$15,DAY(Tabela1[[#This Row],[Data de Cessão]]))</f>
        <v>46862</v>
      </c>
      <c r="F19" s="128">
        <f>_xlfn.XLOOKUP(Tabela1[[#This Row],[Data de Cessão]],Caixa!$D$3:$BK$3,Caixa!$D$10:$BK$10,0,1,1)</f>
        <v>4141259.7039645873</v>
      </c>
      <c r="G19" s="128">
        <f t="shared" si="1"/>
        <v>360109.53947518114</v>
      </c>
      <c r="H19" s="129">
        <f t="shared" si="2"/>
        <v>4501369.2434397684</v>
      </c>
      <c r="I19" s="224">
        <v>0.08</v>
      </c>
      <c r="J19" s="23">
        <f t="shared" si="3"/>
        <v>0.39077522859416081</v>
      </c>
      <c r="K19" s="23">
        <f t="shared" si="4"/>
        <v>2.7869735441721E-2</v>
      </c>
      <c r="L19" s="23"/>
      <c r="M19" s="131">
        <f t="shared" si="0"/>
        <v>91</v>
      </c>
      <c r="N19" s="225">
        <f t="shared" si="5"/>
        <v>3.0333333333333332</v>
      </c>
      <c r="O19" s="225">
        <f t="shared" si="6"/>
        <v>0.25277777777777777</v>
      </c>
    </row>
    <row r="20" spans="1:15" x14ac:dyDescent="0.3">
      <c r="A20" s="18" t="s">
        <v>160</v>
      </c>
      <c r="B20" s="211">
        <v>0</v>
      </c>
      <c r="C20" s="210">
        <f>1-Tabela1[[#This Row],[PDD]]</f>
        <v>1</v>
      </c>
      <c r="D20" s="33">
        <f>DATE(YEAR(D19),MONTH(D19)+Inputs!$C$16,DAY(D19))</f>
        <v>46802</v>
      </c>
      <c r="E20" s="127">
        <f>DATE(YEAR(Tabela1[[#This Row],[Data de Cessão]]),MONTH(Tabela1[[#This Row],[Data de Cessão]])+Inputs!$C$15,DAY(Tabela1[[#This Row],[Data de Cessão]]))</f>
        <v>46892</v>
      </c>
      <c r="F20" s="128">
        <f>_xlfn.XLOOKUP(Tabela1[[#This Row],[Data de Cessão]],Caixa!$D$3:$BK$3,Caixa!$D$10:$BK$10,0,1,1)</f>
        <v>4507639.6002609199</v>
      </c>
      <c r="G20" s="128">
        <f t="shared" si="1"/>
        <v>391968.66089225374</v>
      </c>
      <c r="H20" s="129">
        <f t="shared" si="2"/>
        <v>4899608.2611531736</v>
      </c>
      <c r="I20" s="224">
        <v>0.08</v>
      </c>
      <c r="J20" s="23">
        <f t="shared" si="3"/>
        <v>0.39588194724861614</v>
      </c>
      <c r="K20" s="23">
        <f t="shared" si="4"/>
        <v>2.818372270192615E-2</v>
      </c>
      <c r="L20" s="23"/>
      <c r="M20" s="131">
        <f t="shared" si="0"/>
        <v>90</v>
      </c>
      <c r="N20" s="225">
        <f t="shared" si="5"/>
        <v>3</v>
      </c>
      <c r="O20" s="225">
        <f t="shared" si="6"/>
        <v>0.25</v>
      </c>
    </row>
    <row r="21" spans="1:15" x14ac:dyDescent="0.3">
      <c r="A21" s="18" t="s">
        <v>160</v>
      </c>
      <c r="B21" s="211">
        <v>0</v>
      </c>
      <c r="C21" s="210">
        <f>1-Tabela1[[#This Row],[PDD]]</f>
        <v>1</v>
      </c>
      <c r="D21" s="33">
        <f>DATE(YEAR(D20),MONTH(D20)+Inputs!$C$16,DAY(D20))</f>
        <v>46831</v>
      </c>
      <c r="E21" s="127">
        <f>DATE(YEAR(Tabela1[[#This Row],[Data de Cessão]]),MONTH(Tabela1[[#This Row],[Data de Cessão]])+Inputs!$C$15,DAY(Tabela1[[#This Row],[Data de Cessão]]))</f>
        <v>46923</v>
      </c>
      <c r="F21" s="128">
        <f>_xlfn.XLOOKUP(Tabela1[[#This Row],[Data de Cessão]],Caixa!$D$3:$BK$3,Caixa!$D$10:$BK$10,0,1,1)</f>
        <v>4206047.952508294</v>
      </c>
      <c r="G21" s="128">
        <f t="shared" si="1"/>
        <v>365743.30021811277</v>
      </c>
      <c r="H21" s="129">
        <f t="shared" si="2"/>
        <v>4571791.2527264068</v>
      </c>
      <c r="I21" s="224">
        <v>0.08</v>
      </c>
      <c r="J21" s="23">
        <f t="shared" si="3"/>
        <v>0.38579760375252703</v>
      </c>
      <c r="K21" s="23">
        <f t="shared" si="4"/>
        <v>2.7562666773265798E-2</v>
      </c>
      <c r="L21" s="23"/>
      <c r="M21" s="131">
        <f t="shared" si="0"/>
        <v>92</v>
      </c>
      <c r="N21" s="225">
        <f t="shared" si="5"/>
        <v>3.0666666666666669</v>
      </c>
      <c r="O21" s="225">
        <f t="shared" si="6"/>
        <v>0.25555555555555559</v>
      </c>
    </row>
    <row r="22" spans="1:15" x14ac:dyDescent="0.3">
      <c r="A22" s="18" t="s">
        <v>160</v>
      </c>
      <c r="B22" s="211">
        <v>0</v>
      </c>
      <c r="C22" s="210">
        <f>1-Tabela1[[#This Row],[PDD]]</f>
        <v>1</v>
      </c>
      <c r="D22" s="33">
        <f>DATE(YEAR(D21),MONTH(D21)+Inputs!$C$16,DAY(D21))</f>
        <v>46862</v>
      </c>
      <c r="E22" s="127">
        <f>DATE(YEAR(Tabela1[[#This Row],[Data de Cessão]]),MONTH(Tabela1[[#This Row],[Data de Cessão]])+Inputs!$C$15,DAY(Tabela1[[#This Row],[Data de Cessão]]))</f>
        <v>46953</v>
      </c>
      <c r="F22" s="128">
        <f>_xlfn.XLOOKUP(Tabela1[[#This Row],[Data de Cessão]],Caixa!$D$3:$BK$3,Caixa!$D$10:$BK$10,0,1,1)</f>
        <v>4222971.3336404655</v>
      </c>
      <c r="G22" s="128">
        <f t="shared" si="1"/>
        <v>367214.89857743122</v>
      </c>
      <c r="H22" s="129">
        <f t="shared" si="2"/>
        <v>4590186.2322178967</v>
      </c>
      <c r="I22" s="224">
        <v>0.08</v>
      </c>
      <c r="J22" s="23">
        <f t="shared" si="3"/>
        <v>0.39077522859416081</v>
      </c>
      <c r="K22" s="23">
        <f t="shared" si="4"/>
        <v>2.7869735441721E-2</v>
      </c>
      <c r="L22" s="23"/>
      <c r="M22" s="131">
        <f t="shared" si="0"/>
        <v>91</v>
      </c>
      <c r="N22" s="225">
        <f t="shared" si="5"/>
        <v>3.0333333333333332</v>
      </c>
      <c r="O22" s="225">
        <f t="shared" si="6"/>
        <v>0.25277777777777777</v>
      </c>
    </row>
    <row r="23" spans="1:15" x14ac:dyDescent="0.3">
      <c r="A23" s="18" t="s">
        <v>160</v>
      </c>
      <c r="B23" s="211">
        <v>0</v>
      </c>
      <c r="C23" s="210">
        <f>1-Tabela1[[#This Row],[PDD]]</f>
        <v>1</v>
      </c>
      <c r="D23" s="33">
        <f>DATE(YEAR(D22),MONTH(D22)+Inputs!$C$16,DAY(D22))</f>
        <v>46892</v>
      </c>
      <c r="E23" s="127">
        <f>DATE(YEAR(Tabela1[[#This Row],[Data de Cessão]]),MONTH(Tabela1[[#This Row],[Data de Cessão]])+Inputs!$C$15,DAY(Tabela1[[#This Row],[Data de Cessão]]))</f>
        <v>46984</v>
      </c>
      <c r="F23" s="128">
        <f>_xlfn.XLOOKUP(Tabela1[[#This Row],[Data de Cessão]],Caixa!$D$3:$BK$3,Caixa!$D$10:$BK$10,0,1,1)</f>
        <v>4623412.5069466094</v>
      </c>
      <c r="G23" s="128">
        <f t="shared" si="1"/>
        <v>402035.87016926985</v>
      </c>
      <c r="H23" s="129">
        <f t="shared" si="2"/>
        <v>5025448.3771158792</v>
      </c>
      <c r="I23" s="224">
        <v>0.08</v>
      </c>
      <c r="J23" s="23">
        <f t="shared" si="3"/>
        <v>0.38579760375252592</v>
      </c>
      <c r="K23" s="23">
        <f t="shared" si="4"/>
        <v>2.7562666773265798E-2</v>
      </c>
      <c r="L23" s="23"/>
      <c r="M23" s="131">
        <f t="shared" si="0"/>
        <v>92</v>
      </c>
      <c r="N23" s="225">
        <f t="shared" si="5"/>
        <v>3.0666666666666669</v>
      </c>
      <c r="O23" s="225">
        <f t="shared" si="6"/>
        <v>0.25555555555555559</v>
      </c>
    </row>
    <row r="24" spans="1:15" x14ac:dyDescent="0.3">
      <c r="A24" s="18" t="s">
        <v>160</v>
      </c>
      <c r="B24" s="211">
        <v>0</v>
      </c>
      <c r="C24" s="210">
        <f>1-Tabela1[[#This Row],[PDD]]</f>
        <v>1</v>
      </c>
      <c r="D24" s="33">
        <f>DATE(YEAR(D23),MONTH(D23)+Inputs!$C$16,DAY(D23))</f>
        <v>46923</v>
      </c>
      <c r="E24" s="127">
        <f>DATE(YEAR(Tabela1[[#This Row],[Data de Cessão]]),MONTH(Tabela1[[#This Row],[Data de Cessão]])+Inputs!$C$15,DAY(Tabela1[[#This Row],[Data de Cessão]]))</f>
        <v>47015</v>
      </c>
      <c r="F24" s="128">
        <f>_xlfn.XLOOKUP(Tabela1[[#This Row],[Data de Cessão]],Caixa!$D$3:$BK$3,Caixa!$D$10:$BK$10,0,1,1)</f>
        <v>4298992.8946834449</v>
      </c>
      <c r="G24" s="128">
        <f t="shared" si="1"/>
        <v>373825.46910290793</v>
      </c>
      <c r="H24" s="129">
        <f t="shared" si="2"/>
        <v>4672818.3637863528</v>
      </c>
      <c r="I24" s="224">
        <v>0.08</v>
      </c>
      <c r="J24" s="23">
        <f t="shared" si="3"/>
        <v>0.38579760375252592</v>
      </c>
      <c r="K24" s="23">
        <f t="shared" si="4"/>
        <v>2.7562666773265798E-2</v>
      </c>
      <c r="L24" s="23"/>
      <c r="M24" s="131">
        <f t="shared" si="0"/>
        <v>92</v>
      </c>
      <c r="N24" s="225">
        <f t="shared" si="5"/>
        <v>3.0666666666666669</v>
      </c>
      <c r="O24" s="225">
        <f t="shared" si="6"/>
        <v>0.25555555555555559</v>
      </c>
    </row>
    <row r="25" spans="1:15" x14ac:dyDescent="0.3">
      <c r="A25" s="18" t="s">
        <v>160</v>
      </c>
      <c r="B25" s="211">
        <v>0</v>
      </c>
      <c r="C25" s="210">
        <f>1-Tabela1[[#This Row],[PDD]]</f>
        <v>1</v>
      </c>
      <c r="D25" s="33">
        <f>DATE(YEAR(D24),MONTH(D24)+Inputs!$C$16,DAY(D24))</f>
        <v>46953</v>
      </c>
      <c r="E25" s="127">
        <f>DATE(YEAR(Tabela1[[#This Row],[Data de Cessão]]),MONTH(Tabela1[[#This Row],[Data de Cessão]])+Inputs!$C$15,DAY(Tabela1[[#This Row],[Data de Cessão]]))</f>
        <v>47045</v>
      </c>
      <c r="F25" s="128">
        <f>_xlfn.XLOOKUP(Tabela1[[#This Row],[Data de Cessão]],Caixa!$D$3:$BK$3,Caixa!$D$10:$BK$10,0,1,1)</f>
        <v>4320947.3781192377</v>
      </c>
      <c r="G25" s="128">
        <f t="shared" si="1"/>
        <v>375734.55461906362</v>
      </c>
      <c r="H25" s="129">
        <f t="shared" si="2"/>
        <v>4696681.9327383013</v>
      </c>
      <c r="I25" s="224">
        <v>0.08</v>
      </c>
      <c r="J25" s="23">
        <f t="shared" si="3"/>
        <v>0.38579760375252592</v>
      </c>
      <c r="K25" s="23">
        <f t="shared" si="4"/>
        <v>2.7562666773265798E-2</v>
      </c>
      <c r="L25" s="23"/>
      <c r="M25" s="131">
        <f t="shared" si="0"/>
        <v>92</v>
      </c>
      <c r="N25" s="225">
        <f t="shared" si="5"/>
        <v>3.0666666666666669</v>
      </c>
      <c r="O25" s="225">
        <f t="shared" si="6"/>
        <v>0.25555555555555559</v>
      </c>
    </row>
    <row r="26" spans="1:15" x14ac:dyDescent="0.3">
      <c r="A26" s="18" t="s">
        <v>160</v>
      </c>
      <c r="B26" s="211">
        <v>0</v>
      </c>
      <c r="C26" s="210">
        <f>1-Tabela1[[#This Row],[PDD]]</f>
        <v>1</v>
      </c>
      <c r="D26" s="33">
        <f>DATE(YEAR(D25),MONTH(D25)+Inputs!$C$16,DAY(D25))</f>
        <v>46984</v>
      </c>
      <c r="E26" s="127">
        <f>DATE(YEAR(Tabela1[[#This Row],[Data de Cessão]]),MONTH(Tabela1[[#This Row],[Data de Cessão]])+Inputs!$C$15,DAY(Tabela1[[#This Row],[Data de Cessão]]))</f>
        <v>47076</v>
      </c>
      <c r="F26" s="128">
        <f>_xlfn.XLOOKUP(Tabela1[[#This Row],[Data de Cessão]],Caixa!$D$3:$BK$3,Caixa!$D$10:$BK$10,0,1,1)</f>
        <v>4656208.9976290297</v>
      </c>
      <c r="G26" s="128">
        <f t="shared" si="1"/>
        <v>404887.73892426305</v>
      </c>
      <c r="H26" s="129">
        <f t="shared" si="2"/>
        <v>5061096.7365532927</v>
      </c>
      <c r="I26" s="224">
        <v>0.08</v>
      </c>
      <c r="J26" s="23">
        <f t="shared" si="3"/>
        <v>0.38579760375252592</v>
      </c>
      <c r="K26" s="23">
        <f t="shared" si="4"/>
        <v>2.7562666773265798E-2</v>
      </c>
      <c r="L26" s="23"/>
      <c r="M26" s="131">
        <f t="shared" si="0"/>
        <v>92</v>
      </c>
      <c r="N26" s="225">
        <f t="shared" si="5"/>
        <v>3.0666666666666669</v>
      </c>
      <c r="O26" s="225">
        <f t="shared" si="6"/>
        <v>0.25555555555555559</v>
      </c>
    </row>
    <row r="27" spans="1:15" x14ac:dyDescent="0.3">
      <c r="A27" s="18" t="s">
        <v>160</v>
      </c>
      <c r="B27" s="211">
        <v>0</v>
      </c>
      <c r="C27" s="210">
        <f>1-Tabela1[[#This Row],[PDD]]</f>
        <v>1</v>
      </c>
      <c r="D27" s="33">
        <f>DATE(YEAR(D26),MONTH(D26)+Inputs!$C$16,DAY(D26))</f>
        <v>47015</v>
      </c>
      <c r="E27" s="127">
        <f>DATE(YEAR(Tabela1[[#This Row],[Data de Cessão]]),MONTH(Tabela1[[#This Row],[Data de Cessão]])+Inputs!$C$15,DAY(Tabela1[[#This Row],[Data de Cessão]]))</f>
        <v>47106</v>
      </c>
      <c r="F27" s="128">
        <f>_xlfn.XLOOKUP(Tabela1[[#This Row],[Data de Cessão]],Caixa!$D$3:$BK$3,Caixa!$D$10:$BK$10,0,1,1)</f>
        <v>4312330.2413214911</v>
      </c>
      <c r="G27" s="128">
        <f t="shared" si="1"/>
        <v>374985.23837578204</v>
      </c>
      <c r="H27" s="129">
        <f t="shared" si="2"/>
        <v>4687315.4796972731</v>
      </c>
      <c r="I27" s="224">
        <v>0.08</v>
      </c>
      <c r="J27" s="23">
        <f t="shared" si="3"/>
        <v>0.39077522859416081</v>
      </c>
      <c r="K27" s="23">
        <f t="shared" si="4"/>
        <v>2.7869735441721E-2</v>
      </c>
      <c r="L27" s="23"/>
      <c r="M27" s="131">
        <f t="shared" si="0"/>
        <v>91</v>
      </c>
      <c r="N27" s="225">
        <f t="shared" si="5"/>
        <v>3.0333333333333332</v>
      </c>
      <c r="O27" s="225">
        <f t="shared" si="6"/>
        <v>0.25277777777777777</v>
      </c>
    </row>
    <row r="28" spans="1:15" x14ac:dyDescent="0.3">
      <c r="A28" s="18" t="s">
        <v>160</v>
      </c>
      <c r="B28" s="211">
        <v>0</v>
      </c>
      <c r="C28" s="210">
        <f>1-Tabela1[[#This Row],[PDD]]</f>
        <v>1</v>
      </c>
      <c r="D28" s="33">
        <f>DATE(YEAR(D27),MONTH(D27)+Inputs!$C$16,DAY(D27))</f>
        <v>47045</v>
      </c>
      <c r="E28" s="127">
        <f>DATE(YEAR(Tabela1[[#This Row],[Data de Cessão]]),MONTH(Tabela1[[#This Row],[Data de Cessão]])+Inputs!$C$15,DAY(Tabela1[[#This Row],[Data de Cessão]]))</f>
        <v>47137</v>
      </c>
      <c r="F28" s="128">
        <f>_xlfn.XLOOKUP(Tabela1[[#This Row],[Data de Cessão]],Caixa!$D$3:$BK$3,Caixa!$D$10:$BK$10,0,1,1)</f>
        <v>4340337.2006473392</v>
      </c>
      <c r="G28" s="128">
        <f t="shared" si="1"/>
        <v>377420.62614324689</v>
      </c>
      <c r="H28" s="129">
        <f t="shared" si="2"/>
        <v>4717757.8267905861</v>
      </c>
      <c r="I28" s="224">
        <v>0.08</v>
      </c>
      <c r="J28" s="23">
        <f t="shared" si="3"/>
        <v>0.38579760375252592</v>
      </c>
      <c r="K28" s="23">
        <f t="shared" si="4"/>
        <v>2.7562666773265798E-2</v>
      </c>
      <c r="L28" s="23"/>
      <c r="M28" s="131">
        <f t="shared" si="0"/>
        <v>92</v>
      </c>
      <c r="N28" s="225">
        <f t="shared" si="5"/>
        <v>3.0666666666666669</v>
      </c>
      <c r="O28" s="225">
        <f t="shared" si="6"/>
        <v>0.25555555555555559</v>
      </c>
    </row>
    <row r="29" spans="1:15" x14ac:dyDescent="0.3">
      <c r="A29" s="18" t="s">
        <v>160</v>
      </c>
      <c r="B29" s="211">
        <v>0</v>
      </c>
      <c r="C29" s="210">
        <f>1-Tabela1[[#This Row],[PDD]]</f>
        <v>1</v>
      </c>
      <c r="D29" s="33">
        <f>DATE(YEAR(D28),MONTH(D28)+Inputs!$C$16,DAY(D28))</f>
        <v>47076</v>
      </c>
      <c r="E29" s="127">
        <f>DATE(YEAR(Tabela1[[#This Row],[Data de Cessão]]),MONTH(Tabela1[[#This Row],[Data de Cessão]])+Inputs!$C$15,DAY(Tabela1[[#This Row],[Data de Cessão]]))</f>
        <v>47168</v>
      </c>
      <c r="F29" s="128">
        <f>_xlfn.XLOOKUP(Tabela1[[#This Row],[Data de Cessão]],Caixa!$D$3:$BK$3,Caixa!$D$10:$BK$10,0,1,1)</f>
        <v>4707194.6884452859</v>
      </c>
      <c r="G29" s="128">
        <f t="shared" si="1"/>
        <v>409321.27725611161</v>
      </c>
      <c r="H29" s="129">
        <f t="shared" si="2"/>
        <v>5116515.9657013975</v>
      </c>
      <c r="I29" s="224">
        <v>0.08</v>
      </c>
      <c r="J29" s="23">
        <f t="shared" si="3"/>
        <v>0.38579760375252592</v>
      </c>
      <c r="K29" s="23">
        <f t="shared" si="4"/>
        <v>2.7562666773265798E-2</v>
      </c>
      <c r="L29" s="23"/>
      <c r="M29" s="131">
        <f t="shared" si="0"/>
        <v>92</v>
      </c>
      <c r="N29" s="225">
        <f t="shared" si="5"/>
        <v>3.0666666666666669</v>
      </c>
      <c r="O29" s="225">
        <f t="shared" si="6"/>
        <v>0.25555555555555559</v>
      </c>
    </row>
    <row r="30" spans="1:15" x14ac:dyDescent="0.3">
      <c r="A30" s="18" t="s">
        <v>160</v>
      </c>
      <c r="B30" s="211">
        <v>0</v>
      </c>
      <c r="C30" s="210">
        <f>1-Tabela1[[#This Row],[PDD]]</f>
        <v>1</v>
      </c>
      <c r="D30" s="33">
        <f>DATE(YEAR(D29),MONTH(D29)+Inputs!$C$16,DAY(D29))</f>
        <v>47106</v>
      </c>
      <c r="E30" s="127">
        <f>DATE(YEAR(Tabela1[[#This Row],[Data de Cessão]]),MONTH(Tabela1[[#This Row],[Data de Cessão]])+Inputs!$C$15,DAY(Tabela1[[#This Row],[Data de Cessão]]))</f>
        <v>47196</v>
      </c>
      <c r="F30" s="128">
        <f>_xlfn.XLOOKUP(Tabela1[[#This Row],[Data de Cessão]],Caixa!$D$3:$BK$3,Caixa!$D$10:$BK$10,0,1,1)</f>
        <v>4339297.9981393516</v>
      </c>
      <c r="G30" s="128">
        <f t="shared" si="1"/>
        <v>377330.26070776954</v>
      </c>
      <c r="H30" s="129">
        <f t="shared" si="2"/>
        <v>4716628.2588471211</v>
      </c>
      <c r="I30" s="224">
        <v>0.08</v>
      </c>
      <c r="J30" s="23">
        <f t="shared" si="3"/>
        <v>0.39588194724861614</v>
      </c>
      <c r="K30" s="23">
        <f t="shared" si="4"/>
        <v>2.818372270192615E-2</v>
      </c>
      <c r="L30" s="23"/>
      <c r="M30" s="131">
        <f t="shared" si="0"/>
        <v>90</v>
      </c>
      <c r="N30" s="225">
        <f t="shared" si="5"/>
        <v>3</v>
      </c>
      <c r="O30" s="225">
        <f t="shared" si="6"/>
        <v>0.25</v>
      </c>
    </row>
    <row r="31" spans="1:15" x14ac:dyDescent="0.3">
      <c r="A31" s="18" t="s">
        <v>160</v>
      </c>
      <c r="B31" s="211">
        <v>0</v>
      </c>
      <c r="C31" s="210">
        <f>1-Tabela1[[#This Row],[PDD]]</f>
        <v>1</v>
      </c>
      <c r="D31" s="33">
        <f>DATE(YEAR(D30),MONTH(D30)+Inputs!$C$16,DAY(D30))</f>
        <v>47137</v>
      </c>
      <c r="E31" s="127">
        <f>DATE(YEAR(Tabela1[[#This Row],[Data de Cessão]]),MONTH(Tabela1[[#This Row],[Data de Cessão]])+Inputs!$C$15,DAY(Tabela1[[#This Row],[Data de Cessão]]))</f>
        <v>47227</v>
      </c>
      <c r="F31" s="128">
        <f>_xlfn.XLOOKUP(Tabela1[[#This Row],[Data de Cessão]],Caixa!$D$3:$BK$3,Caixa!$D$10:$BK$10,0,1,1)</f>
        <v>4372575.4030121323</v>
      </c>
      <c r="G31" s="128">
        <f t="shared" si="1"/>
        <v>380223.9480880117</v>
      </c>
      <c r="H31" s="129">
        <f t="shared" si="2"/>
        <v>4752799.351100144</v>
      </c>
      <c r="I31" s="224">
        <v>0.08</v>
      </c>
      <c r="J31" s="23">
        <f t="shared" si="3"/>
        <v>0.39588194724861614</v>
      </c>
      <c r="K31" s="23">
        <f t="shared" si="4"/>
        <v>2.818372270192615E-2</v>
      </c>
      <c r="L31" s="23"/>
      <c r="M31" s="131">
        <f t="shared" si="0"/>
        <v>90</v>
      </c>
      <c r="N31" s="225">
        <f t="shared" si="5"/>
        <v>3</v>
      </c>
      <c r="O31" s="225">
        <f t="shared" si="6"/>
        <v>0.25</v>
      </c>
    </row>
    <row r="32" spans="1:15" x14ac:dyDescent="0.3">
      <c r="A32" s="18" t="s">
        <v>160</v>
      </c>
      <c r="B32" s="211">
        <v>0</v>
      </c>
      <c r="C32" s="210">
        <f>1-Tabela1[[#This Row],[PDD]]</f>
        <v>1</v>
      </c>
      <c r="D32" s="33">
        <f>DATE(YEAR(D31),MONTH(D31)+Inputs!$C$16,DAY(D31))</f>
        <v>47168</v>
      </c>
      <c r="E32" s="127">
        <f>DATE(YEAR(Tabela1[[#This Row],[Data de Cessão]]),MONTH(Tabela1[[#This Row],[Data de Cessão]])+Inputs!$C$15,DAY(Tabela1[[#This Row],[Data de Cessão]]))</f>
        <v>47257</v>
      </c>
      <c r="F32" s="128">
        <f>_xlfn.XLOOKUP(Tabela1[[#This Row],[Data de Cessão]],Caixa!$D$3:$BK$3,Caixa!$D$10:$BK$10,0,1,1)</f>
        <v>4778013.9822732965</v>
      </c>
      <c r="G32" s="128">
        <f t="shared" si="1"/>
        <v>415479.47671941668</v>
      </c>
      <c r="H32" s="129">
        <f t="shared" si="2"/>
        <v>5193493.4589927131</v>
      </c>
      <c r="I32" s="224">
        <v>0.08</v>
      </c>
      <c r="J32" s="23">
        <f t="shared" si="3"/>
        <v>0.40112281205995304</v>
      </c>
      <c r="K32" s="23">
        <f t="shared" si="4"/>
        <v>2.8504865028026849E-2</v>
      </c>
      <c r="L32" s="23"/>
      <c r="M32" s="131">
        <f t="shared" si="0"/>
        <v>89</v>
      </c>
      <c r="N32" s="225">
        <f t="shared" si="5"/>
        <v>2.9666666666666668</v>
      </c>
      <c r="O32" s="225">
        <f t="shared" si="6"/>
        <v>0.24722222222222223</v>
      </c>
    </row>
    <row r="33" spans="1:15" x14ac:dyDescent="0.3">
      <c r="A33" s="18" t="s">
        <v>160</v>
      </c>
      <c r="B33" s="211">
        <v>0</v>
      </c>
      <c r="C33" s="210">
        <f>1-Tabela1[[#This Row],[PDD]]</f>
        <v>1</v>
      </c>
      <c r="D33" s="33">
        <f>DATE(YEAR(D32),MONTH(D32)+Inputs!$C$16,DAY(D32))</f>
        <v>47196</v>
      </c>
      <c r="E33" s="127">
        <f>DATE(YEAR(Tabela1[[#This Row],[Data de Cessão]]),MONTH(Tabela1[[#This Row],[Data de Cessão]])+Inputs!$C$15,DAY(Tabela1[[#This Row],[Data de Cessão]]))</f>
        <v>47288</v>
      </c>
      <c r="F33" s="128">
        <f>_xlfn.XLOOKUP(Tabela1[[#This Row],[Data de Cessão]],Caixa!$D$3:$BK$3,Caixa!$D$10:$BK$10,0,1,1)</f>
        <v>4380193.073742155</v>
      </c>
      <c r="G33" s="128">
        <f t="shared" si="1"/>
        <v>380886.35423844773</v>
      </c>
      <c r="H33" s="129">
        <f t="shared" si="2"/>
        <v>4761079.4279806027</v>
      </c>
      <c r="I33" s="224">
        <v>0.08</v>
      </c>
      <c r="J33" s="23">
        <f t="shared" si="3"/>
        <v>0.38579760375252592</v>
      </c>
      <c r="K33" s="23">
        <f t="shared" si="4"/>
        <v>2.7562666773265798E-2</v>
      </c>
      <c r="L33" s="23"/>
      <c r="M33" s="131">
        <f t="shared" si="0"/>
        <v>92</v>
      </c>
      <c r="N33" s="225">
        <f t="shared" si="5"/>
        <v>3.0666666666666669</v>
      </c>
      <c r="O33" s="225">
        <f t="shared" si="6"/>
        <v>0.25555555555555559</v>
      </c>
    </row>
    <row r="34" spans="1:15" x14ac:dyDescent="0.3">
      <c r="A34" s="18" t="s">
        <v>160</v>
      </c>
      <c r="B34" s="211">
        <v>0</v>
      </c>
      <c r="C34" s="210">
        <f>1-Tabela1[[#This Row],[PDD]]</f>
        <v>1</v>
      </c>
      <c r="D34" s="33">
        <f>DATE(YEAR(D33),MONTH(D33)+Inputs!$C$16,DAY(D33))</f>
        <v>47227</v>
      </c>
      <c r="E34" s="127">
        <f>DATE(YEAR(Tabela1[[#This Row],[Data de Cessão]]),MONTH(Tabela1[[#This Row],[Data de Cessão]])+Inputs!$C$15,DAY(Tabela1[[#This Row],[Data de Cessão]]))</f>
        <v>47318</v>
      </c>
      <c r="F34" s="128">
        <f>_xlfn.XLOOKUP(Tabela1[[#This Row],[Data de Cessão]],Caixa!$D$3:$BK$3,Caixa!$D$10:$BK$10,0,1,1)</f>
        <v>4422285.3095908202</v>
      </c>
      <c r="G34" s="128">
        <f t="shared" si="1"/>
        <v>384546.54866007157</v>
      </c>
      <c r="H34" s="129">
        <f t="shared" si="2"/>
        <v>4806831.8582508918</v>
      </c>
      <c r="I34" s="224">
        <v>0.08</v>
      </c>
      <c r="J34" s="23">
        <f t="shared" si="3"/>
        <v>0.39077522859416192</v>
      </c>
      <c r="K34" s="23">
        <f t="shared" si="4"/>
        <v>2.7869735441721E-2</v>
      </c>
      <c r="L34" s="23"/>
      <c r="M34" s="131">
        <f t="shared" ref="M34:M60" si="7">(E34-D34)</f>
        <v>91</v>
      </c>
      <c r="N34" s="225">
        <f t="shared" si="5"/>
        <v>3.0333333333333332</v>
      </c>
      <c r="O34" s="225">
        <f t="shared" si="6"/>
        <v>0.25277777777777777</v>
      </c>
    </row>
    <row r="35" spans="1:15" x14ac:dyDescent="0.3">
      <c r="A35" s="18" t="s">
        <v>160</v>
      </c>
      <c r="B35" s="211">
        <v>0</v>
      </c>
      <c r="C35" s="210">
        <f>1-Tabela1[[#This Row],[PDD]]</f>
        <v>1</v>
      </c>
      <c r="D35" s="33">
        <f>DATE(YEAR(D34),MONTH(D34)+Inputs!$C$16,DAY(D34))</f>
        <v>47257</v>
      </c>
      <c r="E35" s="127">
        <f>DATE(YEAR(Tabela1[[#This Row],[Data de Cessão]]),MONTH(Tabela1[[#This Row],[Data de Cessão]])+Inputs!$C$15,DAY(Tabela1[[#This Row],[Data de Cessão]]))</f>
        <v>47349</v>
      </c>
      <c r="F35" s="128">
        <f>_xlfn.XLOOKUP(Tabela1[[#This Row],[Data de Cessão]],Caixa!$D$3:$BK$3,Caixa!$D$10:$BK$10,0,1,1)</f>
        <v>4865258.4066008274</v>
      </c>
      <c r="G35" s="128">
        <f t="shared" si="1"/>
        <v>423065.94840007182</v>
      </c>
      <c r="H35" s="129">
        <f t="shared" si="2"/>
        <v>5288324.3550008992</v>
      </c>
      <c r="I35" s="224">
        <v>0.08</v>
      </c>
      <c r="J35" s="23">
        <f t="shared" si="3"/>
        <v>0.38579760375252592</v>
      </c>
      <c r="K35" s="23">
        <f t="shared" si="4"/>
        <v>2.7562666773265798E-2</v>
      </c>
      <c r="L35" s="23"/>
      <c r="M35" s="131">
        <f t="shared" si="7"/>
        <v>92</v>
      </c>
      <c r="N35" s="225">
        <f t="shared" si="5"/>
        <v>3.0666666666666669</v>
      </c>
      <c r="O35" s="225">
        <f t="shared" si="6"/>
        <v>0.25555555555555559</v>
      </c>
    </row>
    <row r="36" spans="1:15" x14ac:dyDescent="0.3">
      <c r="A36" s="18" t="s">
        <v>160</v>
      </c>
      <c r="B36" s="211">
        <v>0</v>
      </c>
      <c r="C36" s="210">
        <f>1-Tabela1[[#This Row],[PDD]]</f>
        <v>1</v>
      </c>
      <c r="D36" s="33">
        <f>DATE(YEAR(D35),MONTH(D35)+Inputs!$C$16,DAY(D35))</f>
        <v>47288</v>
      </c>
      <c r="E36" s="127">
        <f>DATE(YEAR(Tabela1[[#This Row],[Data de Cessão]]),MONTH(Tabela1[[#This Row],[Data de Cessão]])+Inputs!$C$15,DAY(Tabela1[[#This Row],[Data de Cessão]]))</f>
        <v>47380</v>
      </c>
      <c r="F36" s="128">
        <f>_xlfn.XLOOKUP(Tabela1[[#This Row],[Data de Cessão]],Caixa!$D$3:$BK$3,Caixa!$D$10:$BK$10,0,1,1)</f>
        <v>4438203.7785504973</v>
      </c>
      <c r="G36" s="128">
        <f t="shared" si="1"/>
        <v>385930.76335221715</v>
      </c>
      <c r="H36" s="129">
        <f t="shared" si="2"/>
        <v>4824134.5419027144</v>
      </c>
      <c r="I36" s="224">
        <v>0.08</v>
      </c>
      <c r="J36" s="23">
        <f t="shared" si="3"/>
        <v>0.38579760375252592</v>
      </c>
      <c r="K36" s="23">
        <f t="shared" si="4"/>
        <v>2.7562666773265798E-2</v>
      </c>
      <c r="L36" s="23"/>
      <c r="M36" s="131">
        <f t="shared" si="7"/>
        <v>92</v>
      </c>
      <c r="N36" s="225">
        <f t="shared" si="5"/>
        <v>3.0666666666666669</v>
      </c>
      <c r="O36" s="225">
        <f t="shared" si="6"/>
        <v>0.25555555555555559</v>
      </c>
    </row>
    <row r="37" spans="1:15" x14ac:dyDescent="0.3">
      <c r="A37" s="18" t="s">
        <v>160</v>
      </c>
      <c r="B37" s="211">
        <v>0</v>
      </c>
      <c r="C37" s="210">
        <f>1-Tabela1[[#This Row],[PDD]]</f>
        <v>1</v>
      </c>
      <c r="D37" s="33">
        <f>DATE(YEAR(D36),MONTH(D36)+Inputs!$C$16,DAY(D36))</f>
        <v>47318</v>
      </c>
      <c r="E37" s="127">
        <f>DATE(YEAR(Tabela1[[#This Row],[Data de Cessão]]),MONTH(Tabela1[[#This Row],[Data de Cessão]])+Inputs!$C$15,DAY(Tabela1[[#This Row],[Data de Cessão]]))</f>
        <v>47410</v>
      </c>
      <c r="F37" s="128">
        <f>_xlfn.XLOOKUP(Tabela1[[#This Row],[Data de Cessão]],Caixa!$D$3:$BK$3,Caixa!$D$10:$BK$10,0,1,1)</f>
        <v>4488165.5801543519</v>
      </c>
      <c r="G37" s="128">
        <f t="shared" si="1"/>
        <v>390275.26783950906</v>
      </c>
      <c r="H37" s="129">
        <f t="shared" si="2"/>
        <v>4878440.847993861</v>
      </c>
      <c r="I37" s="224">
        <v>0.08</v>
      </c>
      <c r="J37" s="23">
        <f t="shared" si="3"/>
        <v>0.38579760375252592</v>
      </c>
      <c r="K37" s="23">
        <f t="shared" si="4"/>
        <v>2.7562666773265798E-2</v>
      </c>
      <c r="L37" s="23"/>
      <c r="M37" s="131">
        <f t="shared" si="7"/>
        <v>92</v>
      </c>
      <c r="N37" s="225">
        <f t="shared" si="5"/>
        <v>3.0666666666666669</v>
      </c>
      <c r="O37" s="225">
        <f t="shared" si="6"/>
        <v>0.25555555555555559</v>
      </c>
    </row>
    <row r="38" spans="1:15" x14ac:dyDescent="0.3">
      <c r="A38" s="18" t="s">
        <v>160</v>
      </c>
      <c r="B38" s="211">
        <v>0</v>
      </c>
      <c r="C38" s="210">
        <f>1-Tabela1[[#This Row],[PDD]]</f>
        <v>1</v>
      </c>
      <c r="D38" s="33">
        <f>DATE(YEAR(D37),MONTH(D37)+Inputs!$C$16,DAY(D37))</f>
        <v>47349</v>
      </c>
      <c r="E38" s="127">
        <f>DATE(YEAR(Tabela1[[#This Row],[Data de Cessão]]),MONTH(Tabela1[[#This Row],[Data de Cessão]])+Inputs!$C$15,DAY(Tabela1[[#This Row],[Data de Cessão]]))</f>
        <v>47441</v>
      </c>
      <c r="F38" s="128">
        <f>_xlfn.XLOOKUP(Tabela1[[#This Row],[Data de Cessão]],Caixa!$D$3:$BK$3,Caixa!$D$10:$BK$10,0,1,1)</f>
        <v>5262177.6942762099</v>
      </c>
      <c r="G38" s="128">
        <f t="shared" si="1"/>
        <v>457580.66906749643</v>
      </c>
      <c r="H38" s="129">
        <f t="shared" si="2"/>
        <v>5719758.3633437064</v>
      </c>
      <c r="I38" s="224">
        <v>0.08</v>
      </c>
      <c r="J38" s="23">
        <f t="shared" si="3"/>
        <v>0.38579760375252592</v>
      </c>
      <c r="K38" s="23">
        <f t="shared" si="4"/>
        <v>2.7562666773265798E-2</v>
      </c>
      <c r="L38" s="23"/>
      <c r="M38" s="131">
        <f t="shared" si="7"/>
        <v>92</v>
      </c>
      <c r="N38" s="225">
        <f t="shared" si="5"/>
        <v>3.0666666666666669</v>
      </c>
      <c r="O38" s="225">
        <f t="shared" si="6"/>
        <v>0.25555555555555559</v>
      </c>
    </row>
    <row r="39" spans="1:15" x14ac:dyDescent="0.3">
      <c r="A39" s="18" t="s">
        <v>160</v>
      </c>
      <c r="B39" s="211">
        <v>0</v>
      </c>
      <c r="C39" s="210">
        <f>1-Tabela1[[#This Row],[PDD]]</f>
        <v>1</v>
      </c>
      <c r="D39" s="33">
        <f>DATE(YEAR(D38),MONTH(D38)+Inputs!$C$16,DAY(D38))</f>
        <v>47380</v>
      </c>
      <c r="E39" s="127">
        <f>DATE(YEAR(Tabela1[[#This Row],[Data de Cessão]]),MONTH(Tabela1[[#This Row],[Data de Cessão]])+Inputs!$C$15,DAY(Tabela1[[#This Row],[Data de Cessão]]))</f>
        <v>47471</v>
      </c>
      <c r="F39" s="128">
        <f>_xlfn.XLOOKUP(Tabela1[[#This Row],[Data de Cessão]],Caixa!$D$3:$BK$3,Caixa!$D$10:$BK$10,0,1,1)</f>
        <v>4797989.3184778448</v>
      </c>
      <c r="G39" s="128">
        <f t="shared" si="1"/>
        <v>417216.46247633453</v>
      </c>
      <c r="H39" s="129">
        <f t="shared" si="2"/>
        <v>5215205.7809541794</v>
      </c>
      <c r="I39" s="224">
        <v>0.08</v>
      </c>
      <c r="J39" s="23">
        <f t="shared" si="3"/>
        <v>0.39077522859416081</v>
      </c>
      <c r="K39" s="23">
        <f t="shared" si="4"/>
        <v>2.7869735441721E-2</v>
      </c>
      <c r="L39" s="23"/>
      <c r="M39" s="131">
        <f t="shared" si="7"/>
        <v>91</v>
      </c>
      <c r="N39" s="225">
        <f t="shared" si="5"/>
        <v>3.0333333333333332</v>
      </c>
      <c r="O39" s="225">
        <f t="shared" si="6"/>
        <v>0.25277777777777777</v>
      </c>
    </row>
    <row r="40" spans="1:15" x14ac:dyDescent="0.3">
      <c r="A40" s="18" t="s">
        <v>160</v>
      </c>
      <c r="B40" s="211">
        <v>0</v>
      </c>
      <c r="C40" s="210">
        <f>1-Tabela1[[#This Row],[PDD]]</f>
        <v>1</v>
      </c>
      <c r="D40" s="33">
        <f>DATE(YEAR(D39),MONTH(D39)+Inputs!$C$16,DAY(D39))</f>
        <v>47410</v>
      </c>
      <c r="E40" s="127">
        <f>DATE(YEAR(Tabela1[[#This Row],[Data de Cessão]]),MONTH(Tabela1[[#This Row],[Data de Cessão]])+Inputs!$C$15,DAY(Tabela1[[#This Row],[Data de Cessão]]))</f>
        <v>47502</v>
      </c>
      <c r="F40" s="128">
        <f>_xlfn.XLOOKUP(Tabela1[[#This Row],[Data de Cessão]],Caixa!$D$3:$BK$3,Caixa!$D$10:$BK$10,0,1,1)</f>
        <v>4852298.498761245</v>
      </c>
      <c r="G40" s="128">
        <f t="shared" si="1"/>
        <v>421938.9998922823</v>
      </c>
      <c r="H40" s="129">
        <f t="shared" si="2"/>
        <v>5274237.4986535273</v>
      </c>
      <c r="I40" s="224">
        <v>0.08</v>
      </c>
      <c r="J40" s="23">
        <f t="shared" si="3"/>
        <v>0.38579760375252592</v>
      </c>
      <c r="K40" s="23">
        <f t="shared" si="4"/>
        <v>2.7562666773265798E-2</v>
      </c>
      <c r="L40" s="23"/>
      <c r="M40" s="131">
        <f t="shared" si="7"/>
        <v>92</v>
      </c>
      <c r="N40" s="225">
        <f t="shared" si="5"/>
        <v>3.0666666666666669</v>
      </c>
      <c r="O40" s="225">
        <f t="shared" si="6"/>
        <v>0.25555555555555559</v>
      </c>
    </row>
    <row r="41" spans="1:15" x14ac:dyDescent="0.3">
      <c r="A41" s="18" t="s">
        <v>160</v>
      </c>
      <c r="B41" s="211">
        <v>0</v>
      </c>
      <c r="C41" s="210">
        <f>1-Tabela1[[#This Row],[PDD]]</f>
        <v>1</v>
      </c>
      <c r="D41" s="33">
        <f>DATE(YEAR(D40),MONTH(D40)+Inputs!$C$16,DAY(D40))</f>
        <v>47441</v>
      </c>
      <c r="E41" s="127">
        <f>DATE(YEAR(Tabela1[[#This Row],[Data de Cessão]]),MONTH(Tabela1[[#This Row],[Data de Cessão]])+Inputs!$C$15,DAY(Tabela1[[#This Row],[Data de Cessão]]))</f>
        <v>47533</v>
      </c>
      <c r="F41" s="128">
        <f>_xlfn.XLOOKUP(Tabela1[[#This Row],[Data de Cessão]],Caixa!$D$3:$BK$3,Caixa!$D$10:$BK$10,0,1,1)</f>
        <v>5693617.4510035692</v>
      </c>
      <c r="G41" s="128">
        <f t="shared" si="1"/>
        <v>495097.16965248436</v>
      </c>
      <c r="H41" s="129">
        <f t="shared" si="2"/>
        <v>6188714.6206560535</v>
      </c>
      <c r="I41" s="224">
        <v>0.08</v>
      </c>
      <c r="J41" s="23">
        <f t="shared" si="3"/>
        <v>0.38579760375252592</v>
      </c>
      <c r="K41" s="23">
        <f t="shared" si="4"/>
        <v>2.7562666773265798E-2</v>
      </c>
      <c r="L41" s="23"/>
      <c r="M41" s="131">
        <f t="shared" si="7"/>
        <v>92</v>
      </c>
      <c r="N41" s="225">
        <f t="shared" si="5"/>
        <v>3.0666666666666669</v>
      </c>
      <c r="O41" s="225">
        <f t="shared" si="6"/>
        <v>0.25555555555555559</v>
      </c>
    </row>
    <row r="42" spans="1:15" x14ac:dyDescent="0.3">
      <c r="A42" s="18" t="s">
        <v>160</v>
      </c>
      <c r="B42" s="211">
        <v>0</v>
      </c>
      <c r="C42" s="210">
        <f>1-Tabela1[[#This Row],[PDD]]</f>
        <v>1</v>
      </c>
      <c r="D42" s="33">
        <f>DATE(YEAR(D41),MONTH(D41)+Inputs!$C$16,DAY(D41))</f>
        <v>47471</v>
      </c>
      <c r="E42" s="127">
        <f>DATE(YEAR(Tabela1[[#This Row],[Data de Cessão]]),MONTH(Tabela1[[#This Row],[Data de Cessão]])+Inputs!$C$15,DAY(Tabela1[[#This Row],[Data de Cessão]]))</f>
        <v>47561</v>
      </c>
      <c r="F42" s="128">
        <f>_xlfn.XLOOKUP(Tabela1[[#This Row],[Data de Cessão]],Caixa!$D$3:$BK$3,Caixa!$D$10:$BK$10,0,1,1)</f>
        <v>5189066.3053707937</v>
      </c>
      <c r="G42" s="128">
        <f t="shared" si="1"/>
        <v>451223.15698876418</v>
      </c>
      <c r="H42" s="129">
        <f t="shared" si="2"/>
        <v>5640289.4623595579</v>
      </c>
      <c r="I42" s="224">
        <v>0.08</v>
      </c>
      <c r="J42" s="23">
        <f t="shared" si="3"/>
        <v>0.39588194724861614</v>
      </c>
      <c r="K42" s="23">
        <f t="shared" si="4"/>
        <v>2.818372270192615E-2</v>
      </c>
      <c r="L42" s="23"/>
      <c r="M42" s="131">
        <f t="shared" si="7"/>
        <v>90</v>
      </c>
      <c r="N42" s="225">
        <f t="shared" si="5"/>
        <v>3</v>
      </c>
      <c r="O42" s="225">
        <f t="shared" si="6"/>
        <v>0.25</v>
      </c>
    </row>
    <row r="43" spans="1:15" x14ac:dyDescent="0.3">
      <c r="A43" s="18" t="s">
        <v>160</v>
      </c>
      <c r="B43" s="211">
        <v>0</v>
      </c>
      <c r="C43" s="210">
        <f>1-Tabela1[[#This Row],[PDD]]</f>
        <v>1</v>
      </c>
      <c r="D43" s="33">
        <f>DATE(YEAR(D42),MONTH(D42)+Inputs!$C$16,DAY(D42))</f>
        <v>47502</v>
      </c>
      <c r="E43" s="127">
        <f>DATE(YEAR(Tabela1[[#This Row],[Data de Cessão]]),MONTH(Tabela1[[#This Row],[Data de Cessão]])+Inputs!$C$15,DAY(Tabela1[[#This Row],[Data de Cessão]]))</f>
        <v>47592</v>
      </c>
      <c r="F43" s="128">
        <f>_xlfn.XLOOKUP(Tabela1[[#This Row],[Data de Cessão]],Caixa!$D$3:$BK$3,Caixa!$D$10:$BK$10,0,1,1)</f>
        <v>5248099.4596911864</v>
      </c>
      <c r="G43" s="128">
        <f t="shared" si="1"/>
        <v>456356.47475575469</v>
      </c>
      <c r="H43" s="129">
        <f t="shared" si="2"/>
        <v>5704455.9344469411</v>
      </c>
      <c r="I43" s="224">
        <v>0.08</v>
      </c>
      <c r="J43" s="23">
        <f t="shared" si="3"/>
        <v>0.39588194724861614</v>
      </c>
      <c r="K43" s="23">
        <f t="shared" si="4"/>
        <v>2.818372270192615E-2</v>
      </c>
      <c r="L43" s="23"/>
      <c r="M43" s="131">
        <f t="shared" si="7"/>
        <v>90</v>
      </c>
      <c r="N43" s="225">
        <f t="shared" si="5"/>
        <v>3</v>
      </c>
      <c r="O43" s="225">
        <f t="shared" si="6"/>
        <v>0.25</v>
      </c>
    </row>
    <row r="44" spans="1:15" x14ac:dyDescent="0.3">
      <c r="A44" s="18" t="s">
        <v>160</v>
      </c>
      <c r="B44" s="211">
        <v>0</v>
      </c>
      <c r="C44" s="210">
        <f>1-Tabela1[[#This Row],[PDD]]</f>
        <v>1</v>
      </c>
      <c r="D44" s="33">
        <f>DATE(YEAR(D43),MONTH(D43)+Inputs!$C$16,DAY(D43))</f>
        <v>47533</v>
      </c>
      <c r="E44" s="127">
        <f>DATE(YEAR(Tabela1[[#This Row],[Data de Cessão]]),MONTH(Tabela1[[#This Row],[Data de Cessão]])+Inputs!$C$15,DAY(Tabela1[[#This Row],[Data de Cessão]]))</f>
        <v>47622</v>
      </c>
      <c r="F44" s="128">
        <f>_xlfn.XLOOKUP(Tabela1[[#This Row],[Data de Cessão]],Caixa!$D$3:$BK$3,Caixa!$D$10:$BK$10,0,1,1)</f>
        <v>6162576.581693707</v>
      </c>
      <c r="G44" s="128">
        <f t="shared" si="1"/>
        <v>535876.22449510451</v>
      </c>
      <c r="H44" s="129">
        <f t="shared" si="2"/>
        <v>6698452.8061888115</v>
      </c>
      <c r="I44" s="224">
        <v>0.08</v>
      </c>
      <c r="J44" s="23">
        <f t="shared" si="3"/>
        <v>0.40112281205995304</v>
      </c>
      <c r="K44" s="23">
        <f t="shared" si="4"/>
        <v>2.8504865028026849E-2</v>
      </c>
      <c r="L44" s="23"/>
      <c r="M44" s="131">
        <f t="shared" si="7"/>
        <v>89</v>
      </c>
      <c r="N44" s="225">
        <f t="shared" si="5"/>
        <v>2.9666666666666668</v>
      </c>
      <c r="O44" s="225">
        <f t="shared" si="6"/>
        <v>0.24722222222222223</v>
      </c>
    </row>
    <row r="45" spans="1:15" x14ac:dyDescent="0.3">
      <c r="A45" s="18" t="s">
        <v>160</v>
      </c>
      <c r="B45" s="211">
        <v>0</v>
      </c>
      <c r="C45" s="210">
        <f>1-Tabela1[[#This Row],[PDD]]</f>
        <v>1</v>
      </c>
      <c r="D45" s="33">
        <f>DATE(YEAR(D44),MONTH(D44)+Inputs!$C$16,DAY(D44))</f>
        <v>47561</v>
      </c>
      <c r="E45" s="127">
        <f>DATE(YEAR(Tabela1[[#This Row],[Data de Cessão]]),MONTH(Tabela1[[#This Row],[Data de Cessão]])+Inputs!$C$15,DAY(Tabela1[[#This Row],[Data de Cessão]]))</f>
        <v>47653</v>
      </c>
      <c r="F45" s="128">
        <f>_xlfn.XLOOKUP(Tabela1[[#This Row],[Data de Cessão]],Caixa!$D$3:$BK$3,Caixa!$D$10:$BK$10,0,1,1)</f>
        <v>5614154.296232284</v>
      </c>
      <c r="G45" s="128">
        <f t="shared" si="1"/>
        <v>488187.33010715526</v>
      </c>
      <c r="H45" s="129">
        <f t="shared" si="2"/>
        <v>6102341.6263394393</v>
      </c>
      <c r="I45" s="224">
        <v>0.08</v>
      </c>
      <c r="J45" s="23">
        <f t="shared" si="3"/>
        <v>0.38579760375252592</v>
      </c>
      <c r="K45" s="23">
        <f t="shared" si="4"/>
        <v>2.7562666773265798E-2</v>
      </c>
      <c r="L45" s="23"/>
      <c r="M45" s="131">
        <f t="shared" si="7"/>
        <v>92</v>
      </c>
      <c r="N45" s="225">
        <f t="shared" si="5"/>
        <v>3.0666666666666669</v>
      </c>
      <c r="O45" s="225">
        <f t="shared" si="6"/>
        <v>0.25555555555555559</v>
      </c>
    </row>
    <row r="46" spans="1:15" x14ac:dyDescent="0.3">
      <c r="A46" s="18" t="s">
        <v>160</v>
      </c>
      <c r="B46" s="211">
        <v>0</v>
      </c>
      <c r="C46" s="210">
        <f>1-Tabela1[[#This Row],[PDD]]</f>
        <v>1</v>
      </c>
      <c r="D46" s="33">
        <f>DATE(YEAR(D45),MONTH(D45)+Inputs!$C$16,DAY(D45))</f>
        <v>47592</v>
      </c>
      <c r="E46" s="127">
        <f>DATE(YEAR(Tabela1[[#This Row],[Data de Cessão]]),MONTH(Tabela1[[#This Row],[Data de Cessão]])+Inputs!$C$15,DAY(Tabela1[[#This Row],[Data de Cessão]]))</f>
        <v>47683</v>
      </c>
      <c r="F46" s="128">
        <f>_xlfn.XLOOKUP(Tabela1[[#This Row],[Data de Cessão]],Caixa!$D$3:$BK$3,Caixa!$D$10:$BK$10,0,1,1)</f>
        <v>5678323.6406122083</v>
      </c>
      <c r="G46" s="128">
        <f t="shared" si="1"/>
        <v>493767.27309671324</v>
      </c>
      <c r="H46" s="129">
        <f t="shared" si="2"/>
        <v>6172090.9137089215</v>
      </c>
      <c r="I46" s="224">
        <v>0.08</v>
      </c>
      <c r="J46" s="23">
        <f t="shared" si="3"/>
        <v>0.39077522859416081</v>
      </c>
      <c r="K46" s="23">
        <f t="shared" si="4"/>
        <v>2.7869735441721E-2</v>
      </c>
      <c r="L46" s="23"/>
      <c r="M46" s="131">
        <f t="shared" si="7"/>
        <v>91</v>
      </c>
      <c r="N46" s="225">
        <f t="shared" si="5"/>
        <v>3.0333333333333332</v>
      </c>
      <c r="O46" s="225">
        <f t="shared" si="6"/>
        <v>0.25277777777777777</v>
      </c>
    </row>
    <row r="47" spans="1:15" x14ac:dyDescent="0.3">
      <c r="A47" s="18" t="s">
        <v>160</v>
      </c>
      <c r="B47" s="211">
        <v>0</v>
      </c>
      <c r="C47" s="210">
        <f>1-Tabela1[[#This Row],[PDD]]</f>
        <v>1</v>
      </c>
      <c r="D47" s="33">
        <f>DATE(YEAR(D46),MONTH(D46)+Inputs!$C$16,DAY(D46))</f>
        <v>47622</v>
      </c>
      <c r="E47" s="127">
        <f>DATE(YEAR(Tabela1[[#This Row],[Data de Cessão]]),MONTH(Tabela1[[#This Row],[Data de Cessão]])+Inputs!$C$15,DAY(Tabela1[[#This Row],[Data de Cessão]]))</f>
        <v>47714</v>
      </c>
      <c r="F47" s="128">
        <f>_xlfn.XLOOKUP(Tabela1[[#This Row],[Data de Cessão]],Caixa!$D$3:$BK$3,Caixa!$D$10:$BK$10,0,1,1)</f>
        <v>6672320.5123540759</v>
      </c>
      <c r="G47" s="128">
        <f t="shared" si="1"/>
        <v>580201.78368296288</v>
      </c>
      <c r="H47" s="129">
        <f t="shared" si="2"/>
        <v>7252522.2960370388</v>
      </c>
      <c r="I47" s="224">
        <v>0.08</v>
      </c>
      <c r="J47" s="23">
        <f t="shared" si="3"/>
        <v>0.38579760375252592</v>
      </c>
      <c r="K47" s="23">
        <f t="shared" si="4"/>
        <v>2.7562666773265798E-2</v>
      </c>
      <c r="L47" s="23"/>
      <c r="M47" s="131">
        <f t="shared" si="7"/>
        <v>92</v>
      </c>
      <c r="N47" s="225">
        <f t="shared" si="5"/>
        <v>3.0666666666666669</v>
      </c>
      <c r="O47" s="225">
        <f t="shared" si="6"/>
        <v>0.25555555555555559</v>
      </c>
    </row>
    <row r="48" spans="1:15" x14ac:dyDescent="0.3">
      <c r="A48" s="18" t="s">
        <v>160</v>
      </c>
      <c r="B48" s="211">
        <v>0</v>
      </c>
      <c r="C48" s="210">
        <f>1-Tabela1[[#This Row],[PDD]]</f>
        <v>1</v>
      </c>
      <c r="D48" s="33">
        <f>DATE(YEAR(D47),MONTH(D47)+Inputs!$C$16,DAY(D47))</f>
        <v>47653</v>
      </c>
      <c r="E48" s="127">
        <f>DATE(YEAR(Tabela1[[#This Row],[Data de Cessão]]),MONTH(Tabela1[[#This Row],[Data de Cessão]])+Inputs!$C$15,DAY(Tabela1[[#This Row],[Data de Cessão]]))</f>
        <v>47745</v>
      </c>
      <c r="F48" s="128">
        <f>_xlfn.XLOOKUP(Tabela1[[#This Row],[Data de Cessão]],Caixa!$D$3:$BK$3,Caixa!$D$10:$BK$10,0,1,1)</f>
        <v>6076209.3325047046</v>
      </c>
      <c r="G48" s="128">
        <f t="shared" si="1"/>
        <v>528366.02891345229</v>
      </c>
      <c r="H48" s="129">
        <f t="shared" si="2"/>
        <v>6604575.3614181569</v>
      </c>
      <c r="I48" s="224">
        <v>0.08</v>
      </c>
      <c r="J48" s="23">
        <f t="shared" si="3"/>
        <v>0.38579760375252592</v>
      </c>
      <c r="K48" s="23">
        <f t="shared" si="4"/>
        <v>2.7562666773265798E-2</v>
      </c>
      <c r="L48" s="23"/>
      <c r="M48" s="131">
        <f t="shared" si="7"/>
        <v>92</v>
      </c>
      <c r="N48" s="225">
        <f t="shared" si="5"/>
        <v>3.0666666666666669</v>
      </c>
      <c r="O48" s="225">
        <f t="shared" si="6"/>
        <v>0.25555555555555559</v>
      </c>
    </row>
    <row r="49" spans="1:18" x14ac:dyDescent="0.3">
      <c r="A49" s="18" t="s">
        <v>160</v>
      </c>
      <c r="B49" s="211">
        <v>0</v>
      </c>
      <c r="C49" s="210">
        <f>1-Tabela1[[#This Row],[PDD]]</f>
        <v>1</v>
      </c>
      <c r="D49" s="33">
        <f>DATE(YEAR(D48),MONTH(D48)+Inputs!$C$16,DAY(D48))</f>
        <v>47683</v>
      </c>
      <c r="E49" s="127">
        <f>DATE(YEAR(Tabela1[[#This Row],[Data de Cessão]]),MONTH(Tabela1[[#This Row],[Data de Cessão]])+Inputs!$C$15,DAY(Tabela1[[#This Row],[Data de Cessão]]))</f>
        <v>47775</v>
      </c>
      <c r="F49" s="128">
        <f>_xlfn.XLOOKUP(Tabela1[[#This Row],[Data de Cessão]],Caixa!$D$3:$BK$3,Caixa!$D$10:$BK$10,0,1,1)</f>
        <v>6145960.0558170713</v>
      </c>
      <c r="G49" s="128">
        <f t="shared" si="1"/>
        <v>534431.30920148455</v>
      </c>
      <c r="H49" s="129">
        <f t="shared" si="2"/>
        <v>6680391.3650185559</v>
      </c>
      <c r="I49" s="224">
        <v>0.08</v>
      </c>
      <c r="J49" s="23">
        <f t="shared" si="3"/>
        <v>0.38579760375252592</v>
      </c>
      <c r="K49" s="23">
        <f t="shared" si="4"/>
        <v>2.7562666773265798E-2</v>
      </c>
      <c r="L49" s="23"/>
      <c r="M49" s="131">
        <f t="shared" si="7"/>
        <v>92</v>
      </c>
      <c r="N49" s="225">
        <f t="shared" si="5"/>
        <v>3.0666666666666669</v>
      </c>
      <c r="O49" s="225">
        <f t="shared" si="6"/>
        <v>0.25555555555555559</v>
      </c>
    </row>
    <row r="50" spans="1:18" x14ac:dyDescent="0.3">
      <c r="A50" s="18" t="s">
        <v>160</v>
      </c>
      <c r="B50" s="211">
        <v>0</v>
      </c>
      <c r="C50" s="210">
        <f>1-Tabela1[[#This Row],[PDD]]</f>
        <v>1</v>
      </c>
      <c r="D50" s="33">
        <f>DATE(YEAR(D49),MONTH(D49)+Inputs!$C$16,DAY(D49))</f>
        <v>47714</v>
      </c>
      <c r="E50" s="127">
        <f>DATE(YEAR(Tabela1[[#This Row],[Data de Cessão]]),MONTH(Tabela1[[#This Row],[Data de Cessão]])+Inputs!$C$15,DAY(Tabela1[[#This Row],[Data de Cessão]]))</f>
        <v>47806</v>
      </c>
      <c r="F50" s="128">
        <f>_xlfn.XLOOKUP(Tabela1[[#This Row],[Data de Cessão]],Caixa!$D$3:$BK$3,Caixa!$D$10:$BK$10,0,1,1)</f>
        <v>7226391.4381451812</v>
      </c>
      <c r="G50" s="128">
        <f t="shared" si="1"/>
        <v>628381.86418653745</v>
      </c>
      <c r="H50" s="129">
        <f t="shared" si="2"/>
        <v>7854773.3023317186</v>
      </c>
      <c r="I50" s="224">
        <v>0.08</v>
      </c>
      <c r="J50" s="23">
        <f t="shared" si="3"/>
        <v>0.38579760375252592</v>
      </c>
      <c r="K50" s="23">
        <f t="shared" si="4"/>
        <v>2.7562666773265798E-2</v>
      </c>
      <c r="L50" s="23"/>
      <c r="M50" s="131">
        <f t="shared" si="7"/>
        <v>92</v>
      </c>
      <c r="N50" s="225">
        <f t="shared" si="5"/>
        <v>3.0666666666666669</v>
      </c>
      <c r="O50" s="225">
        <f t="shared" si="6"/>
        <v>0.25555555555555559</v>
      </c>
    </row>
    <row r="51" spans="1:18" x14ac:dyDescent="0.3">
      <c r="A51" s="18" t="s">
        <v>160</v>
      </c>
      <c r="B51" s="211">
        <v>0</v>
      </c>
      <c r="C51" s="210">
        <f>1-Tabela1[[#This Row],[PDD]]</f>
        <v>1</v>
      </c>
      <c r="D51" s="33">
        <f>DATE(YEAR(D50),MONTH(D50)+Inputs!$C$16,DAY(D50))</f>
        <v>47745</v>
      </c>
      <c r="E51" s="127">
        <f>DATE(YEAR(Tabela1[[#This Row],[Data de Cessão]]),MONTH(Tabela1[[#This Row],[Data de Cessão]])+Inputs!$C$15,DAY(Tabela1[[#This Row],[Data de Cessão]]))</f>
        <v>47836</v>
      </c>
      <c r="F51" s="128">
        <f>_xlfn.XLOOKUP(Tabela1[[#This Row],[Data de Cessão]],Caixa!$D$3:$BK$3,Caixa!$D$10:$BK$10,0,1,1)</f>
        <v>6578445.9393336307</v>
      </c>
      <c r="G51" s="128">
        <f t="shared" si="1"/>
        <v>572038.77733335923</v>
      </c>
      <c r="H51" s="129">
        <f t="shared" si="2"/>
        <v>7150484.71666699</v>
      </c>
      <c r="I51" s="224">
        <v>0.08</v>
      </c>
      <c r="J51" s="23">
        <f t="shared" si="3"/>
        <v>0.39077522859416081</v>
      </c>
      <c r="K51" s="23">
        <f t="shared" si="4"/>
        <v>2.7869735441721E-2</v>
      </c>
      <c r="L51" s="23"/>
      <c r="M51" s="131">
        <f t="shared" si="7"/>
        <v>91</v>
      </c>
      <c r="N51" s="225">
        <f t="shared" si="5"/>
        <v>3.0333333333333332</v>
      </c>
      <c r="O51" s="225">
        <f t="shared" si="6"/>
        <v>0.25277777777777777</v>
      </c>
    </row>
    <row r="52" spans="1:18" x14ac:dyDescent="0.3">
      <c r="A52" s="18" t="s">
        <v>160</v>
      </c>
      <c r="B52" s="211">
        <v>0</v>
      </c>
      <c r="C52" s="210">
        <f>1-Tabela1[[#This Row],[PDD]]</f>
        <v>1</v>
      </c>
      <c r="D52" s="33">
        <f>DATE(YEAR(D51),MONTH(D51)+Inputs!$C$16,DAY(D51))</f>
        <v>47775</v>
      </c>
      <c r="E52" s="127">
        <f>DATE(YEAR(Tabela1[[#This Row],[Data de Cessão]]),MONTH(Tabela1[[#This Row],[Data de Cessão]])+Inputs!$C$15,DAY(Tabela1[[#This Row],[Data de Cessão]]))</f>
        <v>47867</v>
      </c>
      <c r="F52" s="128">
        <f>_xlfn.XLOOKUP(Tabela1[[#This Row],[Data de Cessão]],Caixa!$D$3:$BK$3,Caixa!$D$10:$BK$10,0,1,1)</f>
        <v>6653958.9896006938</v>
      </c>
      <c r="G52" s="128">
        <f t="shared" si="1"/>
        <v>578605.12953049503</v>
      </c>
      <c r="H52" s="129">
        <f t="shared" si="2"/>
        <v>7232564.1191311888</v>
      </c>
      <c r="I52" s="224">
        <v>0.08</v>
      </c>
      <c r="J52" s="23">
        <f t="shared" si="3"/>
        <v>0.38579760375252592</v>
      </c>
      <c r="K52" s="23">
        <f t="shared" si="4"/>
        <v>2.7562666773265798E-2</v>
      </c>
      <c r="L52" s="23"/>
      <c r="M52" s="131">
        <f t="shared" si="7"/>
        <v>92</v>
      </c>
      <c r="N52" s="225">
        <f t="shared" si="5"/>
        <v>3.0666666666666669</v>
      </c>
      <c r="O52" s="225">
        <f t="shared" si="6"/>
        <v>0.25555555555555559</v>
      </c>
    </row>
    <row r="53" spans="1:18" x14ac:dyDescent="0.3">
      <c r="A53" s="18" t="s">
        <v>160</v>
      </c>
      <c r="B53" s="211">
        <v>0</v>
      </c>
      <c r="C53" s="210">
        <f>1-Tabela1[[#This Row],[PDD]]</f>
        <v>1</v>
      </c>
      <c r="D53" s="33">
        <f>DATE(YEAR(D52),MONTH(D52)+Inputs!$C$16,DAY(D52))</f>
        <v>47806</v>
      </c>
      <c r="E53" s="127">
        <f>DATE(YEAR(Tabela1[[#This Row],[Data de Cessão]]),MONTH(Tabela1[[#This Row],[Data de Cessão]])+Inputs!$C$15,DAY(Tabela1[[#This Row],[Data de Cessão]]))</f>
        <v>47898</v>
      </c>
      <c r="F53" s="128">
        <f>_xlfn.XLOOKUP(Tabela1[[#This Row],[Data de Cessão]],Caixa!$D$3:$BK$3,Caixa!$D$10:$BK$10,0,1,1)</f>
        <v>7828342.3625856442</v>
      </c>
      <c r="G53" s="128">
        <f t="shared" si="1"/>
        <v>680725.42283353303</v>
      </c>
      <c r="H53" s="129">
        <f t="shared" si="2"/>
        <v>8509067.7854191773</v>
      </c>
      <c r="I53" s="224">
        <v>0.08</v>
      </c>
      <c r="J53" s="23">
        <f t="shared" si="3"/>
        <v>0.38579760375252592</v>
      </c>
      <c r="K53" s="23">
        <f t="shared" si="4"/>
        <v>2.7562666773265798E-2</v>
      </c>
      <c r="L53" s="23"/>
      <c r="M53" s="131">
        <f t="shared" si="7"/>
        <v>92</v>
      </c>
      <c r="N53" s="225">
        <f t="shared" si="5"/>
        <v>3.0666666666666669</v>
      </c>
      <c r="O53" s="225">
        <f t="shared" si="6"/>
        <v>0.25555555555555559</v>
      </c>
    </row>
    <row r="54" spans="1:18" x14ac:dyDescent="0.3">
      <c r="A54" s="18" t="s">
        <v>160</v>
      </c>
      <c r="B54" s="211">
        <v>0</v>
      </c>
      <c r="C54" s="210">
        <f>1-Tabela1[[#This Row],[PDD]]</f>
        <v>1</v>
      </c>
      <c r="D54" s="33">
        <f>DATE(YEAR(D53),MONTH(D53)+Inputs!$C$16,DAY(D53))</f>
        <v>47836</v>
      </c>
      <c r="E54" s="127">
        <f>DATE(YEAR(Tabela1[[#This Row],[Data de Cessão]]),MONTH(Tabela1[[#This Row],[Data de Cessão]])+Inputs!$C$15,DAY(Tabela1[[#This Row],[Data de Cessão]]))</f>
        <v>47926</v>
      </c>
      <c r="F54" s="128">
        <f>_xlfn.XLOOKUP(Tabela1[[#This Row],[Data de Cessão]],Caixa!$D$3:$BK$3,Caixa!$D$10:$BK$10,0,1,1)</f>
        <v>7124053.7769209202</v>
      </c>
      <c r="G54" s="128">
        <f t="shared" si="1"/>
        <v>619482.93712355755</v>
      </c>
      <c r="H54" s="129">
        <f t="shared" si="2"/>
        <v>7743536.7140444778</v>
      </c>
      <c r="I54" s="224">
        <v>0.08</v>
      </c>
      <c r="J54" s="23">
        <f t="shared" si="3"/>
        <v>0.39588194724861614</v>
      </c>
      <c r="K54" s="23">
        <f t="shared" si="4"/>
        <v>2.818372270192615E-2</v>
      </c>
      <c r="L54" s="23"/>
      <c r="M54" s="131">
        <f t="shared" si="7"/>
        <v>90</v>
      </c>
      <c r="N54" s="225">
        <f t="shared" si="5"/>
        <v>3</v>
      </c>
      <c r="O54" s="225">
        <f t="shared" si="6"/>
        <v>0.25</v>
      </c>
    </row>
    <row r="55" spans="1:18" x14ac:dyDescent="0.3">
      <c r="A55" s="18" t="s">
        <v>160</v>
      </c>
      <c r="B55" s="211">
        <v>0</v>
      </c>
      <c r="C55" s="210">
        <f>1-Tabela1[[#This Row],[PDD]]</f>
        <v>1</v>
      </c>
      <c r="D55" s="33">
        <f>DATE(YEAR(D54),MONTH(D54)+Inputs!$C$16,DAY(D54))</f>
        <v>47867</v>
      </c>
      <c r="E55" s="127">
        <f>DATE(YEAR(Tabela1[[#This Row],[Data de Cessão]]),MONTH(Tabela1[[#This Row],[Data de Cessão]])+Inputs!$C$15,DAY(Tabela1[[#This Row],[Data de Cessão]]))</f>
        <v>47957</v>
      </c>
      <c r="F55" s="128">
        <f>_xlfn.XLOOKUP(Tabela1[[#This Row],[Data de Cessão]],Caixa!$D$3:$BK$3,Caixa!$D$10:$BK$10,0,1,1)</f>
        <v>7206133.1793851191</v>
      </c>
      <c r="G55" s="128">
        <f t="shared" si="1"/>
        <v>626620.27646827046</v>
      </c>
      <c r="H55" s="129">
        <f t="shared" si="2"/>
        <v>7832753.4558533896</v>
      </c>
      <c r="I55" s="224">
        <v>0.08</v>
      </c>
      <c r="J55" s="23">
        <f t="shared" si="3"/>
        <v>0.39588194724861614</v>
      </c>
      <c r="K55" s="23">
        <f t="shared" si="4"/>
        <v>2.818372270192615E-2</v>
      </c>
      <c r="L55" s="23"/>
      <c r="M55" s="131">
        <f t="shared" si="7"/>
        <v>90</v>
      </c>
      <c r="N55" s="225">
        <f t="shared" si="5"/>
        <v>3</v>
      </c>
      <c r="O55" s="225">
        <f t="shared" si="6"/>
        <v>0.25</v>
      </c>
      <c r="R55" s="16"/>
    </row>
    <row r="56" spans="1:18" x14ac:dyDescent="0.3">
      <c r="A56" s="18" t="s">
        <v>160</v>
      </c>
      <c r="B56" s="211">
        <v>0</v>
      </c>
      <c r="C56" s="210">
        <f>1-Tabela1[[#This Row],[PDD]]</f>
        <v>1</v>
      </c>
      <c r="D56" s="33">
        <f>DATE(YEAR(D55),MONTH(D55)+Inputs!$C$16,DAY(D55))</f>
        <v>47898</v>
      </c>
      <c r="E56" s="127">
        <f>DATE(YEAR(Tabela1[[#This Row],[Data de Cessão]]),MONTH(Tabela1[[#This Row],[Data de Cessão]])+Inputs!$C$15,DAY(Tabela1[[#This Row],[Data de Cessão]]))</f>
        <v>47987</v>
      </c>
      <c r="F56" s="128">
        <f>_xlfn.XLOOKUP(Tabela1[[#This Row],[Data de Cessão]],Caixa!$D$3:$BK$3,Caixa!$D$10:$BK$10,0,1,1)</f>
        <v>8000000</v>
      </c>
      <c r="G56" s="128">
        <f t="shared" si="1"/>
        <v>695652.17391304299</v>
      </c>
      <c r="H56" s="129">
        <f t="shared" si="2"/>
        <v>8695652.173913043</v>
      </c>
      <c r="I56" s="224">
        <v>0.08</v>
      </c>
      <c r="J56" s="23">
        <f t="shared" si="3"/>
        <v>0.40112281205995304</v>
      </c>
      <c r="K56" s="23">
        <f t="shared" si="4"/>
        <v>2.8504865028026849E-2</v>
      </c>
      <c r="L56" s="23"/>
      <c r="M56" s="131">
        <f t="shared" si="7"/>
        <v>89</v>
      </c>
      <c r="N56" s="225">
        <f t="shared" si="5"/>
        <v>2.9666666666666668</v>
      </c>
      <c r="O56" s="225">
        <f t="shared" si="6"/>
        <v>0.24722222222222223</v>
      </c>
      <c r="R56" s="16"/>
    </row>
    <row r="57" spans="1:18" x14ac:dyDescent="0.3">
      <c r="A57" s="18" t="s">
        <v>160</v>
      </c>
      <c r="B57" s="211">
        <v>0</v>
      </c>
      <c r="C57" s="210">
        <f>1-Tabela1[[#This Row],[PDD]]</f>
        <v>1</v>
      </c>
      <c r="D57" s="33">
        <f>DATE(YEAR(D56),MONTH(D56)+Inputs!$C$16,DAY(D56))</f>
        <v>47926</v>
      </c>
      <c r="E57" s="127">
        <f>DATE(YEAR(Tabela1[[#This Row],[Data de Cessão]]),MONTH(Tabela1[[#This Row],[Data de Cessão]])+Inputs!$C$15,DAY(Tabela1[[#This Row],[Data de Cessão]]))</f>
        <v>48018</v>
      </c>
      <c r="F57" s="128">
        <f>_xlfn.XLOOKUP(Tabela1[[#This Row],[Data de Cessão]],Caixa!$D$3:$BK$3,Caixa!$D$10:$BK$10,0,1,1)</f>
        <v>8000000</v>
      </c>
      <c r="G57" s="128">
        <f t="shared" si="1"/>
        <v>695652.17391304299</v>
      </c>
      <c r="H57" s="129">
        <f t="shared" si="2"/>
        <v>8695652.173913043</v>
      </c>
      <c r="I57" s="224">
        <v>0.08</v>
      </c>
      <c r="J57" s="23">
        <f t="shared" si="3"/>
        <v>0.38579760375252592</v>
      </c>
      <c r="K57" s="23">
        <f t="shared" si="4"/>
        <v>2.7562666773265798E-2</v>
      </c>
      <c r="L57" s="23"/>
      <c r="M57" s="131">
        <f t="shared" si="7"/>
        <v>92</v>
      </c>
      <c r="N57" s="225">
        <f t="shared" si="5"/>
        <v>3.0666666666666669</v>
      </c>
      <c r="O57" s="225">
        <f t="shared" si="6"/>
        <v>0.25555555555555559</v>
      </c>
    </row>
    <row r="58" spans="1:18" x14ac:dyDescent="0.3">
      <c r="A58" s="18" t="s">
        <v>160</v>
      </c>
      <c r="B58" s="211">
        <v>0</v>
      </c>
      <c r="C58" s="210">
        <f>1-Tabela1[[#This Row],[PDD]]</f>
        <v>1</v>
      </c>
      <c r="D58" s="33">
        <f>DATE(YEAR(D57),MONTH(D57)+Inputs!$C$16,DAY(D57))</f>
        <v>47957</v>
      </c>
      <c r="E58" s="127">
        <f>DATE(YEAR(Tabela1[[#This Row],[Data de Cessão]]),MONTH(Tabela1[[#This Row],[Data de Cessão]])+Inputs!$C$15,DAY(Tabela1[[#This Row],[Data de Cessão]]))</f>
        <v>48048</v>
      </c>
      <c r="F58" s="128">
        <f>_xlfn.XLOOKUP(Tabela1[[#This Row],[Data de Cessão]],Caixa!$D$3:$BK$3,Caixa!$D$10:$BK$10,0,1,1)</f>
        <v>8000000</v>
      </c>
      <c r="G58" s="128">
        <f t="shared" si="1"/>
        <v>695652.17391304299</v>
      </c>
      <c r="H58" s="129">
        <f t="shared" si="2"/>
        <v>8695652.173913043</v>
      </c>
      <c r="I58" s="224">
        <v>0.08</v>
      </c>
      <c r="J58" s="23">
        <f t="shared" si="3"/>
        <v>0.39077522859416081</v>
      </c>
      <c r="K58" s="23">
        <f t="shared" si="4"/>
        <v>2.7869735441721E-2</v>
      </c>
      <c r="L58" s="23"/>
      <c r="M58" s="131">
        <f t="shared" si="7"/>
        <v>91</v>
      </c>
      <c r="N58" s="225">
        <f t="shared" si="5"/>
        <v>3.0333333333333332</v>
      </c>
      <c r="O58" s="225">
        <f t="shared" si="6"/>
        <v>0.25277777777777777</v>
      </c>
    </row>
    <row r="59" spans="1:18" x14ac:dyDescent="0.3">
      <c r="A59" s="18" t="s">
        <v>160</v>
      </c>
      <c r="B59" s="211">
        <v>0</v>
      </c>
      <c r="C59" s="210">
        <f>1-Tabela1[[#This Row],[PDD]]</f>
        <v>1</v>
      </c>
      <c r="D59" s="33">
        <f>DATE(YEAR(D58),MONTH(D58)+Inputs!$C$16,DAY(D58))</f>
        <v>47987</v>
      </c>
      <c r="E59" s="127">
        <f>DATE(YEAR(Tabela1[[#This Row],[Data de Cessão]]),MONTH(Tabela1[[#This Row],[Data de Cessão]])+Inputs!$C$15,DAY(Tabela1[[#This Row],[Data de Cessão]]))</f>
        <v>48079</v>
      </c>
      <c r="F59" s="128">
        <f>_xlfn.XLOOKUP(Tabela1[[#This Row],[Data de Cessão]],Caixa!$D$3:$BK$3,Caixa!$D$10:$BK$10,0,1,1)</f>
        <v>8000000</v>
      </c>
      <c r="G59" s="128">
        <f t="shared" si="1"/>
        <v>695652.17391304299</v>
      </c>
      <c r="H59" s="129">
        <f t="shared" si="2"/>
        <v>8695652.173913043</v>
      </c>
      <c r="I59" s="224">
        <v>0.08</v>
      </c>
      <c r="J59" s="23">
        <f t="shared" si="3"/>
        <v>0.38579760375252592</v>
      </c>
      <c r="K59" s="23">
        <f t="shared" si="4"/>
        <v>2.7562666773265798E-2</v>
      </c>
      <c r="L59" s="23"/>
      <c r="M59" s="131">
        <f t="shared" si="7"/>
        <v>92</v>
      </c>
      <c r="N59" s="225">
        <f t="shared" si="5"/>
        <v>3.0666666666666669</v>
      </c>
      <c r="O59" s="225">
        <f t="shared" si="6"/>
        <v>0.25555555555555559</v>
      </c>
    </row>
    <row r="60" spans="1:18" x14ac:dyDescent="0.3">
      <c r="A60" s="18" t="s">
        <v>160</v>
      </c>
      <c r="B60" s="211">
        <v>0</v>
      </c>
      <c r="C60" s="210">
        <f>1-Tabela1[[#This Row],[PDD]]</f>
        <v>1</v>
      </c>
      <c r="D60" s="33">
        <f>DATE(YEAR(D59),MONTH(D59)+Inputs!$C$16,DAY(D59))</f>
        <v>48018</v>
      </c>
      <c r="E60" s="127">
        <f>DATE(YEAR(Tabela1[[#This Row],[Data de Cessão]]),MONTH(Tabela1[[#This Row],[Data de Cessão]])+Inputs!$C$15,DAY(Tabela1[[#This Row],[Data de Cessão]]))</f>
        <v>48110</v>
      </c>
      <c r="F60" s="128">
        <f>_xlfn.XLOOKUP(Tabela1[[#This Row],[Data de Cessão]],Caixa!$D$3:$BK$3,Caixa!$D$10:$BK$10,0,1,1)</f>
        <v>8000000</v>
      </c>
      <c r="G60" s="128">
        <f t="shared" si="1"/>
        <v>695652.17391304299</v>
      </c>
      <c r="H60" s="129">
        <f t="shared" si="2"/>
        <v>8695652.173913043</v>
      </c>
      <c r="I60" s="224">
        <v>0.08</v>
      </c>
      <c r="J60" s="23">
        <f t="shared" si="3"/>
        <v>0.38579760375252592</v>
      </c>
      <c r="K60" s="23">
        <f t="shared" si="4"/>
        <v>2.7562666773265798E-2</v>
      </c>
      <c r="L60" s="23"/>
      <c r="M60" s="131">
        <f t="shared" si="7"/>
        <v>92</v>
      </c>
      <c r="N60" s="225">
        <f t="shared" si="5"/>
        <v>3.0666666666666669</v>
      </c>
      <c r="O60" s="225">
        <f t="shared" si="6"/>
        <v>0.25555555555555559</v>
      </c>
    </row>
    <row r="61" spans="1:18" x14ac:dyDescent="0.3">
      <c r="A61" s="18" t="s">
        <v>160</v>
      </c>
      <c r="B61" s="211">
        <v>0</v>
      </c>
      <c r="C61" s="210">
        <f>1-Tabela1[[#This Row],[PDD]]</f>
        <v>1</v>
      </c>
      <c r="D61" s="33">
        <f>DATE(YEAR(D60),MONTH(D60)+Inputs!$C$16,DAY(D60))</f>
        <v>48048</v>
      </c>
      <c r="E61" s="127">
        <f>DATE(YEAR(Tabela1[[#This Row],[Data de Cessão]]),MONTH(Tabela1[[#This Row],[Data de Cessão]])+Inputs!$C$15,DAY(Tabela1[[#This Row],[Data de Cessão]]))</f>
        <v>48140</v>
      </c>
      <c r="F61" s="128">
        <f>_xlfn.XLOOKUP(Tabela1[[#This Row],[Data de Cessão]],Caixa!$D$3:$BK$3,Caixa!$D$10:$BK$10,0,1,1)</f>
        <v>8000000</v>
      </c>
      <c r="G61" s="128">
        <f t="shared" si="1"/>
        <v>695652.17391304299</v>
      </c>
      <c r="H61" s="129">
        <f t="shared" si="2"/>
        <v>8695652.173913043</v>
      </c>
      <c r="I61" s="224">
        <v>0.08</v>
      </c>
      <c r="J61" s="23">
        <f>(H61/F61)^(1/O61)-1</f>
        <v>0.38579760375252592</v>
      </c>
      <c r="K61" s="23">
        <f t="shared" ref="K61" si="8">(1+J61)^(1/12)-1</f>
        <v>2.7562666773265798E-2</v>
      </c>
      <c r="L61" s="23"/>
      <c r="M61" s="131">
        <f t="shared" ref="M61" si="9">(E61-D61)</f>
        <v>92</v>
      </c>
      <c r="N61" s="225">
        <f t="shared" ref="N61" si="10">M61/30</f>
        <v>3.0666666666666669</v>
      </c>
      <c r="O61" s="225">
        <f t="shared" ref="O61" si="11">N61/12</f>
        <v>0.25555555555555559</v>
      </c>
    </row>
    <row r="62" spans="1:18" x14ac:dyDescent="0.3">
      <c r="A62" s="18"/>
      <c r="B62" s="18"/>
      <c r="C62" s="18"/>
      <c r="D62" s="33"/>
      <c r="E62" s="127"/>
      <c r="F62" s="128"/>
      <c r="G62" s="128"/>
      <c r="H62" s="129"/>
      <c r="I62" s="130"/>
      <c r="J62" s="23"/>
      <c r="K62" s="23"/>
      <c r="L62" s="23"/>
      <c r="M62" s="131"/>
      <c r="N62" s="131"/>
      <c r="O62" s="131"/>
    </row>
    <row r="63" spans="1:18" x14ac:dyDescent="0.3">
      <c r="A63" s="18"/>
      <c r="B63" s="18"/>
      <c r="C63" s="18"/>
      <c r="D63" s="33"/>
      <c r="E63" s="127"/>
      <c r="F63" s="128"/>
      <c r="G63" s="128"/>
      <c r="H63" s="129"/>
      <c r="I63" s="130"/>
      <c r="J63" s="23"/>
      <c r="K63" s="23"/>
      <c r="L63" s="23"/>
      <c r="M63" s="131"/>
      <c r="N63" s="131"/>
      <c r="O63" s="131"/>
    </row>
    <row r="64" spans="1:18" x14ac:dyDescent="0.3">
      <c r="A64" s="18"/>
      <c r="B64" s="18"/>
      <c r="C64" s="18"/>
      <c r="D64" s="33"/>
      <c r="E64" s="127"/>
      <c r="F64" s="128"/>
      <c r="G64" s="128"/>
      <c r="H64" s="129"/>
      <c r="I64" s="130"/>
      <c r="J64" s="23"/>
      <c r="K64" s="23"/>
      <c r="L64" s="23"/>
      <c r="M64" s="131"/>
      <c r="N64" s="131"/>
      <c r="O64" s="131"/>
    </row>
    <row r="65" spans="1:15" x14ac:dyDescent="0.3">
      <c r="A65" s="18"/>
      <c r="B65" s="18"/>
      <c r="C65" s="18"/>
      <c r="D65" s="33"/>
      <c r="E65" s="127"/>
      <c r="F65" s="128"/>
      <c r="G65" s="128"/>
      <c r="H65" s="129"/>
      <c r="I65" s="130"/>
      <c r="J65" s="23"/>
      <c r="K65" s="23"/>
      <c r="L65" s="23"/>
      <c r="M65" s="131"/>
      <c r="N65" s="131"/>
      <c r="O65" s="131"/>
    </row>
    <row r="66" spans="1:15" x14ac:dyDescent="0.3">
      <c r="A66" s="18"/>
      <c r="B66" s="18"/>
      <c r="C66" s="18"/>
      <c r="D66" s="33"/>
      <c r="E66" s="127"/>
      <c r="F66" s="128"/>
      <c r="G66" s="128"/>
      <c r="H66" s="129"/>
      <c r="I66" s="130"/>
      <c r="J66" s="23"/>
      <c r="K66" s="23"/>
      <c r="L66" s="23"/>
      <c r="M66" s="131"/>
      <c r="N66" s="131"/>
      <c r="O66" s="131"/>
    </row>
    <row r="67" spans="1:15" x14ac:dyDescent="0.3">
      <c r="A67" s="18"/>
      <c r="B67" s="18"/>
      <c r="C67" s="18"/>
      <c r="D67" s="33"/>
      <c r="E67" s="127"/>
      <c r="F67" s="128"/>
      <c r="G67" s="128"/>
      <c r="H67" s="129"/>
      <c r="I67" s="130"/>
      <c r="J67" s="23"/>
      <c r="K67" s="23"/>
      <c r="L67" s="23"/>
      <c r="M67" s="131"/>
      <c r="N67" s="131"/>
      <c r="O67" s="131"/>
    </row>
    <row r="68" spans="1:15" x14ac:dyDescent="0.3">
      <c r="A68" s="18"/>
      <c r="B68" s="18"/>
      <c r="C68" s="18"/>
      <c r="D68" s="33"/>
      <c r="E68" s="127"/>
      <c r="F68" s="128"/>
      <c r="G68" s="128"/>
      <c r="H68" s="129"/>
      <c r="I68" s="130"/>
      <c r="J68" s="23"/>
      <c r="K68" s="23"/>
      <c r="L68" s="23"/>
      <c r="M68" s="131"/>
      <c r="N68" s="131"/>
      <c r="O68" s="131"/>
    </row>
    <row r="69" spans="1:15" x14ac:dyDescent="0.3">
      <c r="A69" s="18"/>
      <c r="B69" s="18"/>
      <c r="C69" s="18"/>
      <c r="D69" s="33"/>
      <c r="E69" s="127"/>
      <c r="F69" s="128"/>
      <c r="G69" s="128"/>
      <c r="H69" s="129"/>
      <c r="I69" s="130"/>
      <c r="J69" s="23"/>
      <c r="K69" s="23"/>
      <c r="L69" s="23"/>
      <c r="M69" s="131"/>
      <c r="N69" s="131"/>
      <c r="O69" s="131"/>
    </row>
    <row r="70" spans="1:15" x14ac:dyDescent="0.3">
      <c r="A70" s="18"/>
      <c r="B70" s="18"/>
      <c r="C70" s="18"/>
      <c r="D70" s="33"/>
      <c r="E70" s="127"/>
      <c r="F70" s="128"/>
      <c r="G70" s="128"/>
      <c r="H70" s="129"/>
      <c r="I70" s="130"/>
      <c r="J70" s="23"/>
      <c r="K70" s="23"/>
      <c r="L70" s="23"/>
      <c r="M70" s="131"/>
      <c r="N70" s="131"/>
      <c r="O70" s="131"/>
    </row>
    <row r="71" spans="1:15" x14ac:dyDescent="0.3">
      <c r="A71" s="18"/>
      <c r="B71" s="18"/>
      <c r="C71" s="18"/>
      <c r="D71" s="33"/>
      <c r="E71" s="127"/>
      <c r="F71" s="128"/>
      <c r="G71" s="128"/>
      <c r="H71" s="129"/>
      <c r="I71" s="130"/>
      <c r="J71" s="23"/>
      <c r="K71" s="23"/>
      <c r="L71" s="23"/>
      <c r="M71" s="131"/>
      <c r="N71" s="131"/>
      <c r="O71" s="131"/>
    </row>
    <row r="72" spans="1:15" x14ac:dyDescent="0.3">
      <c r="A72" s="18"/>
      <c r="B72" s="18"/>
      <c r="C72" s="18"/>
      <c r="D72" s="33"/>
      <c r="E72" s="127"/>
      <c r="F72" s="128"/>
      <c r="G72" s="128"/>
      <c r="H72" s="129"/>
      <c r="I72" s="130"/>
      <c r="J72" s="23"/>
      <c r="K72" s="23"/>
      <c r="L72" s="23"/>
      <c r="M72" s="131"/>
      <c r="N72" s="131"/>
      <c r="O72" s="131"/>
    </row>
    <row r="73" spans="1:15" x14ac:dyDescent="0.3">
      <c r="A73" s="18"/>
      <c r="B73" s="18"/>
      <c r="C73" s="18"/>
      <c r="D73" s="33"/>
      <c r="E73" s="127"/>
      <c r="F73" s="128"/>
      <c r="G73" s="128"/>
      <c r="H73" s="129"/>
      <c r="I73" s="130"/>
      <c r="J73" s="23"/>
      <c r="K73" s="23"/>
      <c r="L73" s="23"/>
      <c r="M73" s="131"/>
      <c r="N73" s="131"/>
      <c r="O73" s="131"/>
    </row>
    <row r="74" spans="1:15" x14ac:dyDescent="0.3">
      <c r="A74" s="18"/>
      <c r="B74" s="18"/>
      <c r="C74" s="18"/>
      <c r="D74" s="33"/>
      <c r="E74" s="127"/>
      <c r="F74" s="128"/>
      <c r="G74" s="128"/>
      <c r="H74" s="129"/>
      <c r="I74" s="130"/>
      <c r="J74" s="23"/>
      <c r="K74" s="23"/>
      <c r="L74" s="23"/>
      <c r="M74" s="131"/>
      <c r="N74" s="131"/>
      <c r="O74" s="131"/>
    </row>
    <row r="75" spans="1:15" x14ac:dyDescent="0.3">
      <c r="A75" s="18"/>
      <c r="B75" s="18"/>
      <c r="C75" s="18"/>
      <c r="D75" s="33"/>
      <c r="E75" s="127"/>
      <c r="F75" s="128"/>
      <c r="G75" s="128"/>
      <c r="H75" s="129"/>
      <c r="I75" s="130"/>
      <c r="J75" s="23"/>
      <c r="K75" s="23"/>
      <c r="L75" s="23"/>
      <c r="M75" s="131"/>
      <c r="N75" s="131"/>
      <c r="O75" s="131"/>
    </row>
    <row r="76" spans="1:15" x14ac:dyDescent="0.3">
      <c r="A76" s="18"/>
      <c r="B76" s="18"/>
      <c r="C76" s="18"/>
      <c r="D76" s="33"/>
      <c r="E76" s="127"/>
      <c r="F76" s="128"/>
      <c r="G76" s="128"/>
      <c r="H76" s="129"/>
      <c r="I76" s="130"/>
      <c r="J76" s="23"/>
      <c r="K76" s="23"/>
      <c r="L76" s="23"/>
      <c r="M76" s="131"/>
      <c r="N76" s="131"/>
      <c r="O76" s="131"/>
    </row>
    <row r="77" spans="1:15" x14ac:dyDescent="0.3">
      <c r="A77" s="18"/>
      <c r="B77" s="18"/>
      <c r="C77" s="18"/>
      <c r="D77" s="33"/>
      <c r="E77" s="127"/>
      <c r="F77" s="128"/>
      <c r="G77" s="128"/>
      <c r="H77" s="129"/>
      <c r="I77" s="130"/>
      <c r="J77" s="23"/>
      <c r="K77" s="23"/>
      <c r="L77" s="23"/>
      <c r="M77" s="131"/>
      <c r="N77" s="131"/>
      <c r="O77" s="131"/>
    </row>
    <row r="78" spans="1:15" x14ac:dyDescent="0.3">
      <c r="A78" s="18"/>
      <c r="B78" s="18"/>
      <c r="C78" s="18"/>
      <c r="D78" s="33"/>
      <c r="E78" s="127"/>
      <c r="F78" s="128"/>
      <c r="G78" s="128"/>
      <c r="H78" s="129"/>
      <c r="I78" s="130"/>
      <c r="J78" s="23"/>
      <c r="K78" s="23"/>
      <c r="L78" s="23"/>
      <c r="M78" s="131"/>
      <c r="N78" s="131"/>
      <c r="O78" s="131"/>
    </row>
    <row r="79" spans="1:15" x14ac:dyDescent="0.3">
      <c r="A79" s="18"/>
      <c r="B79" s="18"/>
      <c r="C79" s="18"/>
      <c r="D79" s="33"/>
      <c r="E79" s="127"/>
      <c r="F79" s="128"/>
      <c r="G79" s="128"/>
      <c r="H79" s="129"/>
      <c r="I79" s="130"/>
      <c r="J79" s="23"/>
      <c r="K79" s="23"/>
      <c r="L79" s="23"/>
      <c r="M79" s="131"/>
      <c r="N79" s="131"/>
      <c r="O79" s="131"/>
    </row>
    <row r="80" spans="1:15" x14ac:dyDescent="0.3">
      <c r="A80" s="18"/>
      <c r="B80" s="18"/>
      <c r="C80" s="18"/>
      <c r="D80" s="33"/>
      <c r="E80" s="127"/>
      <c r="F80" s="128"/>
      <c r="G80" s="128"/>
      <c r="H80" s="129"/>
      <c r="I80" s="130"/>
      <c r="J80" s="23"/>
      <c r="K80" s="23"/>
      <c r="L80" s="23"/>
      <c r="M80" s="131"/>
      <c r="N80" s="131"/>
      <c r="O80" s="131"/>
    </row>
    <row r="81" spans="1:15" x14ac:dyDescent="0.3">
      <c r="A81" s="18"/>
      <c r="B81" s="18"/>
      <c r="C81" s="18"/>
      <c r="D81" s="33"/>
      <c r="E81" s="127"/>
      <c r="F81" s="128"/>
      <c r="G81" s="128"/>
      <c r="H81" s="129"/>
      <c r="I81" s="130"/>
      <c r="J81" s="23"/>
      <c r="K81" s="23"/>
      <c r="L81" s="23"/>
      <c r="M81" s="131"/>
      <c r="N81" s="131"/>
      <c r="O81" s="131"/>
    </row>
    <row r="82" spans="1:15" x14ac:dyDescent="0.3">
      <c r="A82" s="18"/>
      <c r="B82" s="18"/>
      <c r="C82" s="18"/>
      <c r="D82" s="33"/>
      <c r="E82" s="127"/>
      <c r="F82" s="128"/>
      <c r="G82" s="128"/>
      <c r="H82" s="129"/>
      <c r="I82" s="130"/>
      <c r="J82" s="23"/>
      <c r="K82" s="23"/>
      <c r="L82" s="23"/>
      <c r="M82" s="131"/>
      <c r="N82" s="131"/>
      <c r="O82" s="131"/>
    </row>
    <row r="83" spans="1:15" x14ac:dyDescent="0.3">
      <c r="A83" s="18"/>
      <c r="B83" s="18"/>
      <c r="C83" s="18"/>
      <c r="D83" s="33"/>
      <c r="E83" s="127"/>
      <c r="F83" s="128"/>
      <c r="G83" s="128"/>
      <c r="H83" s="129"/>
      <c r="I83" s="130"/>
      <c r="J83" s="23"/>
      <c r="K83" s="23"/>
      <c r="L83" s="23"/>
      <c r="M83" s="131"/>
      <c r="N83" s="131"/>
      <c r="O83" s="131"/>
    </row>
    <row r="84" spans="1:15" x14ac:dyDescent="0.3">
      <c r="A84" s="18"/>
      <c r="B84" s="18"/>
      <c r="C84" s="18"/>
      <c r="D84" s="33"/>
      <c r="E84" s="127"/>
      <c r="F84" s="128"/>
      <c r="G84" s="128"/>
      <c r="H84" s="129"/>
      <c r="I84" s="130"/>
      <c r="J84" s="23"/>
      <c r="K84" s="23"/>
      <c r="L84" s="23"/>
      <c r="M84" s="131"/>
      <c r="N84" s="131"/>
      <c r="O84" s="131"/>
    </row>
    <row r="85" spans="1:15" x14ac:dyDescent="0.3">
      <c r="A85" s="18"/>
      <c r="B85" s="18"/>
      <c r="C85" s="18"/>
      <c r="D85" s="33"/>
      <c r="E85" s="127"/>
      <c r="F85" s="128"/>
      <c r="G85" s="128"/>
      <c r="H85" s="129"/>
      <c r="I85" s="130"/>
      <c r="J85" s="23"/>
      <c r="K85" s="23"/>
      <c r="L85" s="23"/>
      <c r="M85" s="131"/>
      <c r="N85" s="131"/>
      <c r="O85" s="131"/>
    </row>
    <row r="86" spans="1:15" x14ac:dyDescent="0.3">
      <c r="A86" s="18"/>
      <c r="B86" s="18"/>
      <c r="C86" s="18"/>
      <c r="D86" s="33"/>
      <c r="E86" s="127"/>
      <c r="F86" s="128"/>
      <c r="G86" s="128"/>
      <c r="H86" s="129"/>
      <c r="I86" s="130"/>
      <c r="J86" s="23"/>
      <c r="K86" s="23"/>
      <c r="L86" s="23"/>
      <c r="M86" s="131"/>
      <c r="N86" s="131"/>
      <c r="O86" s="131"/>
    </row>
    <row r="87" spans="1:15" x14ac:dyDescent="0.3">
      <c r="A87" s="18"/>
      <c r="B87" s="18"/>
      <c r="C87" s="18"/>
      <c r="D87" s="33"/>
      <c r="E87" s="127"/>
      <c r="F87" s="128"/>
      <c r="G87" s="128"/>
      <c r="H87" s="129"/>
      <c r="I87" s="130"/>
      <c r="J87" s="23"/>
      <c r="K87" s="23"/>
      <c r="L87" s="23"/>
      <c r="M87" s="131"/>
      <c r="N87" s="131"/>
      <c r="O87" s="131"/>
    </row>
    <row r="88" spans="1:15" x14ac:dyDescent="0.3">
      <c r="A88" s="18"/>
      <c r="B88" s="18"/>
      <c r="C88" s="18"/>
      <c r="D88" s="33"/>
      <c r="E88" s="127"/>
      <c r="F88" s="128"/>
      <c r="G88" s="128"/>
      <c r="H88" s="129"/>
      <c r="I88" s="130"/>
      <c r="J88" s="23"/>
      <c r="K88" s="23"/>
      <c r="L88" s="23"/>
      <c r="M88" s="131"/>
      <c r="N88" s="131"/>
      <c r="O88" s="131"/>
    </row>
    <row r="89" spans="1:15" x14ac:dyDescent="0.3">
      <c r="A89" s="18"/>
      <c r="B89" s="18"/>
      <c r="C89" s="18"/>
      <c r="D89" s="33"/>
      <c r="E89" s="127"/>
      <c r="F89" s="128"/>
      <c r="G89" s="128"/>
      <c r="H89" s="129"/>
      <c r="I89" s="130"/>
      <c r="J89" s="23"/>
      <c r="K89" s="23"/>
      <c r="L89" s="23"/>
      <c r="M89" s="131"/>
      <c r="N89" s="131"/>
      <c r="O89" s="131"/>
    </row>
    <row r="90" spans="1:15" x14ac:dyDescent="0.3">
      <c r="A90" s="18"/>
      <c r="B90" s="18"/>
      <c r="C90" s="18"/>
      <c r="D90" s="33"/>
      <c r="E90" s="127"/>
      <c r="F90" s="128"/>
      <c r="G90" s="128"/>
      <c r="H90" s="129"/>
      <c r="I90" s="130"/>
      <c r="J90" s="23"/>
      <c r="K90" s="23"/>
      <c r="L90" s="23"/>
      <c r="M90" s="131"/>
      <c r="N90" s="131"/>
      <c r="O90" s="131"/>
    </row>
    <row r="91" spans="1:15" x14ac:dyDescent="0.3">
      <c r="A91" s="18"/>
      <c r="B91" s="18"/>
      <c r="C91" s="18"/>
      <c r="D91" s="33"/>
      <c r="E91" s="127"/>
      <c r="F91" s="128"/>
      <c r="G91" s="128"/>
      <c r="H91" s="129"/>
      <c r="I91" s="130"/>
      <c r="J91" s="23"/>
      <c r="K91" s="23"/>
      <c r="L91" s="23"/>
      <c r="M91" s="131"/>
      <c r="N91" s="131"/>
      <c r="O91" s="131"/>
    </row>
    <row r="92" spans="1:15" x14ac:dyDescent="0.3">
      <c r="A92" s="18"/>
      <c r="B92" s="18"/>
      <c r="C92" s="18"/>
      <c r="D92" s="33"/>
      <c r="E92" s="127"/>
      <c r="F92" s="128"/>
      <c r="G92" s="128"/>
      <c r="H92" s="129"/>
      <c r="I92" s="130"/>
      <c r="J92" s="23"/>
      <c r="K92" s="23"/>
      <c r="L92" s="23"/>
      <c r="M92" s="131"/>
      <c r="N92" s="131"/>
      <c r="O92" s="131"/>
    </row>
    <row r="93" spans="1:15" x14ac:dyDescent="0.3">
      <c r="A93" s="18"/>
      <c r="B93" s="18"/>
      <c r="C93" s="18"/>
      <c r="D93" s="33"/>
      <c r="E93" s="127"/>
      <c r="F93" s="128"/>
      <c r="G93" s="128"/>
      <c r="H93" s="129"/>
      <c r="I93" s="130"/>
      <c r="J93" s="23"/>
      <c r="K93" s="23"/>
      <c r="L93" s="23"/>
      <c r="M93" s="131"/>
      <c r="N93" s="131"/>
      <c r="O93" s="131"/>
    </row>
    <row r="94" spans="1:15" x14ac:dyDescent="0.3">
      <c r="A94" s="18"/>
      <c r="B94" s="18"/>
      <c r="C94" s="18"/>
      <c r="D94" s="33"/>
      <c r="E94" s="127"/>
      <c r="F94" s="128"/>
      <c r="G94" s="128"/>
      <c r="H94" s="129"/>
      <c r="I94" s="130"/>
      <c r="J94" s="23"/>
      <c r="K94" s="23"/>
      <c r="L94" s="23"/>
      <c r="M94" s="131"/>
      <c r="N94" s="131"/>
      <c r="O94" s="131"/>
    </row>
    <row r="95" spans="1:15" x14ac:dyDescent="0.3">
      <c r="A95" s="18"/>
      <c r="B95" s="18"/>
      <c r="C95" s="18"/>
      <c r="D95" s="33"/>
      <c r="E95" s="127"/>
      <c r="F95" s="128"/>
      <c r="G95" s="128"/>
      <c r="H95" s="129"/>
      <c r="I95" s="130"/>
      <c r="J95" s="23"/>
      <c r="K95" s="23"/>
      <c r="L95" s="23"/>
      <c r="M95" s="131"/>
      <c r="N95" s="131"/>
      <c r="O95" s="131"/>
    </row>
    <row r="96" spans="1:15" x14ac:dyDescent="0.3">
      <c r="A96" s="18"/>
      <c r="B96" s="18"/>
      <c r="C96" s="18"/>
      <c r="D96" s="33"/>
      <c r="E96" s="127"/>
      <c r="F96" s="128"/>
      <c r="G96" s="128"/>
      <c r="H96" s="129"/>
      <c r="I96" s="130"/>
      <c r="J96" s="23"/>
      <c r="K96" s="23"/>
      <c r="L96" s="23"/>
      <c r="M96" s="131"/>
      <c r="N96" s="131"/>
      <c r="O96" s="131"/>
    </row>
    <row r="97" spans="1:15" x14ac:dyDescent="0.3">
      <c r="A97" s="18"/>
      <c r="B97" s="18"/>
      <c r="C97" s="18"/>
      <c r="D97" s="33"/>
      <c r="E97" s="127"/>
      <c r="F97" s="128"/>
      <c r="G97" s="128"/>
      <c r="H97" s="129"/>
      <c r="I97" s="130"/>
      <c r="J97" s="23"/>
      <c r="K97" s="23"/>
      <c r="L97" s="23"/>
      <c r="M97" s="131"/>
      <c r="N97" s="131"/>
      <c r="O97" s="131"/>
    </row>
    <row r="98" spans="1:15" x14ac:dyDescent="0.3">
      <c r="A98" s="18"/>
      <c r="B98" s="18"/>
      <c r="C98" s="18"/>
      <c r="D98" s="33"/>
      <c r="E98" s="127"/>
      <c r="F98" s="128"/>
      <c r="G98" s="128"/>
      <c r="H98" s="129"/>
      <c r="I98" s="130"/>
      <c r="J98" s="23"/>
      <c r="K98" s="23"/>
      <c r="L98" s="23"/>
      <c r="M98" s="131"/>
      <c r="N98" s="131"/>
      <c r="O98" s="131"/>
    </row>
    <row r="99" spans="1:15" x14ac:dyDescent="0.3">
      <c r="A99" s="18"/>
      <c r="B99" s="18"/>
      <c r="C99" s="18"/>
      <c r="D99" s="33"/>
      <c r="E99" s="127"/>
      <c r="F99" s="128"/>
      <c r="G99" s="128"/>
      <c r="H99" s="129"/>
      <c r="I99" s="130"/>
      <c r="J99" s="23"/>
      <c r="K99" s="23"/>
      <c r="L99" s="23"/>
      <c r="M99" s="131"/>
      <c r="N99" s="131"/>
      <c r="O99" s="131"/>
    </row>
    <row r="100" spans="1:15" x14ac:dyDescent="0.3">
      <c r="A100" s="18"/>
      <c r="B100" s="18"/>
      <c r="C100" s="18"/>
      <c r="D100" s="33"/>
      <c r="E100" s="127"/>
      <c r="F100" s="128"/>
      <c r="G100" s="128"/>
      <c r="H100" s="129"/>
      <c r="I100" s="130"/>
      <c r="J100" s="23"/>
      <c r="K100" s="23"/>
      <c r="L100" s="23"/>
      <c r="M100" s="131"/>
      <c r="N100" s="131"/>
      <c r="O100" s="131"/>
    </row>
    <row r="101" spans="1:15" x14ac:dyDescent="0.3">
      <c r="A101" s="18"/>
      <c r="B101" s="18"/>
      <c r="C101" s="18"/>
      <c r="D101" s="33"/>
      <c r="E101" s="127"/>
      <c r="F101" s="128"/>
      <c r="G101" s="128"/>
      <c r="H101" s="129"/>
      <c r="I101" s="130"/>
      <c r="J101" s="23"/>
      <c r="K101" s="23"/>
      <c r="L101" s="23"/>
      <c r="M101" s="131"/>
      <c r="N101" s="131"/>
      <c r="O101" s="131"/>
    </row>
    <row r="102" spans="1:15" x14ac:dyDescent="0.3">
      <c r="A102" s="18"/>
      <c r="B102" s="18"/>
      <c r="C102" s="18"/>
      <c r="D102" s="33"/>
      <c r="E102" s="127"/>
      <c r="F102" s="128"/>
      <c r="G102" s="128"/>
      <c r="H102" s="129"/>
      <c r="I102" s="130"/>
      <c r="J102" s="23"/>
      <c r="K102" s="23"/>
      <c r="L102" s="23"/>
      <c r="M102" s="131"/>
      <c r="N102" s="131"/>
      <c r="O102" s="131"/>
    </row>
    <row r="103" spans="1:15" x14ac:dyDescent="0.3">
      <c r="A103" s="18"/>
      <c r="B103" s="18"/>
      <c r="C103" s="18"/>
      <c r="D103" s="33"/>
      <c r="E103" s="127"/>
      <c r="F103" s="128"/>
      <c r="G103" s="128"/>
      <c r="H103" s="129"/>
      <c r="I103" s="130"/>
      <c r="J103" s="23"/>
      <c r="K103" s="23"/>
      <c r="L103" s="23"/>
      <c r="M103" s="131"/>
      <c r="N103" s="131"/>
      <c r="O103" s="131"/>
    </row>
    <row r="104" spans="1:15" x14ac:dyDescent="0.3">
      <c r="A104" s="18"/>
      <c r="B104" s="18"/>
      <c r="C104" s="18"/>
      <c r="D104" s="33"/>
      <c r="E104" s="127"/>
      <c r="F104" s="128"/>
      <c r="G104" s="128"/>
      <c r="H104" s="129"/>
      <c r="I104" s="130"/>
      <c r="J104" s="23"/>
      <c r="K104" s="23"/>
      <c r="L104" s="23"/>
      <c r="M104" s="131"/>
      <c r="N104" s="131"/>
      <c r="O104" s="131"/>
    </row>
    <row r="105" spans="1:15" x14ac:dyDescent="0.3">
      <c r="A105" s="18"/>
      <c r="B105" s="18"/>
      <c r="C105" s="18"/>
      <c r="D105" s="33"/>
      <c r="E105" s="127"/>
      <c r="F105" s="128"/>
      <c r="G105" s="128"/>
      <c r="H105" s="129"/>
      <c r="I105" s="130"/>
      <c r="J105" s="23"/>
      <c r="K105" s="23"/>
      <c r="L105" s="23"/>
      <c r="M105" s="131"/>
      <c r="N105" s="131"/>
      <c r="O105" s="131"/>
    </row>
    <row r="106" spans="1:15" x14ac:dyDescent="0.3">
      <c r="A106" s="18"/>
      <c r="B106" s="18"/>
      <c r="C106" s="18"/>
      <c r="D106" s="33"/>
      <c r="E106" s="127"/>
      <c r="F106" s="128"/>
      <c r="G106" s="128"/>
      <c r="H106" s="129"/>
      <c r="I106" s="130"/>
      <c r="J106" s="23"/>
      <c r="K106" s="23"/>
      <c r="L106" s="23"/>
      <c r="M106" s="131"/>
      <c r="N106" s="131"/>
      <c r="O106" s="131"/>
    </row>
    <row r="107" spans="1:15" x14ac:dyDescent="0.3">
      <c r="A107" s="18"/>
      <c r="B107" s="18"/>
      <c r="C107" s="18"/>
      <c r="D107" s="33"/>
      <c r="E107" s="127"/>
      <c r="F107" s="128"/>
      <c r="G107" s="128"/>
      <c r="H107" s="129"/>
      <c r="I107" s="130"/>
      <c r="J107" s="23"/>
      <c r="K107" s="23"/>
      <c r="L107" s="23"/>
      <c r="M107" s="131"/>
      <c r="N107" s="131"/>
      <c r="O107" s="131"/>
    </row>
    <row r="108" spans="1:15" x14ac:dyDescent="0.3">
      <c r="A108" s="18"/>
      <c r="B108" s="18"/>
      <c r="C108" s="18"/>
      <c r="D108" s="33"/>
      <c r="E108" s="127"/>
      <c r="F108" s="128"/>
      <c r="G108" s="128"/>
      <c r="H108" s="129"/>
      <c r="I108" s="130"/>
      <c r="J108" s="23"/>
      <c r="K108" s="23"/>
      <c r="L108" s="23"/>
      <c r="M108" s="131"/>
      <c r="N108" s="131"/>
      <c r="O108" s="131"/>
    </row>
    <row r="109" spans="1:15" x14ac:dyDescent="0.3">
      <c r="A109" s="18"/>
      <c r="B109" s="18"/>
      <c r="C109" s="18"/>
      <c r="D109" s="33"/>
      <c r="E109" s="127"/>
      <c r="F109" s="128"/>
      <c r="G109" s="128"/>
      <c r="H109" s="129"/>
      <c r="I109" s="130"/>
      <c r="J109" s="23"/>
      <c r="K109" s="23"/>
      <c r="L109" s="23"/>
      <c r="M109" s="131"/>
      <c r="N109" s="131"/>
      <c r="O109" s="131"/>
    </row>
    <row r="110" spans="1:15" x14ac:dyDescent="0.3">
      <c r="A110" s="18"/>
      <c r="B110" s="18"/>
      <c r="C110" s="18"/>
      <c r="D110" s="33"/>
      <c r="E110" s="127"/>
      <c r="F110" s="128"/>
      <c r="G110" s="128"/>
      <c r="H110" s="129"/>
      <c r="I110" s="130"/>
      <c r="J110" s="23"/>
      <c r="K110" s="23"/>
      <c r="L110" s="23"/>
      <c r="M110" s="131"/>
      <c r="N110" s="131"/>
      <c r="O110" s="131"/>
    </row>
    <row r="111" spans="1:15" x14ac:dyDescent="0.3">
      <c r="A111" s="18"/>
      <c r="B111" s="18"/>
      <c r="C111" s="18"/>
      <c r="D111" s="33"/>
      <c r="E111" s="127"/>
      <c r="F111" s="128"/>
      <c r="G111" s="128"/>
      <c r="H111" s="129"/>
      <c r="I111" s="130"/>
      <c r="J111" s="23"/>
      <c r="K111" s="23"/>
      <c r="L111" s="23"/>
      <c r="M111" s="131"/>
      <c r="N111" s="131"/>
      <c r="O111" s="131"/>
    </row>
    <row r="112" spans="1:15" x14ac:dyDescent="0.3">
      <c r="A112" s="18"/>
      <c r="B112" s="18"/>
      <c r="C112" s="18"/>
      <c r="D112" s="33"/>
      <c r="E112" s="127"/>
      <c r="F112" s="128"/>
      <c r="G112" s="128"/>
      <c r="H112" s="129"/>
      <c r="I112" s="130"/>
      <c r="J112" s="23"/>
      <c r="K112" s="23"/>
      <c r="L112" s="23"/>
      <c r="M112" s="131"/>
      <c r="N112" s="131"/>
      <c r="O112" s="131"/>
    </row>
    <row r="113" spans="1:15" x14ac:dyDescent="0.3">
      <c r="A113" s="18"/>
      <c r="B113" s="18"/>
      <c r="C113" s="18"/>
      <c r="D113" s="33"/>
      <c r="E113" s="127"/>
      <c r="F113" s="128"/>
      <c r="G113" s="128"/>
      <c r="H113" s="129"/>
      <c r="I113" s="130"/>
      <c r="J113" s="23"/>
      <c r="K113" s="23"/>
      <c r="L113" s="23"/>
      <c r="M113" s="131"/>
      <c r="N113" s="131"/>
      <c r="O113" s="131"/>
    </row>
    <row r="114" spans="1:15" x14ac:dyDescent="0.3">
      <c r="A114" s="18"/>
      <c r="B114" s="18"/>
      <c r="C114" s="18"/>
      <c r="D114" s="33"/>
      <c r="E114" s="127"/>
      <c r="F114" s="128"/>
      <c r="G114" s="128"/>
      <c r="H114" s="129"/>
      <c r="I114" s="130"/>
      <c r="J114" s="23"/>
      <c r="K114" s="23"/>
      <c r="L114" s="23"/>
      <c r="M114" s="131"/>
      <c r="N114" s="131"/>
      <c r="O114" s="131"/>
    </row>
    <row r="115" spans="1:15" x14ac:dyDescent="0.3">
      <c r="A115" s="18"/>
      <c r="B115" s="18"/>
      <c r="C115" s="18"/>
      <c r="D115" s="33"/>
      <c r="E115" s="127"/>
      <c r="F115" s="128"/>
      <c r="G115" s="128"/>
      <c r="H115" s="129"/>
      <c r="I115" s="130"/>
      <c r="J115" s="23"/>
      <c r="K115" s="23"/>
      <c r="L115" s="23"/>
      <c r="M115" s="131"/>
      <c r="N115" s="131"/>
      <c r="O115" s="131"/>
    </row>
    <row r="116" spans="1:15" x14ac:dyDescent="0.3">
      <c r="A116" s="18"/>
      <c r="B116" s="18"/>
      <c r="C116" s="18"/>
      <c r="D116" s="33"/>
      <c r="E116" s="127"/>
      <c r="F116" s="128"/>
      <c r="G116" s="128"/>
      <c r="H116" s="129"/>
      <c r="I116" s="130"/>
      <c r="J116" s="23"/>
      <c r="K116" s="23"/>
      <c r="L116" s="23"/>
      <c r="M116" s="131"/>
      <c r="N116" s="131"/>
      <c r="O116" s="131"/>
    </row>
    <row r="117" spans="1:15" x14ac:dyDescent="0.3">
      <c r="A117" s="18"/>
      <c r="B117" s="18"/>
      <c r="C117" s="18"/>
      <c r="D117" s="33"/>
      <c r="E117" s="127"/>
      <c r="F117" s="128"/>
      <c r="G117" s="128"/>
      <c r="H117" s="129"/>
      <c r="I117" s="130"/>
      <c r="J117" s="23"/>
      <c r="K117" s="23"/>
      <c r="L117" s="23"/>
      <c r="M117" s="131"/>
      <c r="N117" s="131"/>
      <c r="O117" s="131"/>
    </row>
    <row r="118" spans="1:15" x14ac:dyDescent="0.3">
      <c r="A118" s="18"/>
      <c r="B118" s="18"/>
      <c r="C118" s="18"/>
      <c r="D118" s="33"/>
      <c r="E118" s="127"/>
      <c r="F118" s="128"/>
      <c r="G118" s="128"/>
      <c r="H118" s="129"/>
      <c r="I118" s="130"/>
      <c r="J118" s="23"/>
      <c r="K118" s="23"/>
      <c r="L118" s="23"/>
      <c r="M118" s="131"/>
      <c r="N118" s="131"/>
      <c r="O118" s="131"/>
    </row>
    <row r="119" spans="1:15" x14ac:dyDescent="0.3">
      <c r="A119" s="18"/>
      <c r="B119" s="18"/>
      <c r="C119" s="18"/>
      <c r="D119" s="33"/>
      <c r="E119" s="127"/>
      <c r="F119" s="128"/>
      <c r="G119" s="128"/>
      <c r="H119" s="129"/>
      <c r="I119" s="130"/>
      <c r="J119" s="23"/>
      <c r="K119" s="23"/>
      <c r="L119" s="23"/>
      <c r="M119" s="131"/>
      <c r="N119" s="131"/>
      <c r="O119" s="131"/>
    </row>
    <row r="120" spans="1:15" x14ac:dyDescent="0.3">
      <c r="A120" s="18"/>
      <c r="B120" s="18"/>
      <c r="C120" s="18"/>
      <c r="D120" s="33"/>
      <c r="E120" s="127"/>
      <c r="F120" s="128"/>
      <c r="G120" s="128"/>
      <c r="H120" s="129"/>
      <c r="I120" s="130"/>
      <c r="J120" s="23"/>
      <c r="K120" s="23"/>
      <c r="L120" s="23"/>
      <c r="M120" s="131"/>
      <c r="N120" s="131"/>
      <c r="O120" s="131"/>
    </row>
    <row r="121" spans="1:15" x14ac:dyDescent="0.3">
      <c r="A121" s="18"/>
      <c r="B121" s="18"/>
      <c r="C121" s="18"/>
      <c r="D121" s="33"/>
      <c r="E121" s="127"/>
      <c r="F121" s="128"/>
      <c r="G121" s="128"/>
      <c r="H121" s="129"/>
      <c r="I121" s="130"/>
      <c r="J121" s="23"/>
      <c r="K121" s="23"/>
      <c r="L121" s="23"/>
      <c r="M121" s="131"/>
      <c r="N121" s="131"/>
      <c r="O121" s="131"/>
    </row>
    <row r="122" spans="1:15" x14ac:dyDescent="0.3">
      <c r="A122" s="18"/>
      <c r="B122" s="18"/>
      <c r="C122" s="18"/>
      <c r="D122" s="33"/>
      <c r="E122" s="127"/>
      <c r="F122" s="128"/>
      <c r="G122" s="128"/>
      <c r="H122" s="129"/>
      <c r="I122" s="130"/>
      <c r="J122" s="23"/>
      <c r="K122" s="23"/>
      <c r="L122" s="23"/>
      <c r="M122" s="131"/>
      <c r="N122" s="131"/>
      <c r="O122" s="131"/>
    </row>
    <row r="123" spans="1:15" x14ac:dyDescent="0.3">
      <c r="A123" s="18"/>
      <c r="B123" s="18"/>
      <c r="C123" s="18"/>
      <c r="D123" s="33"/>
      <c r="E123" s="127"/>
      <c r="F123" s="128"/>
      <c r="G123" s="128"/>
      <c r="H123" s="129"/>
      <c r="I123" s="130"/>
      <c r="J123" s="23"/>
      <c r="K123" s="23"/>
      <c r="L123" s="23"/>
      <c r="M123" s="131"/>
      <c r="N123" s="131"/>
      <c r="O123" s="131"/>
    </row>
    <row r="124" spans="1:15" x14ac:dyDescent="0.3">
      <c r="A124" s="18"/>
      <c r="B124" s="18"/>
      <c r="C124" s="18"/>
      <c r="D124" s="33"/>
      <c r="E124" s="127"/>
      <c r="F124" s="128"/>
      <c r="G124" s="128"/>
      <c r="H124" s="129"/>
      <c r="I124" s="130"/>
      <c r="J124" s="23"/>
      <c r="K124" s="23"/>
      <c r="L124" s="23"/>
      <c r="M124" s="131"/>
      <c r="N124" s="131"/>
      <c r="O124" s="131"/>
    </row>
    <row r="125" spans="1:15" x14ac:dyDescent="0.3">
      <c r="A125" s="18"/>
      <c r="B125" s="18"/>
      <c r="C125" s="18"/>
      <c r="D125" s="33"/>
      <c r="E125" s="127"/>
      <c r="F125" s="128"/>
      <c r="G125" s="128"/>
      <c r="H125" s="129"/>
      <c r="I125" s="130"/>
      <c r="J125" s="23"/>
      <c r="K125" s="23"/>
      <c r="L125" s="23"/>
      <c r="M125" s="131"/>
      <c r="N125" s="131"/>
      <c r="O125" s="131"/>
    </row>
    <row r="126" spans="1:15" x14ac:dyDescent="0.3">
      <c r="A126" s="18"/>
      <c r="B126" s="18"/>
      <c r="C126" s="18"/>
      <c r="D126" s="33"/>
      <c r="E126" s="127"/>
      <c r="F126" s="128"/>
      <c r="G126" s="128"/>
      <c r="H126" s="129"/>
      <c r="I126" s="130"/>
      <c r="J126" s="23"/>
      <c r="K126" s="23"/>
      <c r="L126" s="23"/>
      <c r="M126" s="131"/>
      <c r="N126" s="131"/>
      <c r="O126" s="131"/>
    </row>
    <row r="127" spans="1:15" x14ac:dyDescent="0.3">
      <c r="A127" s="18"/>
      <c r="B127" s="18"/>
      <c r="C127" s="18"/>
      <c r="D127" s="33"/>
      <c r="E127" s="127"/>
      <c r="F127" s="128"/>
      <c r="G127" s="128"/>
      <c r="H127" s="129"/>
      <c r="I127" s="130"/>
      <c r="J127" s="23"/>
      <c r="K127" s="23"/>
      <c r="L127" s="23"/>
      <c r="M127" s="131"/>
      <c r="N127" s="131"/>
      <c r="O127" s="131"/>
    </row>
    <row r="128" spans="1:15" x14ac:dyDescent="0.3">
      <c r="A128" s="18"/>
      <c r="B128" s="18"/>
      <c r="C128" s="18"/>
      <c r="D128" s="33"/>
      <c r="E128" s="127"/>
      <c r="F128" s="128"/>
      <c r="G128" s="128"/>
      <c r="H128" s="129"/>
      <c r="I128" s="130"/>
      <c r="J128" s="23"/>
      <c r="K128" s="23"/>
      <c r="L128" s="23"/>
      <c r="M128" s="131"/>
      <c r="N128" s="131"/>
      <c r="O128" s="131"/>
    </row>
    <row r="129" spans="1:15" x14ac:dyDescent="0.3">
      <c r="A129" s="18"/>
      <c r="B129" s="18"/>
      <c r="C129" s="18"/>
      <c r="D129" s="33"/>
      <c r="E129" s="127"/>
      <c r="F129" s="128"/>
      <c r="G129" s="128"/>
      <c r="H129" s="129"/>
      <c r="I129" s="130"/>
      <c r="J129" s="23"/>
      <c r="K129" s="23"/>
      <c r="L129" s="23"/>
      <c r="M129" s="131"/>
      <c r="N129" s="131"/>
      <c r="O129" s="131"/>
    </row>
    <row r="130" spans="1:15" x14ac:dyDescent="0.3">
      <c r="A130" s="18"/>
      <c r="B130" s="18"/>
      <c r="C130" s="18"/>
      <c r="D130" s="33"/>
      <c r="E130" s="127"/>
      <c r="F130" s="128"/>
      <c r="G130" s="128"/>
      <c r="H130" s="129"/>
      <c r="I130" s="130"/>
      <c r="J130" s="23"/>
      <c r="K130" s="23"/>
      <c r="L130" s="23"/>
      <c r="M130" s="131"/>
      <c r="N130" s="131"/>
      <c r="O130" s="131"/>
    </row>
    <row r="131" spans="1:15" x14ac:dyDescent="0.3">
      <c r="A131" s="18"/>
      <c r="B131" s="18"/>
      <c r="C131" s="18"/>
      <c r="D131" s="33"/>
      <c r="E131" s="127"/>
      <c r="F131" s="128"/>
      <c r="G131" s="128"/>
      <c r="H131" s="129"/>
      <c r="I131" s="130"/>
      <c r="J131" s="23"/>
      <c r="K131" s="23"/>
      <c r="L131" s="23"/>
      <c r="M131" s="131"/>
      <c r="N131" s="131"/>
      <c r="O131" s="131"/>
    </row>
    <row r="132" spans="1:15" x14ac:dyDescent="0.3">
      <c r="A132" s="18"/>
      <c r="B132" s="18"/>
      <c r="C132" s="18"/>
      <c r="D132" s="33"/>
      <c r="E132" s="127"/>
      <c r="F132" s="128"/>
      <c r="G132" s="128"/>
      <c r="H132" s="129"/>
      <c r="I132" s="130"/>
      <c r="J132" s="23"/>
      <c r="K132" s="23"/>
      <c r="L132" s="23"/>
      <c r="M132" s="131"/>
      <c r="N132" s="131"/>
      <c r="O132" s="131"/>
    </row>
    <row r="133" spans="1:15" x14ac:dyDescent="0.3">
      <c r="A133" s="18"/>
      <c r="B133" s="18"/>
      <c r="C133" s="18"/>
      <c r="D133" s="33"/>
      <c r="E133" s="127"/>
      <c r="F133" s="128"/>
      <c r="G133" s="128"/>
      <c r="H133" s="129"/>
      <c r="I133" s="130"/>
      <c r="J133" s="23"/>
      <c r="K133" s="23"/>
      <c r="L133" s="23"/>
      <c r="M133" s="131"/>
      <c r="N133" s="131"/>
      <c r="O133" s="131"/>
    </row>
    <row r="134" spans="1:15" x14ac:dyDescent="0.3">
      <c r="A134" s="18"/>
      <c r="B134" s="18"/>
      <c r="C134" s="18"/>
      <c r="D134" s="33"/>
      <c r="E134" s="127"/>
      <c r="F134" s="128"/>
      <c r="G134" s="128"/>
      <c r="H134" s="129"/>
      <c r="I134" s="130"/>
      <c r="J134" s="23"/>
      <c r="K134" s="23"/>
      <c r="L134" s="23"/>
      <c r="M134" s="131"/>
      <c r="N134" s="131"/>
      <c r="O134" s="131"/>
    </row>
    <row r="135" spans="1:15" x14ac:dyDescent="0.3">
      <c r="A135" s="18"/>
      <c r="B135" s="18"/>
      <c r="C135" s="18"/>
      <c r="D135" s="33"/>
      <c r="E135" s="127"/>
      <c r="F135" s="128"/>
      <c r="G135" s="128"/>
      <c r="H135" s="129"/>
      <c r="I135" s="130"/>
      <c r="J135" s="23"/>
      <c r="K135" s="23"/>
      <c r="L135" s="23"/>
      <c r="M135" s="131"/>
      <c r="N135" s="131"/>
      <c r="O135" s="131"/>
    </row>
    <row r="136" spans="1:15" x14ac:dyDescent="0.3">
      <c r="A136" s="18"/>
      <c r="B136" s="18"/>
      <c r="C136" s="18"/>
      <c r="D136" s="33"/>
      <c r="E136" s="127"/>
      <c r="F136" s="128"/>
      <c r="G136" s="128"/>
      <c r="H136" s="129"/>
      <c r="I136" s="130"/>
      <c r="J136" s="23"/>
      <c r="K136" s="23"/>
      <c r="L136" s="23"/>
      <c r="M136" s="131"/>
      <c r="N136" s="131"/>
      <c r="O136" s="131"/>
    </row>
    <row r="137" spans="1:15" x14ac:dyDescent="0.3">
      <c r="A137" s="18"/>
      <c r="B137" s="18"/>
      <c r="C137" s="18"/>
      <c r="D137" s="33"/>
      <c r="E137" s="127"/>
      <c r="F137" s="128"/>
      <c r="G137" s="128"/>
      <c r="H137" s="129"/>
      <c r="I137" s="130"/>
      <c r="J137" s="23"/>
      <c r="K137" s="23"/>
      <c r="L137" s="23"/>
      <c r="M137" s="131"/>
      <c r="N137" s="131"/>
      <c r="O137" s="131"/>
    </row>
    <row r="138" spans="1:15" x14ac:dyDescent="0.3">
      <c r="A138" s="18"/>
      <c r="B138" s="18"/>
      <c r="C138" s="18"/>
      <c r="D138" s="33"/>
      <c r="E138" s="127"/>
      <c r="F138" s="128"/>
      <c r="G138" s="128"/>
      <c r="H138" s="129"/>
      <c r="I138" s="130"/>
      <c r="J138" s="23"/>
      <c r="K138" s="23"/>
      <c r="L138" s="23"/>
      <c r="M138" s="131"/>
      <c r="N138" s="131"/>
      <c r="O138" s="131"/>
    </row>
    <row r="139" spans="1:15" x14ac:dyDescent="0.3">
      <c r="A139" s="18"/>
      <c r="B139" s="18"/>
      <c r="C139" s="18"/>
      <c r="D139" s="33"/>
      <c r="E139" s="127"/>
      <c r="F139" s="128"/>
      <c r="G139" s="128"/>
      <c r="H139" s="129"/>
      <c r="I139" s="130"/>
      <c r="J139" s="23"/>
      <c r="K139" s="23"/>
      <c r="L139" s="23"/>
      <c r="M139" s="131"/>
      <c r="N139" s="131"/>
      <c r="O139" s="131"/>
    </row>
    <row r="140" spans="1:15" x14ac:dyDescent="0.3">
      <c r="A140" s="18"/>
      <c r="B140" s="18"/>
      <c r="C140" s="18"/>
      <c r="D140" s="33"/>
      <c r="E140" s="127"/>
      <c r="F140" s="128"/>
      <c r="G140" s="128"/>
      <c r="H140" s="129"/>
      <c r="I140" s="130"/>
      <c r="J140" s="23"/>
      <c r="K140" s="23"/>
      <c r="L140" s="23"/>
      <c r="M140" s="131"/>
      <c r="N140" s="131"/>
      <c r="O140" s="131"/>
    </row>
    <row r="141" spans="1:15" x14ac:dyDescent="0.3">
      <c r="A141" s="18"/>
      <c r="B141" s="18"/>
      <c r="C141" s="18"/>
      <c r="D141" s="33"/>
      <c r="E141" s="127"/>
      <c r="F141" s="128"/>
      <c r="G141" s="128"/>
      <c r="H141" s="129"/>
      <c r="I141" s="130"/>
      <c r="J141" s="23"/>
      <c r="K141" s="23"/>
      <c r="L141" s="23"/>
      <c r="M141" s="131"/>
      <c r="N141" s="131"/>
      <c r="O141" s="131"/>
    </row>
    <row r="142" spans="1:15" x14ac:dyDescent="0.3">
      <c r="A142" s="18"/>
      <c r="B142" s="18"/>
      <c r="C142" s="18"/>
      <c r="D142" s="33"/>
      <c r="E142" s="127"/>
      <c r="F142" s="128"/>
      <c r="G142" s="128"/>
      <c r="H142" s="129"/>
      <c r="I142" s="130"/>
      <c r="J142" s="23"/>
      <c r="K142" s="23"/>
      <c r="L142" s="23"/>
      <c r="M142" s="131"/>
      <c r="N142" s="131"/>
      <c r="O142" s="131"/>
    </row>
    <row r="143" spans="1:15" x14ac:dyDescent="0.3">
      <c r="A143" s="18"/>
      <c r="B143" s="18"/>
      <c r="C143" s="18"/>
      <c r="D143" s="33"/>
      <c r="E143" s="127"/>
      <c r="F143" s="128"/>
      <c r="G143" s="128"/>
      <c r="H143" s="129"/>
      <c r="I143" s="130"/>
      <c r="J143" s="23"/>
      <c r="K143" s="23"/>
      <c r="L143" s="23"/>
      <c r="M143" s="131"/>
      <c r="N143" s="131"/>
      <c r="O143" s="131"/>
    </row>
    <row r="144" spans="1:15" x14ac:dyDescent="0.3">
      <c r="A144" s="18"/>
      <c r="B144" s="18"/>
      <c r="C144" s="18"/>
      <c r="D144" s="33"/>
      <c r="E144" s="127"/>
      <c r="F144" s="128"/>
      <c r="G144" s="128"/>
      <c r="H144" s="129"/>
      <c r="I144" s="130"/>
      <c r="J144" s="23"/>
      <c r="K144" s="23"/>
      <c r="L144" s="23"/>
      <c r="M144" s="131"/>
      <c r="N144" s="131"/>
      <c r="O144" s="131"/>
    </row>
    <row r="145" spans="1:15" x14ac:dyDescent="0.3">
      <c r="A145" s="18"/>
      <c r="B145" s="18"/>
      <c r="C145" s="18"/>
      <c r="D145" s="33"/>
      <c r="E145" s="127"/>
      <c r="F145" s="128"/>
      <c r="G145" s="128"/>
      <c r="H145" s="129"/>
      <c r="I145" s="130"/>
      <c r="J145" s="23"/>
      <c r="K145" s="23"/>
      <c r="L145" s="23"/>
      <c r="M145" s="131"/>
      <c r="N145" s="131"/>
      <c r="O145" s="131"/>
    </row>
    <row r="146" spans="1:15" x14ac:dyDescent="0.3">
      <c r="A146" s="18"/>
      <c r="B146" s="18"/>
      <c r="C146" s="18"/>
      <c r="D146" s="33"/>
      <c r="E146" s="127"/>
      <c r="F146" s="128"/>
      <c r="G146" s="128"/>
      <c r="H146" s="129"/>
      <c r="I146" s="130"/>
      <c r="J146" s="23"/>
      <c r="K146" s="23"/>
      <c r="L146" s="23"/>
      <c r="M146" s="131"/>
      <c r="N146" s="131"/>
      <c r="O146" s="131"/>
    </row>
    <row r="147" spans="1:15" x14ac:dyDescent="0.3">
      <c r="A147" s="18"/>
      <c r="B147" s="18"/>
      <c r="C147" s="18"/>
      <c r="D147" s="33"/>
      <c r="E147" s="127"/>
      <c r="F147" s="128"/>
      <c r="G147" s="128"/>
      <c r="H147" s="129"/>
      <c r="I147" s="130"/>
      <c r="J147" s="23"/>
      <c r="K147" s="23"/>
      <c r="L147" s="23"/>
      <c r="M147" s="131"/>
      <c r="N147" s="131"/>
      <c r="O147" s="131"/>
    </row>
    <row r="148" spans="1:15" x14ac:dyDescent="0.3">
      <c r="A148" s="18"/>
      <c r="B148" s="18"/>
      <c r="C148" s="18"/>
      <c r="D148" s="33"/>
      <c r="E148" s="127"/>
      <c r="F148" s="128"/>
      <c r="G148" s="128"/>
      <c r="H148" s="129"/>
      <c r="I148" s="130"/>
      <c r="J148" s="23"/>
      <c r="K148" s="23"/>
      <c r="L148" s="23"/>
      <c r="M148" s="131"/>
      <c r="N148" s="131"/>
      <c r="O148" s="131"/>
    </row>
    <row r="149" spans="1:15" x14ac:dyDescent="0.3">
      <c r="A149" s="18"/>
      <c r="B149" s="18"/>
      <c r="C149" s="18"/>
      <c r="D149" s="33"/>
      <c r="E149" s="127"/>
      <c r="F149" s="128"/>
      <c r="G149" s="128"/>
      <c r="H149" s="129"/>
      <c r="I149" s="130"/>
      <c r="J149" s="23"/>
      <c r="K149" s="23"/>
      <c r="L149" s="23"/>
      <c r="M149" s="131"/>
      <c r="N149" s="131"/>
      <c r="O149" s="131"/>
    </row>
    <row r="150" spans="1:15" x14ac:dyDescent="0.3">
      <c r="A150" s="18"/>
      <c r="B150" s="18"/>
      <c r="C150" s="18"/>
      <c r="D150" s="33"/>
      <c r="E150" s="127"/>
      <c r="F150" s="128"/>
      <c r="G150" s="128"/>
      <c r="H150" s="129"/>
      <c r="I150" s="130"/>
      <c r="J150" s="23"/>
      <c r="K150" s="23"/>
      <c r="L150" s="23"/>
      <c r="M150" s="131"/>
      <c r="N150" s="131"/>
      <c r="O150" s="131"/>
    </row>
    <row r="151" spans="1:15" x14ac:dyDescent="0.3">
      <c r="A151" s="18"/>
      <c r="B151" s="18"/>
      <c r="C151" s="18"/>
      <c r="D151" s="33"/>
      <c r="E151" s="127"/>
      <c r="F151" s="128"/>
      <c r="G151" s="128"/>
      <c r="H151" s="129"/>
      <c r="I151" s="130"/>
      <c r="J151" s="23"/>
      <c r="K151" s="23"/>
      <c r="L151" s="23"/>
      <c r="M151" s="131"/>
      <c r="N151" s="131"/>
      <c r="O151" s="131"/>
    </row>
    <row r="152" spans="1:15" x14ac:dyDescent="0.3">
      <c r="A152" s="18"/>
      <c r="B152" s="18"/>
      <c r="C152" s="18"/>
      <c r="D152" s="33"/>
      <c r="E152" s="127"/>
      <c r="F152" s="128"/>
      <c r="G152" s="128"/>
      <c r="H152" s="129"/>
      <c r="I152" s="130"/>
      <c r="J152" s="23"/>
      <c r="K152" s="23"/>
      <c r="L152" s="23"/>
      <c r="M152" s="131"/>
      <c r="N152" s="131"/>
      <c r="O152" s="131"/>
    </row>
    <row r="153" spans="1:15" x14ac:dyDescent="0.3">
      <c r="A153" s="18"/>
      <c r="B153" s="18"/>
      <c r="C153" s="18"/>
      <c r="D153" s="33"/>
      <c r="E153" s="127"/>
      <c r="F153" s="128"/>
      <c r="G153" s="128"/>
      <c r="H153" s="129"/>
      <c r="I153" s="130"/>
      <c r="J153" s="23"/>
      <c r="K153" s="23"/>
      <c r="L153" s="23"/>
      <c r="M153" s="131"/>
      <c r="N153" s="131"/>
      <c r="O153" s="131"/>
    </row>
    <row r="154" spans="1:15" x14ac:dyDescent="0.3">
      <c r="A154" s="18"/>
      <c r="B154" s="18"/>
      <c r="C154" s="18"/>
      <c r="D154" s="33"/>
      <c r="E154" s="127"/>
      <c r="F154" s="128"/>
      <c r="G154" s="128"/>
      <c r="H154" s="129"/>
      <c r="I154" s="130"/>
      <c r="J154" s="23"/>
      <c r="K154" s="23"/>
      <c r="L154" s="23"/>
      <c r="M154" s="131"/>
      <c r="N154" s="131"/>
      <c r="O154" s="131"/>
    </row>
    <row r="155" spans="1:15" x14ac:dyDescent="0.3">
      <c r="A155" s="18"/>
      <c r="B155" s="18"/>
      <c r="C155" s="18"/>
      <c r="D155" s="33"/>
      <c r="E155" s="127"/>
      <c r="F155" s="128"/>
      <c r="G155" s="128"/>
      <c r="H155" s="129"/>
      <c r="I155" s="130"/>
      <c r="J155" s="23"/>
      <c r="K155" s="23"/>
      <c r="L155" s="23"/>
      <c r="M155" s="131"/>
      <c r="N155" s="131"/>
      <c r="O155" s="131"/>
    </row>
    <row r="156" spans="1:15" x14ac:dyDescent="0.3">
      <c r="A156" s="18"/>
      <c r="B156" s="18"/>
      <c r="C156" s="18"/>
      <c r="D156" s="33"/>
      <c r="E156" s="127"/>
      <c r="F156" s="128"/>
      <c r="G156" s="128"/>
      <c r="H156" s="129"/>
      <c r="I156" s="130"/>
      <c r="J156" s="23"/>
      <c r="K156" s="23"/>
      <c r="L156" s="23"/>
      <c r="M156" s="131"/>
      <c r="N156" s="131"/>
      <c r="O156" s="131"/>
    </row>
    <row r="157" spans="1:15" x14ac:dyDescent="0.3">
      <c r="A157" s="18"/>
      <c r="B157" s="18"/>
      <c r="C157" s="18"/>
      <c r="D157" s="33"/>
      <c r="E157" s="127"/>
      <c r="F157" s="128"/>
      <c r="G157" s="128"/>
      <c r="H157" s="129"/>
      <c r="I157" s="130"/>
      <c r="J157" s="23"/>
      <c r="K157" s="23"/>
      <c r="L157" s="23"/>
      <c r="M157" s="131"/>
      <c r="N157" s="131"/>
      <c r="O157" s="131"/>
    </row>
    <row r="158" spans="1:15" x14ac:dyDescent="0.3">
      <c r="A158" s="18"/>
      <c r="B158" s="18"/>
      <c r="C158" s="18"/>
      <c r="D158" s="33"/>
      <c r="E158" s="127"/>
      <c r="F158" s="128"/>
      <c r="G158" s="128"/>
      <c r="H158" s="129"/>
      <c r="I158" s="130"/>
      <c r="J158" s="23"/>
      <c r="K158" s="23"/>
      <c r="L158" s="23"/>
      <c r="M158" s="131"/>
      <c r="N158" s="131"/>
      <c r="O158" s="131"/>
    </row>
    <row r="159" spans="1:15" x14ac:dyDescent="0.3">
      <c r="A159" s="18"/>
      <c r="B159" s="18"/>
      <c r="C159" s="18"/>
      <c r="D159" s="33"/>
      <c r="E159" s="127"/>
      <c r="F159" s="128"/>
      <c r="G159" s="128"/>
      <c r="H159" s="129"/>
      <c r="I159" s="130"/>
      <c r="J159" s="23"/>
      <c r="K159" s="23"/>
      <c r="L159" s="23"/>
      <c r="M159" s="131"/>
      <c r="N159" s="131"/>
      <c r="O159" s="131"/>
    </row>
    <row r="160" spans="1:15" x14ac:dyDescent="0.3">
      <c r="A160" s="18"/>
      <c r="B160" s="18"/>
      <c r="C160" s="18"/>
      <c r="D160" s="33"/>
      <c r="E160" s="127"/>
      <c r="F160" s="128"/>
      <c r="G160" s="128"/>
      <c r="H160" s="129"/>
      <c r="I160" s="130"/>
      <c r="J160" s="23"/>
      <c r="K160" s="23"/>
      <c r="L160" s="23"/>
      <c r="M160" s="131"/>
      <c r="N160" s="131"/>
      <c r="O160" s="131"/>
    </row>
    <row r="161" spans="1:15" x14ac:dyDescent="0.3">
      <c r="A161" s="18"/>
      <c r="B161" s="18"/>
      <c r="C161" s="18"/>
      <c r="D161" s="33"/>
      <c r="E161" s="127"/>
      <c r="F161" s="128"/>
      <c r="G161" s="128"/>
      <c r="H161" s="129"/>
      <c r="I161" s="130"/>
      <c r="J161" s="23"/>
      <c r="K161" s="23"/>
      <c r="L161" s="23"/>
      <c r="M161" s="131"/>
      <c r="N161" s="131"/>
      <c r="O161" s="131"/>
    </row>
    <row r="162" spans="1:15" x14ac:dyDescent="0.3">
      <c r="A162" s="18"/>
      <c r="B162" s="18"/>
      <c r="C162" s="18"/>
      <c r="D162" s="33"/>
      <c r="E162" s="127"/>
      <c r="F162" s="128"/>
      <c r="G162" s="128"/>
      <c r="H162" s="129"/>
      <c r="I162" s="130"/>
      <c r="J162" s="23"/>
      <c r="K162" s="23"/>
      <c r="L162" s="23"/>
      <c r="M162" s="131"/>
      <c r="N162" s="131"/>
      <c r="O162" s="131"/>
    </row>
    <row r="163" spans="1:15" x14ac:dyDescent="0.3">
      <c r="A163" s="18"/>
      <c r="B163" s="18"/>
      <c r="C163" s="18"/>
      <c r="D163" s="33"/>
      <c r="E163" s="127"/>
      <c r="F163" s="128"/>
      <c r="G163" s="128"/>
      <c r="H163" s="129"/>
      <c r="I163" s="130"/>
      <c r="J163" s="23"/>
      <c r="K163" s="23"/>
      <c r="L163" s="23"/>
      <c r="M163" s="131"/>
      <c r="N163" s="131"/>
      <c r="O163" s="131"/>
    </row>
    <row r="164" spans="1:15" x14ac:dyDescent="0.3">
      <c r="A164" s="18"/>
      <c r="B164" s="18"/>
      <c r="C164" s="18"/>
      <c r="D164" s="33"/>
      <c r="E164" s="127"/>
      <c r="F164" s="128"/>
      <c r="G164" s="128"/>
      <c r="H164" s="129"/>
      <c r="I164" s="130"/>
      <c r="J164" s="23"/>
      <c r="K164" s="23"/>
      <c r="L164" s="23"/>
      <c r="M164" s="131"/>
      <c r="N164" s="131"/>
      <c r="O164" s="131"/>
    </row>
    <row r="165" spans="1:15" x14ac:dyDescent="0.3">
      <c r="A165" s="18"/>
      <c r="B165" s="18"/>
      <c r="C165" s="18"/>
      <c r="D165" s="33"/>
      <c r="E165" s="127"/>
      <c r="F165" s="128"/>
      <c r="G165" s="128"/>
      <c r="H165" s="129"/>
      <c r="I165" s="130"/>
      <c r="J165" s="23"/>
      <c r="K165" s="23"/>
      <c r="L165" s="23"/>
      <c r="M165" s="131"/>
      <c r="N165" s="131"/>
      <c r="O165" s="131"/>
    </row>
    <row r="166" spans="1:15" x14ac:dyDescent="0.3">
      <c r="A166" s="18"/>
      <c r="B166" s="18"/>
      <c r="C166" s="18"/>
      <c r="D166" s="33"/>
      <c r="E166" s="127"/>
      <c r="F166" s="128"/>
      <c r="G166" s="128"/>
      <c r="H166" s="129"/>
      <c r="I166" s="130"/>
      <c r="J166" s="23"/>
      <c r="K166" s="23"/>
      <c r="L166" s="23"/>
      <c r="M166" s="131"/>
      <c r="N166" s="131"/>
      <c r="O166" s="131"/>
    </row>
    <row r="167" spans="1:15" x14ac:dyDescent="0.3">
      <c r="A167" s="18"/>
      <c r="B167" s="18"/>
      <c r="C167" s="18"/>
      <c r="D167" s="33"/>
      <c r="E167" s="127"/>
      <c r="F167" s="128"/>
      <c r="G167" s="128"/>
      <c r="H167" s="129"/>
      <c r="I167" s="130"/>
      <c r="J167" s="23"/>
      <c r="K167" s="23"/>
      <c r="L167" s="23"/>
      <c r="M167" s="131"/>
      <c r="N167" s="131"/>
      <c r="O167" s="131"/>
    </row>
    <row r="168" spans="1:15" x14ac:dyDescent="0.3">
      <c r="A168" s="18"/>
      <c r="B168" s="18"/>
      <c r="C168" s="18"/>
      <c r="D168" s="33"/>
      <c r="E168" s="127"/>
      <c r="F168" s="128"/>
      <c r="G168" s="128"/>
      <c r="H168" s="129"/>
      <c r="I168" s="130"/>
      <c r="J168" s="23"/>
      <c r="K168" s="23"/>
      <c r="L168" s="23"/>
      <c r="M168" s="131"/>
      <c r="N168" s="131"/>
      <c r="O168" s="131"/>
    </row>
    <row r="169" spans="1:15" x14ac:dyDescent="0.3">
      <c r="A169" s="18"/>
      <c r="B169" s="18"/>
      <c r="C169" s="18"/>
      <c r="D169" s="33"/>
      <c r="E169" s="127"/>
      <c r="F169" s="128"/>
      <c r="G169" s="128"/>
      <c r="H169" s="129"/>
      <c r="I169" s="130"/>
      <c r="J169" s="23"/>
      <c r="K169" s="23"/>
      <c r="L169" s="23"/>
      <c r="M169" s="131"/>
      <c r="N169" s="131"/>
      <c r="O169" s="131"/>
    </row>
    <row r="170" spans="1:15" x14ac:dyDescent="0.3">
      <c r="A170" s="18"/>
      <c r="B170" s="18"/>
      <c r="C170" s="18"/>
      <c r="D170" s="33"/>
      <c r="E170" s="127"/>
      <c r="F170" s="128"/>
      <c r="G170" s="128"/>
      <c r="H170" s="129"/>
      <c r="I170" s="130"/>
      <c r="J170" s="23"/>
      <c r="K170" s="23"/>
      <c r="L170" s="23"/>
      <c r="M170" s="131"/>
      <c r="N170" s="131"/>
      <c r="O170" s="131"/>
    </row>
    <row r="171" spans="1:15" x14ac:dyDescent="0.3">
      <c r="A171" s="18"/>
      <c r="B171" s="18"/>
      <c r="C171" s="18"/>
      <c r="D171" s="33"/>
      <c r="E171" s="127"/>
      <c r="F171" s="128"/>
      <c r="G171" s="128"/>
      <c r="H171" s="129"/>
      <c r="I171" s="130"/>
      <c r="J171" s="23"/>
      <c r="K171" s="23"/>
      <c r="L171" s="23"/>
      <c r="M171" s="131"/>
      <c r="N171" s="131"/>
      <c r="O171" s="131"/>
    </row>
    <row r="172" spans="1:15" x14ac:dyDescent="0.3">
      <c r="A172" s="18"/>
      <c r="B172" s="18"/>
      <c r="C172" s="18"/>
      <c r="D172" s="33"/>
      <c r="E172" s="127"/>
      <c r="F172" s="128"/>
      <c r="G172" s="128"/>
      <c r="H172" s="129"/>
      <c r="I172" s="130"/>
      <c r="J172" s="23"/>
      <c r="K172" s="23"/>
      <c r="L172" s="23"/>
      <c r="M172" s="131"/>
      <c r="N172" s="131"/>
      <c r="O172" s="131"/>
    </row>
    <row r="173" spans="1:15" x14ac:dyDescent="0.3">
      <c r="A173" s="18"/>
      <c r="B173" s="18"/>
      <c r="C173" s="18"/>
      <c r="D173" s="33"/>
      <c r="E173" s="127"/>
      <c r="F173" s="128"/>
      <c r="G173" s="128"/>
      <c r="H173" s="129"/>
      <c r="I173" s="130"/>
      <c r="J173" s="23"/>
      <c r="K173" s="23"/>
      <c r="L173" s="23"/>
      <c r="M173" s="131"/>
      <c r="N173" s="131"/>
      <c r="O173" s="131"/>
    </row>
    <row r="174" spans="1:15" x14ac:dyDescent="0.3">
      <c r="A174" s="18"/>
      <c r="B174" s="18"/>
      <c r="C174" s="18"/>
      <c r="D174" s="33"/>
      <c r="E174" s="127"/>
      <c r="F174" s="128"/>
      <c r="G174" s="128"/>
      <c r="H174" s="129"/>
      <c r="I174" s="130"/>
      <c r="J174" s="23"/>
      <c r="K174" s="23"/>
      <c r="L174" s="23"/>
      <c r="M174" s="131"/>
      <c r="N174" s="131"/>
      <c r="O174" s="131"/>
    </row>
    <row r="175" spans="1:15" x14ac:dyDescent="0.3">
      <c r="A175" s="18"/>
      <c r="B175" s="18"/>
      <c r="C175" s="18"/>
      <c r="D175" s="33"/>
      <c r="E175" s="127"/>
      <c r="F175" s="128"/>
      <c r="G175" s="128"/>
      <c r="H175" s="129"/>
      <c r="I175" s="130"/>
      <c r="J175" s="23"/>
      <c r="K175" s="23"/>
      <c r="L175" s="23"/>
      <c r="M175" s="131"/>
      <c r="N175" s="131"/>
      <c r="O175" s="131"/>
    </row>
    <row r="176" spans="1:15" x14ac:dyDescent="0.3">
      <c r="A176" s="18"/>
      <c r="B176" s="18"/>
      <c r="C176" s="18"/>
      <c r="D176" s="33"/>
      <c r="E176" s="127"/>
      <c r="F176" s="128"/>
      <c r="G176" s="128"/>
      <c r="H176" s="129"/>
      <c r="I176" s="130"/>
      <c r="J176" s="23"/>
      <c r="K176" s="23"/>
      <c r="L176" s="23"/>
      <c r="M176" s="131"/>
      <c r="N176" s="131"/>
      <c r="O176" s="131"/>
    </row>
    <row r="177" spans="1:15" x14ac:dyDescent="0.3">
      <c r="A177" s="18"/>
      <c r="B177" s="18"/>
      <c r="C177" s="18"/>
      <c r="D177" s="33"/>
      <c r="E177" s="127"/>
      <c r="F177" s="128"/>
      <c r="G177" s="128"/>
      <c r="H177" s="129"/>
      <c r="I177" s="130"/>
      <c r="J177" s="23"/>
      <c r="K177" s="23"/>
      <c r="L177" s="23"/>
      <c r="M177" s="131"/>
      <c r="N177" s="131"/>
      <c r="O177" s="131"/>
    </row>
    <row r="178" spans="1:15" x14ac:dyDescent="0.3">
      <c r="A178" s="18"/>
      <c r="B178" s="18"/>
      <c r="C178" s="18"/>
      <c r="D178" s="33"/>
      <c r="E178" s="127"/>
      <c r="F178" s="128"/>
      <c r="G178" s="128"/>
      <c r="H178" s="129"/>
      <c r="I178" s="130"/>
      <c r="J178" s="23"/>
      <c r="K178" s="23"/>
      <c r="L178" s="23"/>
      <c r="M178" s="131"/>
      <c r="N178" s="131"/>
      <c r="O178" s="131"/>
    </row>
    <row r="179" spans="1:15" x14ac:dyDescent="0.3">
      <c r="A179" s="18"/>
      <c r="B179" s="18"/>
      <c r="C179" s="18"/>
      <c r="D179" s="33"/>
      <c r="E179" s="127"/>
      <c r="F179" s="128"/>
      <c r="G179" s="128"/>
      <c r="H179" s="129"/>
      <c r="I179" s="130"/>
      <c r="J179" s="23"/>
      <c r="K179" s="23"/>
      <c r="L179" s="23"/>
      <c r="M179" s="131"/>
      <c r="N179" s="131"/>
      <c r="O179" s="131"/>
    </row>
    <row r="180" spans="1:15" x14ac:dyDescent="0.3">
      <c r="A180" s="18"/>
      <c r="B180" s="18"/>
      <c r="C180" s="18"/>
      <c r="D180" s="33"/>
      <c r="E180" s="127"/>
      <c r="F180" s="128"/>
      <c r="G180" s="128"/>
      <c r="H180" s="129"/>
      <c r="I180" s="130"/>
      <c r="J180" s="23"/>
      <c r="K180" s="23"/>
      <c r="L180" s="23"/>
      <c r="M180" s="131"/>
      <c r="N180" s="131"/>
      <c r="O180" s="131"/>
    </row>
    <row r="181" spans="1:15" x14ac:dyDescent="0.3">
      <c r="A181" s="18"/>
      <c r="B181" s="18"/>
      <c r="C181" s="18"/>
      <c r="D181" s="33"/>
      <c r="E181" s="127"/>
      <c r="F181" s="128"/>
      <c r="G181" s="128"/>
      <c r="H181" s="129"/>
      <c r="I181" s="130"/>
      <c r="J181" s="23"/>
      <c r="K181" s="23"/>
      <c r="L181" s="23"/>
      <c r="M181" s="131"/>
      <c r="N181" s="131"/>
      <c r="O181" s="131"/>
    </row>
    <row r="182" spans="1:15" x14ac:dyDescent="0.3">
      <c r="A182" s="18"/>
      <c r="B182" s="18"/>
      <c r="C182" s="18"/>
      <c r="D182" s="33"/>
      <c r="E182" s="127"/>
      <c r="F182" s="128"/>
      <c r="G182" s="128"/>
      <c r="H182" s="129"/>
      <c r="I182" s="130"/>
      <c r="J182" s="23"/>
      <c r="K182" s="23"/>
      <c r="L182" s="23"/>
      <c r="M182" s="131"/>
      <c r="N182" s="131"/>
      <c r="O182" s="131"/>
    </row>
    <row r="183" spans="1:15" x14ac:dyDescent="0.3">
      <c r="A183" s="18"/>
      <c r="B183" s="18"/>
      <c r="C183" s="18"/>
      <c r="D183" s="33"/>
      <c r="E183" s="127"/>
      <c r="F183" s="128"/>
      <c r="G183" s="128"/>
      <c r="H183" s="129"/>
      <c r="I183" s="130"/>
      <c r="J183" s="23"/>
      <c r="K183" s="23"/>
      <c r="L183" s="23"/>
      <c r="M183" s="131"/>
      <c r="N183" s="131"/>
      <c r="O183" s="131"/>
    </row>
    <row r="184" spans="1:15" x14ac:dyDescent="0.3">
      <c r="A184" s="18"/>
      <c r="B184" s="18"/>
      <c r="C184" s="18"/>
      <c r="D184" s="33"/>
      <c r="E184" s="127"/>
      <c r="F184" s="128"/>
      <c r="G184" s="128"/>
      <c r="H184" s="129"/>
      <c r="I184" s="130"/>
      <c r="J184" s="23"/>
      <c r="K184" s="23"/>
      <c r="L184" s="23"/>
      <c r="M184" s="131"/>
      <c r="N184" s="131"/>
      <c r="O184" s="131"/>
    </row>
    <row r="185" spans="1:15" x14ac:dyDescent="0.3">
      <c r="A185" s="18"/>
      <c r="B185" s="18"/>
      <c r="C185" s="18"/>
      <c r="D185" s="33"/>
      <c r="E185" s="127"/>
      <c r="F185" s="128"/>
      <c r="G185" s="128"/>
      <c r="H185" s="129"/>
      <c r="I185" s="130"/>
      <c r="J185" s="23"/>
      <c r="K185" s="23"/>
      <c r="L185" s="23"/>
      <c r="M185" s="131"/>
      <c r="N185" s="131"/>
      <c r="O185" s="131"/>
    </row>
    <row r="186" spans="1:15" x14ac:dyDescent="0.3">
      <c r="A186" s="18"/>
      <c r="B186" s="18"/>
      <c r="C186" s="18"/>
      <c r="D186" s="33"/>
      <c r="E186" s="127"/>
      <c r="F186" s="128"/>
      <c r="G186" s="128"/>
      <c r="H186" s="129"/>
      <c r="I186" s="130"/>
      <c r="J186" s="23"/>
      <c r="K186" s="23"/>
      <c r="L186" s="23"/>
      <c r="M186" s="131"/>
      <c r="N186" s="131"/>
      <c r="O186" s="131"/>
    </row>
    <row r="187" spans="1:15" x14ac:dyDescent="0.3">
      <c r="A187" s="18"/>
      <c r="B187" s="18"/>
      <c r="C187" s="18"/>
      <c r="D187" s="33"/>
      <c r="E187" s="127"/>
      <c r="F187" s="128"/>
      <c r="G187" s="128"/>
      <c r="H187" s="129"/>
      <c r="I187" s="130"/>
      <c r="J187" s="23"/>
      <c r="K187" s="23"/>
      <c r="L187" s="23"/>
      <c r="M187" s="131"/>
      <c r="N187" s="131"/>
      <c r="O187" s="131"/>
    </row>
    <row r="188" spans="1:15" x14ac:dyDescent="0.3">
      <c r="A188" s="18"/>
      <c r="B188" s="18"/>
      <c r="C188" s="18"/>
      <c r="D188" s="33"/>
      <c r="E188" s="127"/>
      <c r="F188" s="128"/>
      <c r="G188" s="128"/>
      <c r="H188" s="129"/>
      <c r="I188" s="130"/>
      <c r="J188" s="23"/>
      <c r="K188" s="23"/>
      <c r="L188" s="23"/>
      <c r="M188" s="131"/>
      <c r="N188" s="131"/>
      <c r="O188" s="131"/>
    </row>
    <row r="189" spans="1:15" x14ac:dyDescent="0.3">
      <c r="A189" s="18"/>
      <c r="B189" s="18"/>
      <c r="C189" s="18"/>
      <c r="D189" s="33"/>
      <c r="E189" s="127"/>
      <c r="F189" s="128"/>
      <c r="G189" s="128"/>
      <c r="H189" s="129"/>
      <c r="I189" s="130"/>
      <c r="J189" s="23"/>
      <c r="K189" s="23"/>
      <c r="L189" s="23"/>
      <c r="M189" s="131"/>
      <c r="N189" s="131"/>
      <c r="O189" s="131"/>
    </row>
    <row r="190" spans="1:15" x14ac:dyDescent="0.3">
      <c r="A190" s="18"/>
      <c r="B190" s="18"/>
      <c r="C190" s="18"/>
      <c r="D190" s="33"/>
      <c r="E190" s="127"/>
      <c r="F190" s="128"/>
      <c r="G190" s="128"/>
      <c r="H190" s="129"/>
      <c r="I190" s="130"/>
      <c r="J190" s="23"/>
      <c r="K190" s="23"/>
      <c r="L190" s="23"/>
      <c r="M190" s="131"/>
      <c r="N190" s="131"/>
      <c r="O190" s="131"/>
    </row>
    <row r="191" spans="1:15" x14ac:dyDescent="0.3">
      <c r="A191" s="18"/>
      <c r="B191" s="18"/>
      <c r="C191" s="18"/>
      <c r="D191" s="33"/>
      <c r="E191" s="127"/>
      <c r="F191" s="128"/>
      <c r="G191" s="128"/>
      <c r="H191" s="129"/>
      <c r="I191" s="130"/>
      <c r="J191" s="23"/>
      <c r="K191" s="23"/>
      <c r="L191" s="23"/>
      <c r="M191" s="131"/>
      <c r="N191" s="131"/>
      <c r="O191" s="131"/>
    </row>
    <row r="192" spans="1:15" x14ac:dyDescent="0.3">
      <c r="A192" s="18"/>
      <c r="B192" s="18"/>
      <c r="C192" s="18"/>
      <c r="D192" s="33"/>
      <c r="E192" s="127"/>
      <c r="F192" s="128"/>
      <c r="G192" s="128"/>
      <c r="H192" s="129"/>
      <c r="I192" s="130"/>
      <c r="J192" s="23"/>
      <c r="K192" s="23"/>
      <c r="L192" s="23"/>
      <c r="M192" s="131"/>
      <c r="N192" s="131"/>
      <c r="O192" s="131"/>
    </row>
    <row r="193" spans="1:15" x14ac:dyDescent="0.3">
      <c r="A193" s="18"/>
      <c r="B193" s="18"/>
      <c r="C193" s="18"/>
      <c r="D193" s="33"/>
      <c r="E193" s="127"/>
      <c r="F193" s="128"/>
      <c r="G193" s="128"/>
      <c r="H193" s="129"/>
      <c r="I193" s="130"/>
      <c r="J193" s="23"/>
      <c r="K193" s="23"/>
      <c r="L193" s="23"/>
      <c r="M193" s="131"/>
      <c r="N193" s="131"/>
      <c r="O193" s="131"/>
    </row>
    <row r="194" spans="1:15" x14ac:dyDescent="0.3">
      <c r="A194" s="18"/>
      <c r="B194" s="18"/>
      <c r="C194" s="18"/>
      <c r="D194" s="33"/>
      <c r="E194" s="127"/>
      <c r="F194" s="128"/>
      <c r="G194" s="128"/>
      <c r="H194" s="129"/>
      <c r="I194" s="130"/>
      <c r="J194" s="23"/>
      <c r="K194" s="23"/>
      <c r="L194" s="23"/>
      <c r="M194" s="131"/>
      <c r="N194" s="131"/>
      <c r="O194" s="131"/>
    </row>
    <row r="195" spans="1:15" x14ac:dyDescent="0.3">
      <c r="A195" s="18"/>
      <c r="B195" s="18"/>
      <c r="C195" s="18"/>
      <c r="D195" s="33"/>
      <c r="E195" s="127"/>
      <c r="F195" s="128"/>
      <c r="G195" s="128"/>
      <c r="H195" s="129"/>
      <c r="I195" s="130"/>
      <c r="J195" s="23"/>
      <c r="K195" s="23"/>
      <c r="L195" s="23"/>
      <c r="M195" s="131"/>
      <c r="N195" s="131"/>
      <c r="O195" s="131"/>
    </row>
    <row r="196" spans="1:15" x14ac:dyDescent="0.3">
      <c r="A196" s="18"/>
      <c r="B196" s="18"/>
      <c r="C196" s="18"/>
      <c r="D196" s="33"/>
      <c r="E196" s="127"/>
      <c r="F196" s="128"/>
      <c r="G196" s="128"/>
      <c r="H196" s="129"/>
      <c r="I196" s="130"/>
      <c r="J196" s="23"/>
      <c r="K196" s="23"/>
      <c r="L196" s="23"/>
      <c r="M196" s="131"/>
      <c r="N196" s="131"/>
      <c r="O196" s="131"/>
    </row>
    <row r="197" spans="1:15" x14ac:dyDescent="0.3">
      <c r="A197" s="18"/>
      <c r="B197" s="18"/>
      <c r="C197" s="18"/>
      <c r="D197" s="33"/>
      <c r="E197" s="127"/>
      <c r="F197" s="128"/>
      <c r="G197" s="128"/>
      <c r="H197" s="129"/>
      <c r="I197" s="130"/>
      <c r="J197" s="23"/>
      <c r="K197" s="23"/>
      <c r="L197" s="23"/>
      <c r="M197" s="131"/>
      <c r="N197" s="131"/>
      <c r="O197" s="131"/>
    </row>
    <row r="198" spans="1:15" x14ac:dyDescent="0.3">
      <c r="A198" s="18"/>
      <c r="B198" s="18"/>
      <c r="C198" s="18"/>
      <c r="D198" s="33"/>
      <c r="E198" s="127"/>
      <c r="F198" s="128"/>
      <c r="G198" s="128"/>
      <c r="H198" s="129"/>
      <c r="I198" s="130"/>
      <c r="J198" s="23"/>
      <c r="K198" s="23"/>
      <c r="L198" s="23"/>
      <c r="M198" s="131"/>
      <c r="N198" s="131"/>
      <c r="O198" s="131"/>
    </row>
    <row r="199" spans="1:15" x14ac:dyDescent="0.3">
      <c r="A199" s="18"/>
      <c r="B199" s="18"/>
      <c r="C199" s="18"/>
      <c r="D199" s="33"/>
      <c r="E199" s="127"/>
      <c r="F199" s="128"/>
      <c r="G199" s="128"/>
      <c r="H199" s="129"/>
      <c r="I199" s="130"/>
      <c r="J199" s="23"/>
      <c r="K199" s="23"/>
      <c r="L199" s="23"/>
      <c r="M199" s="131"/>
      <c r="N199" s="131"/>
      <c r="O199" s="131"/>
    </row>
    <row r="200" spans="1:15" x14ac:dyDescent="0.3">
      <c r="A200" s="18"/>
      <c r="B200" s="18"/>
      <c r="C200" s="18"/>
      <c r="D200" s="33"/>
      <c r="E200" s="127"/>
      <c r="F200" s="128"/>
      <c r="G200" s="128"/>
      <c r="H200" s="129"/>
      <c r="I200" s="130"/>
      <c r="J200" s="23"/>
      <c r="K200" s="23"/>
      <c r="L200" s="23"/>
      <c r="M200" s="131"/>
      <c r="N200" s="131"/>
      <c r="O200" s="131"/>
    </row>
    <row r="201" spans="1:15" x14ac:dyDescent="0.3">
      <c r="A201" s="18"/>
      <c r="B201" s="18"/>
      <c r="C201" s="18"/>
      <c r="D201" s="33"/>
      <c r="E201" s="127"/>
      <c r="F201" s="128"/>
      <c r="G201" s="128"/>
      <c r="H201" s="129"/>
      <c r="I201" s="130"/>
      <c r="J201" s="23"/>
      <c r="K201" s="23"/>
      <c r="L201" s="23"/>
      <c r="M201" s="131"/>
      <c r="N201" s="131"/>
      <c r="O201" s="131"/>
    </row>
    <row r="202" spans="1:15" x14ac:dyDescent="0.3">
      <c r="A202" s="18"/>
      <c r="B202" s="18"/>
      <c r="C202" s="18"/>
      <c r="D202" s="33"/>
      <c r="E202" s="127"/>
      <c r="F202" s="128"/>
      <c r="G202" s="128"/>
      <c r="H202" s="129"/>
      <c r="I202" s="130"/>
      <c r="J202" s="23"/>
      <c r="K202" s="23"/>
      <c r="L202" s="23"/>
      <c r="M202" s="131"/>
      <c r="N202" s="131"/>
      <c r="O202" s="131"/>
    </row>
    <row r="203" spans="1:15" x14ac:dyDescent="0.3">
      <c r="A203" s="18"/>
      <c r="B203" s="18"/>
      <c r="C203" s="18"/>
      <c r="D203" s="33"/>
      <c r="E203" s="127"/>
      <c r="F203" s="128"/>
      <c r="G203" s="128"/>
      <c r="H203" s="129"/>
      <c r="I203" s="130"/>
      <c r="J203" s="23"/>
      <c r="K203" s="23"/>
      <c r="L203" s="23"/>
      <c r="M203" s="131"/>
      <c r="N203" s="131"/>
      <c r="O203" s="131"/>
    </row>
    <row r="204" spans="1:15" x14ac:dyDescent="0.3">
      <c r="A204" s="18"/>
      <c r="B204" s="18"/>
      <c r="C204" s="18"/>
      <c r="D204" s="33"/>
      <c r="E204" s="127"/>
      <c r="F204" s="128"/>
      <c r="G204" s="128"/>
      <c r="H204" s="129"/>
      <c r="I204" s="130"/>
      <c r="J204" s="23"/>
      <c r="K204" s="23"/>
      <c r="L204" s="23"/>
      <c r="M204" s="131"/>
      <c r="N204" s="131"/>
      <c r="O204" s="131"/>
    </row>
    <row r="205" spans="1:15" x14ac:dyDescent="0.3">
      <c r="A205" s="18"/>
      <c r="B205" s="18"/>
      <c r="C205" s="18"/>
      <c r="D205" s="33"/>
      <c r="E205" s="127"/>
      <c r="F205" s="128"/>
      <c r="G205" s="128"/>
      <c r="H205" s="129"/>
      <c r="I205" s="130"/>
      <c r="J205" s="23"/>
      <c r="K205" s="23"/>
      <c r="L205" s="23"/>
      <c r="M205" s="131"/>
      <c r="N205" s="131"/>
      <c r="O205" s="131"/>
    </row>
    <row r="206" spans="1:15" x14ac:dyDescent="0.3">
      <c r="A206" s="18"/>
      <c r="B206" s="18"/>
      <c r="C206" s="18"/>
      <c r="D206" s="33"/>
      <c r="E206" s="127"/>
      <c r="F206" s="128"/>
      <c r="G206" s="128"/>
      <c r="H206" s="129"/>
      <c r="I206" s="130"/>
      <c r="J206" s="23"/>
      <c r="K206" s="23"/>
      <c r="L206" s="23"/>
      <c r="M206" s="131"/>
      <c r="N206" s="131"/>
      <c r="O206" s="131"/>
    </row>
    <row r="207" spans="1:15" x14ac:dyDescent="0.3">
      <c r="A207" s="18"/>
      <c r="B207" s="18"/>
      <c r="C207" s="18"/>
      <c r="D207" s="33"/>
      <c r="E207" s="127"/>
      <c r="F207" s="128"/>
      <c r="G207" s="128"/>
      <c r="H207" s="129"/>
      <c r="I207" s="130"/>
      <c r="J207" s="23"/>
      <c r="K207" s="23"/>
      <c r="L207" s="23"/>
      <c r="M207" s="131"/>
      <c r="N207" s="131"/>
      <c r="O207" s="131"/>
    </row>
    <row r="208" spans="1:15" x14ac:dyDescent="0.3">
      <c r="A208" s="18"/>
      <c r="B208" s="18"/>
      <c r="C208" s="18"/>
      <c r="D208" s="33"/>
      <c r="E208" s="127"/>
      <c r="F208" s="128"/>
      <c r="G208" s="128"/>
      <c r="H208" s="129"/>
      <c r="I208" s="130"/>
      <c r="J208" s="23"/>
      <c r="K208" s="23"/>
      <c r="L208" s="23"/>
      <c r="M208" s="131"/>
      <c r="N208" s="131"/>
      <c r="O208" s="131"/>
    </row>
    <row r="209" spans="1:15" x14ac:dyDescent="0.3">
      <c r="A209" s="18"/>
      <c r="B209" s="18"/>
      <c r="C209" s="18"/>
      <c r="D209" s="33"/>
      <c r="E209" s="127"/>
      <c r="F209" s="128"/>
      <c r="G209" s="128"/>
      <c r="H209" s="129"/>
      <c r="I209" s="130"/>
      <c r="J209" s="23"/>
      <c r="K209" s="23"/>
      <c r="L209" s="23"/>
      <c r="M209" s="131"/>
      <c r="N209" s="131"/>
      <c r="O209" s="131"/>
    </row>
    <row r="210" spans="1:15" x14ac:dyDescent="0.3">
      <c r="A210" s="18"/>
      <c r="B210" s="18"/>
      <c r="C210" s="18"/>
      <c r="D210" s="33"/>
      <c r="E210" s="127"/>
      <c r="F210" s="128"/>
      <c r="G210" s="128"/>
      <c r="H210" s="129"/>
      <c r="I210" s="130"/>
      <c r="J210" s="23"/>
      <c r="K210" s="23"/>
      <c r="L210" s="23"/>
      <c r="M210" s="131"/>
      <c r="N210" s="131"/>
      <c r="O210" s="131"/>
    </row>
    <row r="211" spans="1:15" x14ac:dyDescent="0.3">
      <c r="A211" s="18"/>
      <c r="B211" s="18"/>
      <c r="C211" s="18"/>
      <c r="D211" s="33"/>
      <c r="E211" s="127"/>
      <c r="F211" s="128"/>
      <c r="G211" s="128"/>
      <c r="H211" s="129"/>
      <c r="I211" s="130"/>
      <c r="J211" s="23"/>
      <c r="K211" s="23"/>
      <c r="L211" s="23"/>
      <c r="M211" s="131"/>
      <c r="N211" s="131"/>
      <c r="O211" s="131"/>
    </row>
    <row r="212" spans="1:15" x14ac:dyDescent="0.3">
      <c r="A212" s="18"/>
      <c r="B212" s="18"/>
      <c r="C212" s="18"/>
      <c r="D212" s="33"/>
      <c r="E212" s="127"/>
      <c r="F212" s="128"/>
      <c r="G212" s="128"/>
      <c r="H212" s="129"/>
      <c r="I212" s="130"/>
      <c r="J212" s="23"/>
      <c r="K212" s="23"/>
      <c r="L212" s="23"/>
      <c r="M212" s="131"/>
      <c r="N212" s="131"/>
      <c r="O212" s="131"/>
    </row>
    <row r="213" spans="1:15" x14ac:dyDescent="0.3">
      <c r="A213" s="18"/>
      <c r="B213" s="18"/>
      <c r="C213" s="18"/>
      <c r="D213" s="33"/>
      <c r="E213" s="127"/>
      <c r="F213" s="128"/>
      <c r="G213" s="128"/>
      <c r="H213" s="129"/>
      <c r="I213" s="130"/>
      <c r="J213" s="23"/>
      <c r="K213" s="23"/>
      <c r="L213" s="23"/>
      <c r="M213" s="131"/>
      <c r="N213" s="131"/>
      <c r="O213" s="131"/>
    </row>
    <row r="214" spans="1:15" x14ac:dyDescent="0.3">
      <c r="A214" s="18"/>
      <c r="B214" s="18"/>
      <c r="C214" s="18"/>
      <c r="D214" s="33"/>
      <c r="E214" s="127"/>
      <c r="F214" s="128"/>
      <c r="G214" s="128"/>
      <c r="H214" s="129"/>
      <c r="I214" s="130"/>
      <c r="J214" s="23"/>
      <c r="K214" s="23"/>
      <c r="L214" s="23"/>
      <c r="M214" s="131"/>
      <c r="N214" s="131"/>
      <c r="O214" s="131"/>
    </row>
    <row r="215" spans="1:15" x14ac:dyDescent="0.3">
      <c r="A215" s="18"/>
      <c r="B215" s="18"/>
      <c r="C215" s="18"/>
      <c r="D215" s="33"/>
      <c r="E215" s="127"/>
      <c r="F215" s="128"/>
      <c r="G215" s="128"/>
      <c r="H215" s="129"/>
      <c r="I215" s="130"/>
      <c r="J215" s="23"/>
      <c r="K215" s="23"/>
      <c r="L215" s="23"/>
      <c r="M215" s="131"/>
      <c r="N215" s="131"/>
      <c r="O215" s="131"/>
    </row>
    <row r="216" spans="1:15" x14ac:dyDescent="0.3">
      <c r="A216" s="18"/>
      <c r="B216" s="18"/>
      <c r="C216" s="18"/>
      <c r="D216" s="33"/>
      <c r="E216" s="127"/>
      <c r="F216" s="128"/>
      <c r="G216" s="128"/>
      <c r="H216" s="129"/>
      <c r="I216" s="130"/>
      <c r="J216" s="23"/>
      <c r="K216" s="23"/>
      <c r="L216" s="23"/>
      <c r="M216" s="131"/>
      <c r="N216" s="131"/>
      <c r="O216" s="131"/>
    </row>
    <row r="217" spans="1:15" x14ac:dyDescent="0.3">
      <c r="A217" s="18"/>
      <c r="B217" s="18"/>
      <c r="C217" s="18"/>
      <c r="D217" s="33"/>
      <c r="E217" s="127"/>
      <c r="F217" s="128"/>
      <c r="G217" s="128"/>
      <c r="H217" s="129"/>
      <c r="I217" s="130"/>
      <c r="J217" s="23"/>
      <c r="K217" s="23"/>
      <c r="L217" s="23"/>
      <c r="M217" s="131"/>
      <c r="N217" s="131"/>
      <c r="O217" s="131"/>
    </row>
    <row r="218" spans="1:15" x14ac:dyDescent="0.3">
      <c r="A218" s="18"/>
      <c r="B218" s="18"/>
      <c r="C218" s="18"/>
      <c r="D218" s="33"/>
      <c r="E218" s="127"/>
      <c r="F218" s="128"/>
      <c r="G218" s="128"/>
      <c r="H218" s="129"/>
      <c r="I218" s="130"/>
      <c r="J218" s="23"/>
      <c r="K218" s="23"/>
      <c r="L218" s="23"/>
      <c r="M218" s="131"/>
      <c r="N218" s="131"/>
      <c r="O218" s="131"/>
    </row>
    <row r="219" spans="1:15" x14ac:dyDescent="0.3">
      <c r="A219" s="18"/>
      <c r="B219" s="18"/>
      <c r="C219" s="18"/>
      <c r="D219" s="33"/>
      <c r="E219" s="127"/>
      <c r="F219" s="128"/>
      <c r="G219" s="128"/>
      <c r="H219" s="129"/>
      <c r="I219" s="130"/>
      <c r="J219" s="23"/>
      <c r="K219" s="23"/>
      <c r="L219" s="23"/>
      <c r="M219" s="131"/>
      <c r="N219" s="131"/>
      <c r="O219" s="131"/>
    </row>
    <row r="220" spans="1:15" x14ac:dyDescent="0.3">
      <c r="A220" s="18"/>
      <c r="B220" s="18"/>
      <c r="C220" s="18"/>
      <c r="D220" s="33"/>
      <c r="E220" s="127"/>
      <c r="F220" s="128"/>
      <c r="G220" s="128"/>
      <c r="H220" s="129"/>
      <c r="I220" s="130"/>
      <c r="J220" s="23"/>
      <c r="K220" s="23"/>
      <c r="L220" s="23"/>
      <c r="M220" s="131"/>
      <c r="N220" s="131"/>
      <c r="O220" s="131"/>
    </row>
    <row r="221" spans="1:15" x14ac:dyDescent="0.3">
      <c r="A221" s="18"/>
      <c r="B221" s="18"/>
      <c r="C221" s="18"/>
      <c r="D221" s="33"/>
      <c r="E221" s="127"/>
      <c r="F221" s="128"/>
      <c r="G221" s="128"/>
      <c r="H221" s="129"/>
      <c r="I221" s="130"/>
      <c r="J221" s="23"/>
      <c r="K221" s="23"/>
      <c r="L221" s="23"/>
      <c r="M221" s="131"/>
      <c r="N221" s="131"/>
      <c r="O221" s="131"/>
    </row>
    <row r="222" spans="1:15" x14ac:dyDescent="0.3">
      <c r="A222" s="18"/>
      <c r="B222" s="18"/>
      <c r="C222" s="18"/>
      <c r="D222" s="33"/>
      <c r="E222" s="127"/>
      <c r="F222" s="128"/>
      <c r="G222" s="128"/>
      <c r="H222" s="129"/>
      <c r="I222" s="130"/>
      <c r="J222" s="23"/>
      <c r="K222" s="23"/>
      <c r="L222" s="23"/>
      <c r="M222" s="131"/>
      <c r="N222" s="131"/>
      <c r="O222" s="131"/>
    </row>
    <row r="223" spans="1:15" x14ac:dyDescent="0.3">
      <c r="A223" s="18"/>
      <c r="B223" s="18"/>
      <c r="C223" s="18"/>
      <c r="D223" s="33"/>
      <c r="E223" s="127"/>
      <c r="F223" s="128"/>
      <c r="G223" s="128"/>
      <c r="H223" s="129"/>
      <c r="I223" s="130"/>
      <c r="J223" s="23"/>
      <c r="K223" s="23"/>
      <c r="L223" s="23"/>
      <c r="M223" s="131"/>
      <c r="N223" s="131"/>
      <c r="O223" s="131"/>
    </row>
    <row r="224" spans="1:15" x14ac:dyDescent="0.3">
      <c r="A224" s="18"/>
      <c r="B224" s="18"/>
      <c r="C224" s="18"/>
      <c r="D224" s="33"/>
      <c r="E224" s="127"/>
      <c r="F224" s="128"/>
      <c r="G224" s="128"/>
      <c r="H224" s="129"/>
      <c r="I224" s="130"/>
      <c r="J224" s="23"/>
      <c r="K224" s="23"/>
      <c r="L224" s="23"/>
      <c r="M224" s="131"/>
      <c r="N224" s="131"/>
      <c r="O224" s="131"/>
    </row>
    <row r="225" spans="1:15" x14ac:dyDescent="0.3">
      <c r="A225" s="18"/>
      <c r="B225" s="18"/>
      <c r="C225" s="18"/>
      <c r="D225" s="33"/>
      <c r="E225" s="127"/>
      <c r="F225" s="128"/>
      <c r="G225" s="128"/>
      <c r="H225" s="129"/>
      <c r="I225" s="130"/>
      <c r="J225" s="23"/>
      <c r="K225" s="23"/>
      <c r="L225" s="23"/>
      <c r="M225" s="131"/>
      <c r="N225" s="131"/>
      <c r="O225" s="131"/>
    </row>
    <row r="226" spans="1:15" x14ac:dyDescent="0.3">
      <c r="A226" s="18"/>
      <c r="B226" s="18"/>
      <c r="C226" s="18"/>
      <c r="D226" s="33"/>
      <c r="E226" s="127"/>
      <c r="F226" s="128"/>
      <c r="G226" s="128"/>
      <c r="H226" s="129"/>
      <c r="I226" s="130"/>
      <c r="J226" s="23"/>
      <c r="K226" s="23"/>
      <c r="L226" s="23"/>
      <c r="M226" s="131"/>
      <c r="N226" s="131"/>
      <c r="O226" s="131"/>
    </row>
    <row r="227" spans="1:15" x14ac:dyDescent="0.3">
      <c r="A227" s="18"/>
      <c r="B227" s="18"/>
      <c r="C227" s="18"/>
      <c r="D227" s="33"/>
      <c r="E227" s="127"/>
      <c r="F227" s="128"/>
      <c r="G227" s="128"/>
      <c r="H227" s="129"/>
      <c r="I227" s="130"/>
      <c r="J227" s="23"/>
      <c r="K227" s="23"/>
      <c r="L227" s="23"/>
      <c r="M227" s="131"/>
      <c r="N227" s="131"/>
      <c r="O227" s="131"/>
    </row>
    <row r="228" spans="1:15" x14ac:dyDescent="0.3">
      <c r="A228" s="18"/>
      <c r="B228" s="18"/>
      <c r="C228" s="18"/>
      <c r="D228" s="33"/>
      <c r="E228" s="127"/>
      <c r="F228" s="128"/>
      <c r="G228" s="128"/>
      <c r="H228" s="129"/>
      <c r="I228" s="130"/>
      <c r="J228" s="23"/>
      <c r="K228" s="23"/>
      <c r="L228" s="23"/>
      <c r="M228" s="131"/>
      <c r="N228" s="131"/>
      <c r="O228" s="131"/>
    </row>
    <row r="229" spans="1:15" x14ac:dyDescent="0.3">
      <c r="A229" s="18"/>
      <c r="B229" s="18"/>
      <c r="C229" s="18"/>
      <c r="D229" s="33"/>
      <c r="E229" s="127"/>
      <c r="F229" s="128"/>
      <c r="G229" s="128"/>
      <c r="H229" s="129"/>
      <c r="I229" s="130"/>
      <c r="J229" s="23"/>
      <c r="K229" s="23"/>
      <c r="L229" s="23"/>
      <c r="M229" s="131"/>
      <c r="N229" s="131"/>
      <c r="O229" s="131"/>
    </row>
    <row r="230" spans="1:15" x14ac:dyDescent="0.3">
      <c r="A230" s="18"/>
      <c r="B230" s="18"/>
      <c r="C230" s="18"/>
      <c r="D230" s="33"/>
      <c r="E230" s="127"/>
      <c r="F230" s="128"/>
      <c r="G230" s="128"/>
      <c r="H230" s="129"/>
      <c r="I230" s="130"/>
      <c r="J230" s="23"/>
      <c r="K230" s="23"/>
      <c r="L230" s="23"/>
      <c r="M230" s="131"/>
      <c r="N230" s="131"/>
      <c r="O230" s="131"/>
    </row>
    <row r="231" spans="1:15" x14ac:dyDescent="0.3">
      <c r="A231" s="18"/>
      <c r="B231" s="18"/>
      <c r="C231" s="18"/>
      <c r="D231" s="33"/>
      <c r="E231" s="127"/>
      <c r="F231" s="128"/>
      <c r="G231" s="128"/>
      <c r="H231" s="129"/>
      <c r="I231" s="130"/>
      <c r="J231" s="23"/>
      <c r="K231" s="23"/>
      <c r="L231" s="23"/>
      <c r="M231" s="131"/>
      <c r="N231" s="131"/>
      <c r="O231" s="131"/>
    </row>
    <row r="232" spans="1:15" x14ac:dyDescent="0.3">
      <c r="A232" s="18"/>
      <c r="B232" s="18"/>
      <c r="C232" s="18"/>
      <c r="D232" s="33"/>
      <c r="E232" s="127"/>
      <c r="F232" s="128"/>
      <c r="G232" s="128"/>
      <c r="H232" s="129"/>
      <c r="I232" s="130"/>
      <c r="J232" s="23"/>
      <c r="K232" s="23"/>
      <c r="L232" s="23"/>
      <c r="M232" s="131"/>
      <c r="N232" s="131"/>
      <c r="O232" s="131"/>
    </row>
    <row r="233" spans="1:15" x14ac:dyDescent="0.3">
      <c r="A233" s="18"/>
      <c r="B233" s="18"/>
      <c r="C233" s="18"/>
      <c r="D233" s="33"/>
      <c r="E233" s="127"/>
      <c r="F233" s="128"/>
      <c r="G233" s="128"/>
      <c r="H233" s="129"/>
      <c r="I233" s="130"/>
      <c r="J233" s="23"/>
      <c r="K233" s="23"/>
      <c r="L233" s="23"/>
      <c r="M233" s="131"/>
      <c r="N233" s="131"/>
      <c r="O233" s="131"/>
    </row>
    <row r="234" spans="1:15" x14ac:dyDescent="0.3">
      <c r="A234" s="18"/>
      <c r="B234" s="18"/>
      <c r="C234" s="18"/>
      <c r="D234" s="33"/>
      <c r="E234" s="127"/>
      <c r="F234" s="128"/>
      <c r="G234" s="128"/>
      <c r="H234" s="129"/>
      <c r="I234" s="130"/>
      <c r="J234" s="23"/>
      <c r="K234" s="23"/>
      <c r="L234" s="23"/>
      <c r="M234" s="131"/>
      <c r="N234" s="131"/>
      <c r="O234" s="131"/>
    </row>
    <row r="235" spans="1:15" x14ac:dyDescent="0.3">
      <c r="A235" s="18"/>
      <c r="B235" s="18"/>
      <c r="C235" s="18"/>
      <c r="D235" s="33"/>
      <c r="E235" s="127"/>
      <c r="F235" s="128"/>
      <c r="G235" s="128"/>
      <c r="H235" s="129"/>
      <c r="I235" s="130"/>
      <c r="J235" s="23"/>
      <c r="K235" s="23"/>
      <c r="L235" s="23"/>
      <c r="M235" s="131"/>
      <c r="N235" s="131"/>
      <c r="O235" s="131"/>
    </row>
    <row r="236" spans="1:15" x14ac:dyDescent="0.3">
      <c r="A236" s="18"/>
      <c r="B236" s="18"/>
      <c r="C236" s="18"/>
      <c r="D236" s="33"/>
      <c r="E236" s="127"/>
      <c r="F236" s="128"/>
      <c r="G236" s="128"/>
      <c r="H236" s="129"/>
      <c r="I236" s="130"/>
      <c r="J236" s="23"/>
      <c r="K236" s="23"/>
      <c r="L236" s="23"/>
      <c r="M236" s="131"/>
      <c r="N236" s="131"/>
      <c r="O236" s="131"/>
    </row>
    <row r="237" spans="1:15" x14ac:dyDescent="0.3">
      <c r="A237" s="18"/>
      <c r="B237" s="18"/>
      <c r="C237" s="18"/>
      <c r="D237" s="33"/>
      <c r="E237" s="127"/>
      <c r="F237" s="128"/>
      <c r="G237" s="128"/>
      <c r="H237" s="129"/>
      <c r="I237" s="130"/>
      <c r="J237" s="23"/>
      <c r="K237" s="23"/>
      <c r="L237" s="23"/>
      <c r="M237" s="131"/>
      <c r="N237" s="131"/>
      <c r="O237" s="131"/>
    </row>
    <row r="238" spans="1:15" x14ac:dyDescent="0.3">
      <c r="A238" s="18"/>
      <c r="B238" s="18"/>
      <c r="C238" s="18"/>
      <c r="D238" s="33"/>
      <c r="E238" s="127"/>
      <c r="F238" s="128"/>
      <c r="G238" s="128"/>
      <c r="H238" s="129"/>
      <c r="I238" s="130"/>
      <c r="J238" s="23"/>
      <c r="K238" s="23"/>
      <c r="L238" s="23"/>
      <c r="M238" s="131"/>
      <c r="N238" s="131"/>
      <c r="O238" s="131"/>
    </row>
    <row r="239" spans="1:15" x14ac:dyDescent="0.3">
      <c r="A239" s="18"/>
      <c r="B239" s="18"/>
      <c r="C239" s="18"/>
      <c r="D239" s="33"/>
      <c r="E239" s="127"/>
      <c r="F239" s="128"/>
      <c r="G239" s="128"/>
      <c r="H239" s="129"/>
      <c r="I239" s="130"/>
      <c r="J239" s="23"/>
      <c r="K239" s="23"/>
      <c r="L239" s="23"/>
      <c r="M239" s="131"/>
      <c r="N239" s="131"/>
      <c r="O239" s="131"/>
    </row>
    <row r="240" spans="1:15" x14ac:dyDescent="0.3">
      <c r="A240" s="18"/>
      <c r="B240" s="18"/>
      <c r="C240" s="18"/>
      <c r="D240" s="33"/>
      <c r="E240" s="127"/>
      <c r="F240" s="128"/>
      <c r="G240" s="128"/>
      <c r="H240" s="129"/>
      <c r="I240" s="130"/>
      <c r="J240" s="23"/>
      <c r="K240" s="23"/>
      <c r="L240" s="23"/>
      <c r="M240" s="131"/>
      <c r="N240" s="131"/>
      <c r="O240" s="131"/>
    </row>
    <row r="241" spans="1:15" x14ac:dyDescent="0.3">
      <c r="A241" s="18"/>
      <c r="B241" s="18"/>
      <c r="C241" s="18"/>
      <c r="D241" s="33"/>
      <c r="E241" s="127"/>
      <c r="F241" s="128"/>
      <c r="G241" s="128"/>
      <c r="H241" s="129"/>
      <c r="I241" s="130"/>
      <c r="J241" s="23"/>
      <c r="K241" s="23"/>
      <c r="L241" s="23"/>
      <c r="M241" s="131"/>
      <c r="N241" s="131"/>
      <c r="O241" s="131"/>
    </row>
    <row r="242" spans="1:15" x14ac:dyDescent="0.3">
      <c r="A242" s="18"/>
      <c r="B242" s="18"/>
      <c r="C242" s="18"/>
      <c r="D242" s="33"/>
      <c r="E242" s="127"/>
      <c r="F242" s="128"/>
      <c r="G242" s="128"/>
      <c r="H242" s="129"/>
      <c r="I242" s="130"/>
      <c r="J242" s="23"/>
      <c r="K242" s="23"/>
      <c r="L242" s="23"/>
      <c r="M242" s="131"/>
      <c r="N242" s="131"/>
      <c r="O242" s="131"/>
    </row>
    <row r="243" spans="1:15" x14ac:dyDescent="0.3">
      <c r="A243" s="18"/>
      <c r="B243" s="18"/>
      <c r="C243" s="18"/>
      <c r="D243" s="33"/>
      <c r="E243" s="127"/>
      <c r="F243" s="128"/>
      <c r="G243" s="128"/>
      <c r="H243" s="129"/>
      <c r="I243" s="130"/>
      <c r="J243" s="23"/>
      <c r="K243" s="23"/>
      <c r="L243" s="23"/>
      <c r="M243" s="131"/>
      <c r="N243" s="131"/>
      <c r="O243" s="131"/>
    </row>
    <row r="244" spans="1:15" x14ac:dyDescent="0.3">
      <c r="A244" s="18"/>
      <c r="B244" s="18"/>
      <c r="C244" s="18"/>
      <c r="D244" s="33"/>
      <c r="E244" s="127"/>
      <c r="F244" s="128"/>
      <c r="G244" s="128"/>
      <c r="H244" s="129"/>
      <c r="I244" s="130"/>
      <c r="J244" s="23"/>
      <c r="K244" s="23"/>
      <c r="L244" s="23"/>
      <c r="M244" s="131"/>
      <c r="N244" s="131"/>
      <c r="O244" s="131"/>
    </row>
    <row r="245" spans="1:15" x14ac:dyDescent="0.3">
      <c r="A245" s="18"/>
      <c r="B245" s="18"/>
      <c r="C245" s="18"/>
      <c r="D245" s="33"/>
      <c r="E245" s="127"/>
      <c r="F245" s="128"/>
      <c r="G245" s="128"/>
      <c r="H245" s="129"/>
      <c r="I245" s="130"/>
      <c r="J245" s="23"/>
      <c r="K245" s="23"/>
      <c r="L245" s="23"/>
      <c r="M245" s="131"/>
      <c r="N245" s="131"/>
      <c r="O245" s="131"/>
    </row>
    <row r="246" spans="1:15" x14ac:dyDescent="0.3">
      <c r="A246" s="18"/>
      <c r="B246" s="18"/>
      <c r="C246" s="18"/>
      <c r="D246" s="33"/>
      <c r="E246" s="127"/>
      <c r="F246" s="128"/>
      <c r="G246" s="128"/>
      <c r="H246" s="129"/>
      <c r="I246" s="130"/>
      <c r="J246" s="23"/>
      <c r="K246" s="23"/>
      <c r="L246" s="23"/>
      <c r="M246" s="131"/>
      <c r="N246" s="131"/>
      <c r="O246" s="131"/>
    </row>
    <row r="247" spans="1:15" x14ac:dyDescent="0.3">
      <c r="A247" s="18"/>
      <c r="B247" s="18"/>
      <c r="C247" s="18"/>
      <c r="D247" s="33"/>
      <c r="E247" s="127"/>
      <c r="F247" s="128"/>
      <c r="G247" s="128"/>
      <c r="H247" s="129"/>
      <c r="I247" s="130"/>
      <c r="J247" s="23"/>
      <c r="K247" s="23"/>
      <c r="L247" s="23"/>
      <c r="M247" s="131"/>
      <c r="N247" s="131"/>
      <c r="O247" s="131"/>
    </row>
    <row r="248" spans="1:15" x14ac:dyDescent="0.3">
      <c r="A248" s="18"/>
      <c r="B248" s="18"/>
      <c r="C248" s="18"/>
      <c r="D248" s="33"/>
      <c r="E248" s="127"/>
      <c r="F248" s="128"/>
      <c r="G248" s="128"/>
      <c r="H248" s="129"/>
      <c r="I248" s="130"/>
      <c r="J248" s="23"/>
      <c r="K248" s="23"/>
      <c r="L248" s="23"/>
      <c r="M248" s="131"/>
      <c r="N248" s="131"/>
      <c r="O248" s="131"/>
    </row>
    <row r="249" spans="1:15" x14ac:dyDescent="0.3">
      <c r="A249" s="18"/>
      <c r="B249" s="18"/>
      <c r="C249" s="18"/>
      <c r="D249" s="33"/>
      <c r="E249" s="127"/>
      <c r="F249" s="128"/>
      <c r="G249" s="128"/>
      <c r="H249" s="129"/>
      <c r="I249" s="130"/>
      <c r="J249" s="23"/>
      <c r="K249" s="23"/>
      <c r="L249" s="23"/>
      <c r="M249" s="131"/>
      <c r="N249" s="131"/>
      <c r="O249" s="131"/>
    </row>
    <row r="250" spans="1:15" x14ac:dyDescent="0.3">
      <c r="A250" s="18"/>
      <c r="B250" s="18"/>
      <c r="C250" s="18"/>
      <c r="D250" s="33"/>
      <c r="E250" s="127"/>
      <c r="F250" s="128"/>
      <c r="G250" s="128"/>
      <c r="H250" s="129"/>
      <c r="I250" s="130"/>
      <c r="J250" s="23"/>
      <c r="K250" s="23"/>
      <c r="L250" s="23"/>
      <c r="M250" s="131"/>
      <c r="N250" s="131"/>
      <c r="O250" s="131"/>
    </row>
    <row r="251" spans="1:15" x14ac:dyDescent="0.3">
      <c r="A251" s="18"/>
      <c r="B251" s="18"/>
      <c r="C251" s="18"/>
      <c r="D251" s="33"/>
      <c r="E251" s="127"/>
      <c r="F251" s="128"/>
      <c r="G251" s="128"/>
      <c r="H251" s="129"/>
      <c r="I251" s="130"/>
      <c r="J251" s="23"/>
      <c r="K251" s="23"/>
      <c r="L251" s="23"/>
      <c r="M251" s="131"/>
      <c r="N251" s="131"/>
      <c r="O251" s="131"/>
    </row>
    <row r="252" spans="1:15" x14ac:dyDescent="0.3">
      <c r="A252" s="18"/>
      <c r="B252" s="18"/>
      <c r="C252" s="18"/>
      <c r="D252" s="33"/>
      <c r="E252" s="127"/>
      <c r="F252" s="128"/>
      <c r="G252" s="128"/>
      <c r="H252" s="129"/>
      <c r="I252" s="130"/>
      <c r="J252" s="23"/>
      <c r="K252" s="23"/>
      <c r="L252" s="23"/>
      <c r="M252" s="131"/>
      <c r="N252" s="131"/>
      <c r="O252" s="131"/>
    </row>
    <row r="253" spans="1:15" x14ac:dyDescent="0.3">
      <c r="A253" s="18"/>
      <c r="B253" s="18"/>
      <c r="C253" s="18"/>
      <c r="D253" s="33"/>
      <c r="E253" s="127"/>
      <c r="F253" s="128"/>
      <c r="G253" s="128"/>
      <c r="H253" s="129"/>
      <c r="I253" s="130"/>
      <c r="J253" s="23"/>
      <c r="K253" s="23"/>
      <c r="L253" s="23"/>
      <c r="M253" s="131"/>
      <c r="N253" s="131"/>
      <c r="O253" s="131"/>
    </row>
    <row r="254" spans="1:15" x14ac:dyDescent="0.3">
      <c r="A254" s="18"/>
      <c r="B254" s="18"/>
      <c r="C254" s="18"/>
      <c r="D254" s="33"/>
      <c r="E254" s="127"/>
      <c r="F254" s="128"/>
      <c r="G254" s="128"/>
      <c r="H254" s="129"/>
      <c r="I254" s="130"/>
      <c r="J254" s="23"/>
      <c r="K254" s="23"/>
      <c r="L254" s="23"/>
      <c r="M254" s="131"/>
      <c r="N254" s="131"/>
      <c r="O254" s="131"/>
    </row>
    <row r="255" spans="1:15" x14ac:dyDescent="0.3">
      <c r="A255" s="18"/>
      <c r="B255" s="18"/>
      <c r="C255" s="18"/>
      <c r="D255" s="33"/>
      <c r="E255" s="127"/>
      <c r="F255" s="128"/>
      <c r="G255" s="128"/>
      <c r="H255" s="129"/>
      <c r="I255" s="130"/>
      <c r="J255" s="23"/>
      <c r="K255" s="23"/>
      <c r="L255" s="23"/>
      <c r="M255" s="131"/>
      <c r="N255" s="131"/>
      <c r="O255" s="131"/>
    </row>
    <row r="256" spans="1:15" x14ac:dyDescent="0.3">
      <c r="A256" s="18"/>
      <c r="B256" s="18"/>
      <c r="C256" s="18"/>
      <c r="D256" s="33"/>
      <c r="E256" s="127"/>
      <c r="F256" s="128"/>
      <c r="G256" s="128"/>
      <c r="H256" s="129"/>
      <c r="I256" s="130"/>
      <c r="J256" s="23"/>
      <c r="K256" s="23"/>
      <c r="L256" s="23"/>
      <c r="M256" s="131"/>
      <c r="N256" s="131"/>
      <c r="O256" s="131"/>
    </row>
    <row r="257" spans="1:15" x14ac:dyDescent="0.3">
      <c r="A257" s="18"/>
      <c r="B257" s="18"/>
      <c r="C257" s="18"/>
      <c r="D257" s="33"/>
      <c r="E257" s="127"/>
      <c r="F257" s="128"/>
      <c r="G257" s="128"/>
      <c r="H257" s="129"/>
      <c r="I257" s="130"/>
      <c r="J257" s="23"/>
      <c r="K257" s="23"/>
      <c r="L257" s="23"/>
      <c r="M257" s="131"/>
      <c r="N257" s="131"/>
      <c r="O257" s="131"/>
    </row>
    <row r="258" spans="1:15" x14ac:dyDescent="0.3">
      <c r="A258" s="18"/>
      <c r="B258" s="18"/>
      <c r="C258" s="18"/>
      <c r="D258" s="33"/>
      <c r="E258" s="127"/>
      <c r="F258" s="128"/>
      <c r="G258" s="128"/>
      <c r="H258" s="129"/>
      <c r="I258" s="130"/>
      <c r="J258" s="23"/>
      <c r="K258" s="23"/>
      <c r="L258" s="23"/>
      <c r="M258" s="131"/>
      <c r="N258" s="131"/>
      <c r="O258" s="131"/>
    </row>
    <row r="259" spans="1:15" x14ac:dyDescent="0.3">
      <c r="A259" s="18"/>
      <c r="B259" s="18"/>
      <c r="C259" s="18"/>
      <c r="D259" s="33"/>
      <c r="E259" s="127"/>
      <c r="F259" s="128"/>
      <c r="G259" s="128"/>
      <c r="H259" s="129"/>
      <c r="I259" s="130"/>
      <c r="J259" s="23"/>
      <c r="K259" s="23"/>
      <c r="L259" s="23"/>
      <c r="M259" s="131"/>
      <c r="N259" s="131"/>
      <c r="O259" s="131"/>
    </row>
    <row r="260" spans="1:15" x14ac:dyDescent="0.3">
      <c r="A260" s="18"/>
      <c r="B260" s="18"/>
      <c r="C260" s="18"/>
      <c r="D260" s="33"/>
      <c r="E260" s="127"/>
      <c r="F260" s="128"/>
      <c r="G260" s="128"/>
      <c r="H260" s="129"/>
      <c r="I260" s="130"/>
      <c r="J260" s="23"/>
      <c r="K260" s="23"/>
      <c r="L260" s="23"/>
      <c r="M260" s="131"/>
      <c r="N260" s="131"/>
      <c r="O260" s="131"/>
    </row>
    <row r="261" spans="1:15" x14ac:dyDescent="0.3">
      <c r="A261" s="18"/>
      <c r="B261" s="18"/>
      <c r="C261" s="18"/>
      <c r="D261" s="33"/>
      <c r="E261" s="127"/>
      <c r="F261" s="128"/>
      <c r="G261" s="128"/>
      <c r="H261" s="129"/>
      <c r="I261" s="130"/>
      <c r="J261" s="23"/>
      <c r="K261" s="23"/>
      <c r="L261" s="23"/>
      <c r="M261" s="131"/>
      <c r="N261" s="131"/>
      <c r="O261" s="131"/>
    </row>
    <row r="262" spans="1:15" x14ac:dyDescent="0.3">
      <c r="A262" s="18"/>
      <c r="B262" s="18"/>
      <c r="C262" s="18"/>
      <c r="D262" s="33"/>
      <c r="E262" s="127"/>
      <c r="F262" s="128"/>
      <c r="G262" s="128"/>
      <c r="H262" s="129"/>
      <c r="I262" s="130"/>
      <c r="J262" s="23"/>
      <c r="K262" s="23"/>
      <c r="L262" s="23"/>
      <c r="M262" s="131"/>
      <c r="N262" s="131"/>
      <c r="O262" s="131"/>
    </row>
    <row r="263" spans="1:15" x14ac:dyDescent="0.3">
      <c r="A263" s="18"/>
      <c r="B263" s="18"/>
      <c r="C263" s="18"/>
      <c r="D263" s="33"/>
      <c r="E263" s="127"/>
      <c r="F263" s="128"/>
      <c r="G263" s="128"/>
      <c r="H263" s="129"/>
      <c r="I263" s="130"/>
      <c r="J263" s="23"/>
      <c r="K263" s="23"/>
      <c r="L263" s="23"/>
      <c r="M263" s="131"/>
      <c r="N263" s="131"/>
      <c r="O263" s="131"/>
    </row>
    <row r="264" spans="1:15" x14ac:dyDescent="0.3">
      <c r="A264" s="18"/>
      <c r="B264" s="18"/>
      <c r="C264" s="18"/>
      <c r="D264" s="33"/>
      <c r="E264" s="127"/>
      <c r="F264" s="128"/>
      <c r="G264" s="128"/>
      <c r="H264" s="129"/>
      <c r="I264" s="130"/>
      <c r="J264" s="23"/>
      <c r="K264" s="23"/>
      <c r="L264" s="23"/>
      <c r="M264" s="131"/>
      <c r="N264" s="131"/>
      <c r="O264" s="131"/>
    </row>
    <row r="265" spans="1:15" x14ac:dyDescent="0.3">
      <c r="A265" s="18"/>
      <c r="B265" s="18"/>
      <c r="C265" s="18"/>
      <c r="D265" s="33"/>
      <c r="E265" s="127"/>
      <c r="F265" s="128"/>
      <c r="G265" s="128"/>
      <c r="H265" s="129"/>
      <c r="I265" s="130"/>
      <c r="J265" s="23"/>
      <c r="K265" s="23"/>
      <c r="L265" s="23"/>
      <c r="M265" s="131"/>
      <c r="N265" s="131"/>
      <c r="O265" s="131"/>
    </row>
    <row r="266" spans="1:15" x14ac:dyDescent="0.3">
      <c r="A266" s="18"/>
      <c r="B266" s="18"/>
      <c r="C266" s="18"/>
      <c r="D266" s="33"/>
      <c r="E266" s="127"/>
      <c r="F266" s="128"/>
      <c r="G266" s="128"/>
      <c r="H266" s="129"/>
      <c r="I266" s="130"/>
      <c r="J266" s="23"/>
      <c r="K266" s="23"/>
      <c r="L266" s="23"/>
      <c r="M266" s="131"/>
      <c r="N266" s="131"/>
      <c r="O266" s="131"/>
    </row>
    <row r="267" spans="1:15" x14ac:dyDescent="0.3">
      <c r="A267" s="18"/>
      <c r="B267" s="18"/>
      <c r="C267" s="18"/>
      <c r="D267" s="33"/>
      <c r="E267" s="127"/>
      <c r="F267" s="128"/>
      <c r="G267" s="128"/>
      <c r="H267" s="129"/>
      <c r="I267" s="130"/>
      <c r="J267" s="23"/>
      <c r="K267" s="23"/>
      <c r="L267" s="23"/>
      <c r="M267" s="131"/>
      <c r="N267" s="131"/>
      <c r="O267" s="131"/>
    </row>
    <row r="268" spans="1:15" x14ac:dyDescent="0.3">
      <c r="A268" s="18"/>
      <c r="B268" s="18"/>
      <c r="C268" s="18"/>
      <c r="D268" s="33"/>
      <c r="E268" s="127"/>
      <c r="F268" s="128"/>
      <c r="G268" s="128"/>
      <c r="H268" s="129"/>
      <c r="I268" s="130"/>
      <c r="J268" s="23"/>
      <c r="K268" s="23"/>
      <c r="L268" s="23"/>
      <c r="M268" s="131"/>
      <c r="N268" s="131"/>
      <c r="O268" s="131"/>
    </row>
    <row r="269" spans="1:15" x14ac:dyDescent="0.3">
      <c r="A269" s="18"/>
      <c r="B269" s="18"/>
      <c r="C269" s="18"/>
      <c r="D269" s="33"/>
      <c r="E269" s="127"/>
      <c r="F269" s="128"/>
      <c r="G269" s="128"/>
      <c r="H269" s="129"/>
      <c r="I269" s="130"/>
      <c r="J269" s="23"/>
      <c r="K269" s="23"/>
      <c r="L269" s="23"/>
      <c r="M269" s="131"/>
      <c r="N269" s="131"/>
      <c r="O269" s="131"/>
    </row>
    <row r="270" spans="1:15" x14ac:dyDescent="0.3">
      <c r="A270" s="18"/>
      <c r="B270" s="18"/>
      <c r="C270" s="18"/>
      <c r="D270" s="33"/>
      <c r="E270" s="127"/>
      <c r="F270" s="128"/>
      <c r="G270" s="128"/>
      <c r="H270" s="129"/>
      <c r="I270" s="130"/>
      <c r="J270" s="23"/>
      <c r="K270" s="23"/>
      <c r="L270" s="23"/>
      <c r="M270" s="131"/>
      <c r="N270" s="131"/>
      <c r="O270" s="131"/>
    </row>
    <row r="271" spans="1:15" x14ac:dyDescent="0.3">
      <c r="A271" s="18"/>
      <c r="B271" s="18"/>
      <c r="C271" s="18"/>
      <c r="D271" s="33"/>
      <c r="E271" s="127"/>
      <c r="F271" s="128"/>
      <c r="G271" s="128"/>
      <c r="H271" s="129"/>
      <c r="I271" s="130"/>
      <c r="J271" s="23"/>
      <c r="K271" s="23"/>
      <c r="L271" s="23"/>
      <c r="M271" s="131"/>
      <c r="N271" s="131"/>
      <c r="O271" s="131"/>
    </row>
    <row r="272" spans="1:15" x14ac:dyDescent="0.3">
      <c r="A272" s="18"/>
      <c r="B272" s="18"/>
      <c r="C272" s="18"/>
      <c r="D272" s="33"/>
      <c r="E272" s="127"/>
      <c r="F272" s="128"/>
      <c r="G272" s="128"/>
      <c r="H272" s="129"/>
      <c r="I272" s="130"/>
      <c r="J272" s="23"/>
      <c r="K272" s="23"/>
      <c r="L272" s="23"/>
      <c r="M272" s="131"/>
      <c r="N272" s="131"/>
      <c r="O272" s="131"/>
    </row>
    <row r="273" spans="1:15" x14ac:dyDescent="0.3">
      <c r="A273" s="18"/>
      <c r="B273" s="18"/>
      <c r="C273" s="18"/>
      <c r="D273" s="33"/>
      <c r="E273" s="127"/>
      <c r="F273" s="128"/>
      <c r="G273" s="128"/>
      <c r="H273" s="129"/>
      <c r="I273" s="130"/>
      <c r="J273" s="23"/>
      <c r="K273" s="23"/>
      <c r="L273" s="23"/>
      <c r="M273" s="131"/>
      <c r="N273" s="131"/>
      <c r="O273" s="131"/>
    </row>
    <row r="274" spans="1:15" x14ac:dyDescent="0.3">
      <c r="A274" s="18"/>
      <c r="B274" s="18"/>
      <c r="C274" s="18"/>
      <c r="D274" s="33"/>
      <c r="E274" s="127"/>
      <c r="F274" s="128"/>
      <c r="G274" s="128"/>
      <c r="H274" s="129"/>
      <c r="I274" s="130"/>
      <c r="J274" s="23"/>
      <c r="K274" s="23"/>
      <c r="L274" s="23"/>
      <c r="M274" s="131"/>
      <c r="N274" s="131"/>
      <c r="O274" s="131"/>
    </row>
    <row r="275" spans="1:15" x14ac:dyDescent="0.3">
      <c r="A275" s="18"/>
      <c r="B275" s="18"/>
      <c r="C275" s="18"/>
      <c r="D275" s="33"/>
      <c r="E275" s="127"/>
      <c r="F275" s="128"/>
      <c r="G275" s="128"/>
      <c r="H275" s="129"/>
      <c r="I275" s="130"/>
      <c r="J275" s="23"/>
      <c r="K275" s="23"/>
      <c r="L275" s="23"/>
      <c r="M275" s="131"/>
      <c r="N275" s="131"/>
      <c r="O275" s="131"/>
    </row>
    <row r="276" spans="1:15" x14ac:dyDescent="0.3">
      <c r="A276" s="18"/>
      <c r="B276" s="18"/>
      <c r="C276" s="18"/>
      <c r="D276" s="33"/>
      <c r="E276" s="127"/>
      <c r="F276" s="128"/>
      <c r="G276" s="128"/>
      <c r="H276" s="129"/>
      <c r="I276" s="130"/>
      <c r="J276" s="23"/>
      <c r="K276" s="23"/>
      <c r="L276" s="23"/>
      <c r="M276" s="131"/>
      <c r="N276" s="131"/>
      <c r="O276" s="131"/>
    </row>
    <row r="277" spans="1:15" x14ac:dyDescent="0.3">
      <c r="A277" s="18"/>
      <c r="B277" s="18"/>
      <c r="C277" s="18"/>
      <c r="D277" s="33"/>
      <c r="E277" s="127"/>
      <c r="F277" s="128"/>
      <c r="G277" s="128"/>
      <c r="H277" s="129"/>
      <c r="I277" s="130"/>
      <c r="J277" s="23"/>
      <c r="K277" s="23"/>
      <c r="L277" s="23"/>
      <c r="M277" s="131"/>
      <c r="N277" s="131"/>
      <c r="O277" s="131"/>
    </row>
    <row r="278" spans="1:15" x14ac:dyDescent="0.3">
      <c r="A278" s="18"/>
      <c r="B278" s="18"/>
      <c r="C278" s="18"/>
      <c r="D278" s="33"/>
      <c r="E278" s="127"/>
      <c r="F278" s="128"/>
      <c r="G278" s="128"/>
      <c r="H278" s="129"/>
      <c r="I278" s="130"/>
      <c r="J278" s="23"/>
      <c r="K278" s="23"/>
      <c r="L278" s="23"/>
      <c r="M278" s="131"/>
      <c r="N278" s="131"/>
      <c r="O278" s="131"/>
    </row>
    <row r="279" spans="1:15" x14ac:dyDescent="0.3">
      <c r="A279" s="18"/>
      <c r="B279" s="18"/>
      <c r="C279" s="18"/>
      <c r="D279" s="33"/>
      <c r="E279" s="127"/>
      <c r="F279" s="128"/>
      <c r="G279" s="128"/>
      <c r="H279" s="129"/>
      <c r="I279" s="130"/>
      <c r="J279" s="23"/>
      <c r="K279" s="23"/>
      <c r="L279" s="23"/>
      <c r="M279" s="131"/>
      <c r="N279" s="131"/>
      <c r="O279" s="131"/>
    </row>
    <row r="280" spans="1:15" x14ac:dyDescent="0.3">
      <c r="A280" s="18"/>
      <c r="B280" s="18"/>
      <c r="C280" s="18"/>
      <c r="D280" s="33"/>
      <c r="E280" s="127"/>
      <c r="F280" s="128"/>
      <c r="G280" s="128"/>
      <c r="H280" s="129"/>
      <c r="I280" s="130"/>
      <c r="J280" s="23"/>
      <c r="K280" s="23"/>
      <c r="L280" s="23"/>
      <c r="M280" s="131"/>
      <c r="N280" s="131"/>
      <c r="O280" s="131"/>
    </row>
    <row r="281" spans="1:15" x14ac:dyDescent="0.3">
      <c r="A281" s="18"/>
      <c r="B281" s="18"/>
      <c r="C281" s="18"/>
      <c r="D281" s="33"/>
      <c r="E281" s="127"/>
      <c r="F281" s="128"/>
      <c r="G281" s="128"/>
      <c r="H281" s="129"/>
      <c r="I281" s="130"/>
      <c r="J281" s="23"/>
      <c r="K281" s="23"/>
      <c r="L281" s="23"/>
      <c r="M281" s="131"/>
      <c r="N281" s="131"/>
      <c r="O281" s="131"/>
    </row>
    <row r="282" spans="1:15" x14ac:dyDescent="0.3">
      <c r="A282" s="18"/>
      <c r="B282" s="18"/>
      <c r="C282" s="18"/>
      <c r="D282" s="33"/>
      <c r="E282" s="127"/>
      <c r="F282" s="128"/>
      <c r="G282" s="128"/>
      <c r="H282" s="129"/>
      <c r="I282" s="130"/>
      <c r="J282" s="23"/>
      <c r="K282" s="23"/>
      <c r="L282" s="23"/>
      <c r="M282" s="131"/>
      <c r="N282" s="131"/>
      <c r="O282" s="131"/>
    </row>
    <row r="283" spans="1:15" x14ac:dyDescent="0.3">
      <c r="A283" s="18"/>
      <c r="B283" s="18"/>
      <c r="C283" s="18"/>
      <c r="D283" s="33"/>
      <c r="E283" s="127"/>
      <c r="F283" s="128"/>
      <c r="G283" s="128"/>
      <c r="H283" s="129"/>
      <c r="I283" s="130"/>
      <c r="J283" s="23"/>
      <c r="K283" s="23"/>
      <c r="L283" s="23"/>
      <c r="M283" s="131"/>
      <c r="N283" s="131"/>
      <c r="O283" s="131"/>
    </row>
    <row r="284" spans="1:15" x14ac:dyDescent="0.3">
      <c r="A284" s="18"/>
      <c r="B284" s="18"/>
      <c r="C284" s="18"/>
      <c r="D284" s="33"/>
      <c r="E284" s="127"/>
      <c r="F284" s="128"/>
      <c r="G284" s="128"/>
      <c r="H284" s="129"/>
      <c r="I284" s="130"/>
      <c r="J284" s="23"/>
      <c r="K284" s="23"/>
      <c r="L284" s="23"/>
      <c r="M284" s="131"/>
      <c r="N284" s="131"/>
      <c r="O284" s="131"/>
    </row>
    <row r="285" spans="1:15" x14ac:dyDescent="0.3">
      <c r="A285" s="18"/>
      <c r="B285" s="18"/>
      <c r="C285" s="18"/>
      <c r="D285" s="33"/>
      <c r="E285" s="127"/>
      <c r="F285" s="128"/>
      <c r="G285" s="128"/>
      <c r="H285" s="129"/>
      <c r="I285" s="130"/>
      <c r="J285" s="23"/>
      <c r="K285" s="23"/>
      <c r="L285" s="23"/>
      <c r="M285" s="131"/>
      <c r="N285" s="131"/>
      <c r="O285" s="131"/>
    </row>
    <row r="286" spans="1:15" x14ac:dyDescent="0.3">
      <c r="A286" s="18"/>
      <c r="B286" s="18"/>
      <c r="C286" s="18"/>
      <c r="D286" s="33"/>
      <c r="E286" s="127"/>
      <c r="F286" s="128"/>
      <c r="G286" s="128"/>
      <c r="H286" s="129"/>
      <c r="I286" s="130"/>
      <c r="J286" s="23"/>
      <c r="K286" s="23"/>
      <c r="L286" s="23"/>
      <c r="M286" s="131"/>
      <c r="N286" s="131"/>
      <c r="O286" s="131"/>
    </row>
    <row r="287" spans="1:15" x14ac:dyDescent="0.3">
      <c r="A287" s="18"/>
      <c r="B287" s="18"/>
      <c r="C287" s="18"/>
      <c r="D287" s="33"/>
      <c r="E287" s="127"/>
      <c r="F287" s="128"/>
      <c r="G287" s="128"/>
      <c r="H287" s="129"/>
      <c r="I287" s="130"/>
      <c r="J287" s="23"/>
      <c r="K287" s="23"/>
      <c r="L287" s="23"/>
      <c r="M287" s="131"/>
      <c r="N287" s="131"/>
      <c r="O287" s="131"/>
    </row>
    <row r="288" spans="1:15" x14ac:dyDescent="0.3">
      <c r="A288" s="18"/>
      <c r="B288" s="18"/>
      <c r="C288" s="18"/>
      <c r="D288" s="33"/>
      <c r="E288" s="127"/>
      <c r="F288" s="128"/>
      <c r="G288" s="128"/>
      <c r="H288" s="129"/>
      <c r="I288" s="130"/>
      <c r="J288" s="23"/>
      <c r="K288" s="23"/>
      <c r="L288" s="23"/>
      <c r="M288" s="131"/>
      <c r="N288" s="131"/>
      <c r="O288" s="131"/>
    </row>
    <row r="289" spans="1:15" x14ac:dyDescent="0.3">
      <c r="A289" s="18"/>
      <c r="B289" s="18"/>
      <c r="C289" s="18"/>
      <c r="D289" s="33"/>
      <c r="E289" s="127"/>
      <c r="F289" s="128"/>
      <c r="G289" s="128"/>
      <c r="H289" s="129"/>
      <c r="I289" s="130"/>
      <c r="J289" s="23"/>
      <c r="K289" s="23"/>
      <c r="L289" s="23"/>
      <c r="M289" s="131"/>
      <c r="N289" s="131"/>
      <c r="O289" s="131"/>
    </row>
    <row r="290" spans="1:15" x14ac:dyDescent="0.3">
      <c r="A290" s="18"/>
      <c r="B290" s="18"/>
      <c r="C290" s="18"/>
      <c r="D290" s="33"/>
      <c r="E290" s="127"/>
      <c r="F290" s="128"/>
      <c r="G290" s="128"/>
      <c r="H290" s="129"/>
      <c r="I290" s="130"/>
      <c r="J290" s="23"/>
      <c r="K290" s="23"/>
      <c r="L290" s="23"/>
      <c r="M290" s="131"/>
      <c r="N290" s="131"/>
      <c r="O290" s="131"/>
    </row>
    <row r="291" spans="1:15" x14ac:dyDescent="0.3">
      <c r="A291" s="18"/>
      <c r="B291" s="18"/>
      <c r="C291" s="18"/>
      <c r="D291" s="33"/>
      <c r="E291" s="127"/>
      <c r="F291" s="128"/>
      <c r="G291" s="128"/>
      <c r="H291" s="129"/>
      <c r="I291" s="130"/>
      <c r="J291" s="23"/>
      <c r="K291" s="23"/>
      <c r="L291" s="23"/>
      <c r="M291" s="131"/>
      <c r="N291" s="131"/>
      <c r="O291" s="131"/>
    </row>
    <row r="292" spans="1:15" x14ac:dyDescent="0.3">
      <c r="A292" s="18"/>
      <c r="B292" s="18"/>
      <c r="C292" s="18"/>
      <c r="D292" s="33"/>
      <c r="E292" s="127"/>
      <c r="F292" s="128"/>
      <c r="G292" s="128"/>
      <c r="H292" s="129"/>
      <c r="I292" s="130"/>
      <c r="J292" s="23"/>
      <c r="K292" s="23"/>
      <c r="L292" s="23"/>
      <c r="M292" s="131"/>
      <c r="N292" s="131"/>
      <c r="O292" s="131"/>
    </row>
    <row r="293" spans="1:15" x14ac:dyDescent="0.3">
      <c r="A293" s="18"/>
      <c r="B293" s="18"/>
      <c r="C293" s="18"/>
      <c r="D293" s="33"/>
      <c r="E293" s="127"/>
      <c r="F293" s="128"/>
      <c r="G293" s="128"/>
      <c r="H293" s="129"/>
      <c r="I293" s="130"/>
      <c r="J293" s="23"/>
      <c r="K293" s="23"/>
      <c r="L293" s="23"/>
      <c r="M293" s="131"/>
      <c r="N293" s="131"/>
      <c r="O293" s="131"/>
    </row>
    <row r="294" spans="1:15" x14ac:dyDescent="0.3">
      <c r="A294" s="18"/>
      <c r="B294" s="18"/>
      <c r="C294" s="18"/>
      <c r="D294" s="33"/>
      <c r="E294" s="127"/>
      <c r="F294" s="128"/>
      <c r="G294" s="128"/>
      <c r="H294" s="129"/>
      <c r="I294" s="130"/>
      <c r="J294" s="23"/>
      <c r="K294" s="23"/>
      <c r="L294" s="23"/>
      <c r="M294" s="131"/>
      <c r="N294" s="131"/>
      <c r="O294" s="131"/>
    </row>
    <row r="295" spans="1:15" x14ac:dyDescent="0.3">
      <c r="A295" s="18"/>
      <c r="B295" s="18"/>
      <c r="C295" s="18"/>
      <c r="D295" s="33"/>
      <c r="E295" s="127"/>
      <c r="F295" s="128"/>
      <c r="G295" s="128"/>
      <c r="H295" s="129"/>
      <c r="I295" s="130"/>
      <c r="J295" s="23"/>
      <c r="K295" s="23"/>
      <c r="L295" s="23"/>
      <c r="M295" s="131"/>
      <c r="N295" s="131"/>
      <c r="O295" s="131"/>
    </row>
    <row r="296" spans="1:15" x14ac:dyDescent="0.3">
      <c r="A296" s="18"/>
      <c r="B296" s="18"/>
      <c r="C296" s="18"/>
      <c r="D296" s="33"/>
      <c r="E296" s="127"/>
      <c r="F296" s="128"/>
      <c r="G296" s="128"/>
      <c r="H296" s="129"/>
      <c r="I296" s="130"/>
      <c r="J296" s="23"/>
      <c r="K296" s="23"/>
      <c r="L296" s="23"/>
      <c r="M296" s="131"/>
      <c r="N296" s="131"/>
      <c r="O296" s="131"/>
    </row>
    <row r="297" spans="1:15" x14ac:dyDescent="0.3">
      <c r="A297" s="18"/>
      <c r="B297" s="18"/>
      <c r="C297" s="18"/>
      <c r="D297" s="33"/>
      <c r="E297" s="127"/>
      <c r="F297" s="128"/>
      <c r="G297" s="128"/>
      <c r="H297" s="129"/>
      <c r="I297" s="130"/>
      <c r="J297" s="23"/>
      <c r="K297" s="23"/>
      <c r="L297" s="23"/>
      <c r="M297" s="131"/>
      <c r="N297" s="131"/>
      <c r="O297" s="131"/>
    </row>
    <row r="298" spans="1:15" x14ac:dyDescent="0.3">
      <c r="A298" s="18"/>
      <c r="B298" s="18"/>
      <c r="C298" s="18"/>
      <c r="D298" s="33"/>
      <c r="E298" s="127"/>
      <c r="F298" s="128"/>
      <c r="G298" s="128"/>
      <c r="H298" s="129"/>
      <c r="I298" s="130"/>
      <c r="J298" s="23"/>
      <c r="K298" s="23"/>
      <c r="L298" s="23"/>
      <c r="M298" s="131"/>
      <c r="N298" s="131"/>
      <c r="O298" s="131"/>
    </row>
    <row r="299" spans="1:15" x14ac:dyDescent="0.3">
      <c r="A299" s="18"/>
      <c r="B299" s="18"/>
      <c r="C299" s="18"/>
      <c r="D299" s="33"/>
      <c r="E299" s="127"/>
      <c r="F299" s="128"/>
      <c r="G299" s="128"/>
      <c r="H299" s="129"/>
      <c r="I299" s="130"/>
      <c r="J299" s="23"/>
      <c r="K299" s="23"/>
      <c r="L299" s="23"/>
      <c r="M299" s="131"/>
      <c r="N299" s="131"/>
      <c r="O299" s="131"/>
    </row>
    <row r="300" spans="1:15" x14ac:dyDescent="0.3">
      <c r="A300" s="18"/>
      <c r="B300" s="18"/>
      <c r="C300" s="18"/>
      <c r="D300" s="33"/>
      <c r="E300" s="127"/>
      <c r="F300" s="128"/>
      <c r="G300" s="128"/>
      <c r="H300" s="129"/>
      <c r="I300" s="130"/>
      <c r="J300" s="23"/>
      <c r="K300" s="23"/>
      <c r="L300" s="23"/>
      <c r="M300" s="131"/>
      <c r="N300" s="131"/>
      <c r="O300" s="131"/>
    </row>
    <row r="301" spans="1:15" x14ac:dyDescent="0.3">
      <c r="A301" s="18"/>
      <c r="B301" s="18"/>
      <c r="C301" s="18"/>
      <c r="D301" s="33"/>
      <c r="E301" s="127"/>
      <c r="F301" s="128"/>
      <c r="G301" s="128"/>
      <c r="H301" s="129"/>
      <c r="I301" s="130"/>
      <c r="J301" s="23"/>
      <c r="K301" s="23"/>
      <c r="L301" s="23"/>
      <c r="M301" s="131"/>
      <c r="N301" s="131"/>
      <c r="O301" s="131"/>
    </row>
    <row r="302" spans="1:15" x14ac:dyDescent="0.3">
      <c r="A302" s="18"/>
      <c r="B302" s="18"/>
      <c r="C302" s="18"/>
      <c r="D302" s="33"/>
      <c r="E302" s="127"/>
      <c r="F302" s="128"/>
      <c r="G302" s="128"/>
      <c r="H302" s="129"/>
      <c r="I302" s="130"/>
      <c r="J302" s="23"/>
      <c r="K302" s="23"/>
      <c r="L302" s="23"/>
      <c r="M302" s="131"/>
      <c r="N302" s="131"/>
      <c r="O302" s="131"/>
    </row>
    <row r="303" spans="1:15" x14ac:dyDescent="0.3">
      <c r="A303" s="18"/>
      <c r="B303" s="18"/>
      <c r="C303" s="18"/>
      <c r="D303" s="33"/>
      <c r="E303" s="127"/>
      <c r="F303" s="128"/>
      <c r="G303" s="128"/>
      <c r="H303" s="129"/>
      <c r="I303" s="130"/>
      <c r="J303" s="23"/>
      <c r="K303" s="23"/>
      <c r="L303" s="23"/>
      <c r="M303" s="131"/>
      <c r="N303" s="131"/>
      <c r="O303" s="131"/>
    </row>
    <row r="304" spans="1:15" x14ac:dyDescent="0.3">
      <c r="A304" s="18"/>
      <c r="B304" s="18"/>
      <c r="C304" s="18"/>
      <c r="D304" s="33"/>
      <c r="E304" s="127"/>
      <c r="F304" s="128"/>
      <c r="G304" s="128"/>
      <c r="H304" s="129"/>
      <c r="I304" s="130"/>
      <c r="J304" s="23"/>
      <c r="K304" s="23"/>
      <c r="L304" s="23"/>
      <c r="M304" s="131"/>
      <c r="N304" s="131"/>
      <c r="O304" s="131"/>
    </row>
    <row r="305" spans="1:15" x14ac:dyDescent="0.3">
      <c r="A305" s="18"/>
      <c r="B305" s="18"/>
      <c r="C305" s="18"/>
      <c r="D305" s="33"/>
      <c r="E305" s="127"/>
      <c r="F305" s="128"/>
      <c r="G305" s="128"/>
      <c r="H305" s="129"/>
      <c r="I305" s="130"/>
      <c r="J305" s="23"/>
      <c r="K305" s="23"/>
      <c r="L305" s="23"/>
      <c r="M305" s="131"/>
      <c r="N305" s="131"/>
      <c r="O305" s="131"/>
    </row>
    <row r="306" spans="1:15" x14ac:dyDescent="0.3">
      <c r="A306" s="18"/>
      <c r="B306" s="18"/>
      <c r="C306" s="18"/>
      <c r="D306" s="33"/>
      <c r="E306" s="127"/>
      <c r="F306" s="128"/>
      <c r="G306" s="128"/>
      <c r="H306" s="129"/>
      <c r="I306" s="130"/>
      <c r="J306" s="23"/>
      <c r="K306" s="23"/>
      <c r="L306" s="23"/>
      <c r="M306" s="131"/>
      <c r="N306" s="131"/>
      <c r="O306" s="131"/>
    </row>
    <row r="307" spans="1:15" x14ac:dyDescent="0.3">
      <c r="A307" s="18"/>
      <c r="B307" s="18"/>
      <c r="C307" s="18"/>
      <c r="D307" s="33"/>
      <c r="E307" s="127"/>
      <c r="F307" s="128"/>
      <c r="G307" s="128"/>
      <c r="H307" s="129"/>
      <c r="I307" s="130"/>
      <c r="J307" s="23"/>
      <c r="K307" s="23"/>
      <c r="L307" s="23"/>
      <c r="M307" s="131"/>
      <c r="N307" s="131"/>
      <c r="O307" s="131"/>
    </row>
    <row r="308" spans="1:15" x14ac:dyDescent="0.3">
      <c r="A308" s="18"/>
      <c r="B308" s="18"/>
      <c r="C308" s="18"/>
      <c r="D308" s="33"/>
      <c r="E308" s="127"/>
      <c r="F308" s="128"/>
      <c r="G308" s="128"/>
      <c r="H308" s="129"/>
      <c r="I308" s="130"/>
      <c r="J308" s="23"/>
      <c r="K308" s="23"/>
      <c r="L308" s="23"/>
      <c r="M308" s="131"/>
      <c r="N308" s="131"/>
      <c r="O308" s="131"/>
    </row>
    <row r="309" spans="1:15" x14ac:dyDescent="0.3">
      <c r="A309" s="18"/>
      <c r="B309" s="18"/>
      <c r="C309" s="18"/>
      <c r="D309" s="33"/>
      <c r="E309" s="127"/>
      <c r="F309" s="128"/>
      <c r="G309" s="128"/>
      <c r="H309" s="129"/>
      <c r="I309" s="130"/>
      <c r="J309" s="23"/>
      <c r="K309" s="23"/>
      <c r="L309" s="23"/>
      <c r="M309" s="131"/>
      <c r="N309" s="131"/>
      <c r="O309" s="131"/>
    </row>
    <row r="310" spans="1:15" x14ac:dyDescent="0.3">
      <c r="A310" s="18"/>
      <c r="B310" s="18"/>
      <c r="C310" s="18"/>
      <c r="D310" s="33"/>
      <c r="E310" s="127"/>
      <c r="F310" s="128"/>
      <c r="G310" s="128"/>
      <c r="H310" s="129"/>
      <c r="I310" s="130"/>
      <c r="J310" s="23"/>
      <c r="K310" s="23"/>
      <c r="L310" s="23"/>
      <c r="M310" s="131"/>
      <c r="N310" s="131"/>
      <c r="O310" s="131"/>
    </row>
    <row r="311" spans="1:15" x14ac:dyDescent="0.3">
      <c r="A311" s="18"/>
      <c r="B311" s="18"/>
      <c r="C311" s="18"/>
      <c r="D311" s="33"/>
      <c r="E311" s="127"/>
      <c r="F311" s="128"/>
      <c r="G311" s="128"/>
      <c r="H311" s="129"/>
      <c r="I311" s="130"/>
      <c r="J311" s="23"/>
      <c r="K311" s="23"/>
      <c r="L311" s="23"/>
      <c r="M311" s="131"/>
      <c r="N311" s="131"/>
      <c r="O311" s="131"/>
    </row>
    <row r="312" spans="1:15" x14ac:dyDescent="0.3">
      <c r="A312" s="18"/>
      <c r="B312" s="18"/>
      <c r="C312" s="18"/>
      <c r="D312" s="33"/>
      <c r="E312" s="127"/>
      <c r="F312" s="128"/>
      <c r="G312" s="128"/>
      <c r="H312" s="129"/>
      <c r="I312" s="130"/>
      <c r="J312" s="23"/>
      <c r="K312" s="23"/>
      <c r="L312" s="23"/>
      <c r="M312" s="131"/>
      <c r="N312" s="131"/>
      <c r="O312" s="131"/>
    </row>
    <row r="313" spans="1:15" x14ac:dyDescent="0.3">
      <c r="A313" s="18"/>
      <c r="B313" s="18"/>
      <c r="C313" s="18"/>
      <c r="D313" s="33"/>
      <c r="E313" s="127"/>
      <c r="F313" s="128"/>
      <c r="G313" s="128"/>
      <c r="H313" s="129"/>
      <c r="I313" s="130"/>
      <c r="J313" s="23"/>
      <c r="K313" s="23"/>
      <c r="L313" s="23"/>
      <c r="M313" s="131"/>
      <c r="N313" s="131"/>
      <c r="O313" s="131"/>
    </row>
    <row r="314" spans="1:15" x14ac:dyDescent="0.3">
      <c r="A314" s="18"/>
      <c r="B314" s="18"/>
      <c r="C314" s="18"/>
      <c r="D314" s="33"/>
      <c r="E314" s="127"/>
      <c r="F314" s="128"/>
      <c r="G314" s="128"/>
      <c r="H314" s="129"/>
      <c r="I314" s="130"/>
      <c r="J314" s="23"/>
      <c r="K314" s="23"/>
      <c r="L314" s="23"/>
      <c r="M314" s="131"/>
      <c r="N314" s="131"/>
      <c r="O314" s="131"/>
    </row>
    <row r="315" spans="1:15" x14ac:dyDescent="0.3">
      <c r="A315" s="18"/>
      <c r="B315" s="18"/>
      <c r="C315" s="18"/>
      <c r="D315" s="33"/>
      <c r="E315" s="127"/>
      <c r="F315" s="128"/>
      <c r="G315" s="128"/>
      <c r="H315" s="129"/>
      <c r="I315" s="130"/>
      <c r="J315" s="23"/>
      <c r="K315" s="23"/>
      <c r="L315" s="23"/>
      <c r="M315" s="131"/>
      <c r="N315" s="131"/>
      <c r="O315" s="131"/>
    </row>
    <row r="316" spans="1:15" x14ac:dyDescent="0.3">
      <c r="A316" s="18"/>
      <c r="B316" s="18"/>
      <c r="C316" s="18"/>
      <c r="D316" s="33"/>
      <c r="E316" s="127"/>
      <c r="F316" s="128"/>
      <c r="G316" s="128"/>
      <c r="H316" s="129"/>
      <c r="I316" s="130"/>
      <c r="J316" s="23"/>
      <c r="K316" s="23"/>
      <c r="L316" s="23"/>
      <c r="M316" s="131"/>
      <c r="N316" s="131"/>
      <c r="O316" s="131"/>
    </row>
    <row r="317" spans="1:15" x14ac:dyDescent="0.3">
      <c r="A317" s="18"/>
      <c r="B317" s="18"/>
      <c r="C317" s="18"/>
      <c r="D317" s="33"/>
      <c r="E317" s="127"/>
      <c r="F317" s="128"/>
      <c r="G317" s="128"/>
      <c r="H317" s="129"/>
      <c r="I317" s="130"/>
      <c r="J317" s="23"/>
      <c r="K317" s="23"/>
      <c r="L317" s="23"/>
      <c r="M317" s="131"/>
      <c r="N317" s="131"/>
      <c r="O317" s="131"/>
    </row>
    <row r="318" spans="1:15" x14ac:dyDescent="0.3">
      <c r="A318" s="18"/>
      <c r="B318" s="18"/>
      <c r="C318" s="18"/>
      <c r="D318" s="33"/>
      <c r="E318" s="127"/>
      <c r="F318" s="128"/>
      <c r="G318" s="128"/>
      <c r="H318" s="129"/>
      <c r="I318" s="130"/>
      <c r="J318" s="23"/>
      <c r="K318" s="23"/>
      <c r="L318" s="23"/>
      <c r="M318" s="131"/>
      <c r="N318" s="131"/>
      <c r="O318" s="131"/>
    </row>
    <row r="319" spans="1:15" x14ac:dyDescent="0.3">
      <c r="A319" s="18"/>
      <c r="B319" s="18"/>
      <c r="C319" s="18"/>
      <c r="D319" s="33"/>
      <c r="E319" s="127"/>
      <c r="F319" s="128"/>
      <c r="G319" s="128"/>
      <c r="H319" s="129"/>
      <c r="I319" s="130"/>
      <c r="J319" s="23"/>
      <c r="K319" s="23"/>
      <c r="L319" s="23"/>
      <c r="M319" s="131"/>
      <c r="N319" s="131"/>
      <c r="O319" s="131"/>
    </row>
    <row r="320" spans="1:15" x14ac:dyDescent="0.3">
      <c r="A320" s="18"/>
      <c r="B320" s="18"/>
      <c r="C320" s="18"/>
      <c r="D320" s="33"/>
      <c r="E320" s="127"/>
      <c r="F320" s="128"/>
      <c r="G320" s="128"/>
      <c r="H320" s="129"/>
      <c r="I320" s="130"/>
      <c r="J320" s="23"/>
      <c r="K320" s="23"/>
      <c r="L320" s="23"/>
      <c r="M320" s="131"/>
      <c r="N320" s="131"/>
      <c r="O320" s="131"/>
    </row>
    <row r="321" spans="1:15" x14ac:dyDescent="0.3">
      <c r="A321" s="18"/>
      <c r="B321" s="18"/>
      <c r="C321" s="18"/>
      <c r="D321" s="33"/>
      <c r="E321" s="127"/>
      <c r="F321" s="128"/>
      <c r="G321" s="128"/>
      <c r="H321" s="129"/>
      <c r="I321" s="130"/>
      <c r="J321" s="23"/>
      <c r="K321" s="23"/>
      <c r="L321" s="23"/>
      <c r="M321" s="131"/>
      <c r="N321" s="131"/>
      <c r="O321" s="131"/>
    </row>
    <row r="322" spans="1:15" x14ac:dyDescent="0.3">
      <c r="A322" s="18"/>
      <c r="B322" s="18"/>
      <c r="C322" s="18"/>
      <c r="D322" s="33"/>
      <c r="E322" s="127"/>
      <c r="F322" s="128"/>
      <c r="G322" s="128"/>
      <c r="H322" s="129"/>
      <c r="I322" s="130"/>
      <c r="J322" s="23"/>
      <c r="K322" s="23"/>
      <c r="L322" s="23"/>
      <c r="M322" s="131"/>
      <c r="N322" s="131"/>
      <c r="O322" s="131"/>
    </row>
    <row r="323" spans="1:15" x14ac:dyDescent="0.3">
      <c r="A323" s="18"/>
      <c r="B323" s="18"/>
      <c r="C323" s="18"/>
      <c r="D323" s="33"/>
      <c r="E323" s="127"/>
      <c r="F323" s="128"/>
      <c r="G323" s="128"/>
      <c r="H323" s="129"/>
      <c r="I323" s="130"/>
      <c r="J323" s="23"/>
      <c r="K323" s="23"/>
      <c r="L323" s="23"/>
      <c r="M323" s="131"/>
      <c r="N323" s="131"/>
      <c r="O323" s="131"/>
    </row>
    <row r="324" spans="1:15" x14ac:dyDescent="0.3">
      <c r="A324" s="18"/>
      <c r="B324" s="18"/>
      <c r="C324" s="18"/>
      <c r="D324" s="33"/>
      <c r="E324" s="127"/>
      <c r="F324" s="128"/>
      <c r="G324" s="128"/>
      <c r="H324" s="129"/>
      <c r="I324" s="130"/>
      <c r="J324" s="23"/>
      <c r="K324" s="23"/>
      <c r="L324" s="23"/>
      <c r="M324" s="131"/>
      <c r="N324" s="131"/>
      <c r="O324" s="131"/>
    </row>
    <row r="325" spans="1:15" x14ac:dyDescent="0.3">
      <c r="A325" s="18"/>
      <c r="B325" s="18"/>
      <c r="C325" s="18"/>
      <c r="D325" s="33"/>
      <c r="E325" s="127"/>
      <c r="F325" s="128"/>
      <c r="G325" s="128"/>
      <c r="H325" s="129"/>
      <c r="I325" s="130"/>
      <c r="J325" s="23"/>
      <c r="K325" s="23"/>
      <c r="L325" s="23"/>
      <c r="M325" s="131"/>
      <c r="N325" s="131"/>
      <c r="O325" s="131"/>
    </row>
    <row r="326" spans="1:15" x14ac:dyDescent="0.3">
      <c r="A326" s="18"/>
      <c r="B326" s="18"/>
      <c r="C326" s="18"/>
      <c r="D326" s="33"/>
      <c r="E326" s="127"/>
      <c r="F326" s="128"/>
      <c r="G326" s="128"/>
      <c r="H326" s="129"/>
      <c r="I326" s="130"/>
      <c r="J326" s="23"/>
      <c r="K326" s="23"/>
      <c r="L326" s="23"/>
      <c r="M326" s="131"/>
      <c r="N326" s="131"/>
      <c r="O326" s="131"/>
    </row>
    <row r="327" spans="1:15" x14ac:dyDescent="0.3">
      <c r="A327" s="18"/>
      <c r="B327" s="18"/>
      <c r="C327" s="18"/>
      <c r="D327" s="33"/>
      <c r="E327" s="127"/>
      <c r="F327" s="128"/>
      <c r="G327" s="128"/>
      <c r="H327" s="129"/>
      <c r="I327" s="130"/>
      <c r="J327" s="23"/>
      <c r="K327" s="23"/>
      <c r="L327" s="23"/>
      <c r="M327" s="131"/>
      <c r="N327" s="131"/>
      <c r="O327" s="131"/>
    </row>
    <row r="328" spans="1:15" x14ac:dyDescent="0.3">
      <c r="A328" s="18"/>
      <c r="B328" s="18"/>
      <c r="C328" s="18"/>
      <c r="D328" s="33"/>
      <c r="E328" s="127"/>
      <c r="F328" s="128"/>
      <c r="G328" s="128"/>
      <c r="H328" s="129"/>
      <c r="I328" s="130"/>
      <c r="J328" s="23"/>
      <c r="K328" s="23"/>
      <c r="L328" s="23"/>
      <c r="M328" s="131"/>
      <c r="N328" s="131"/>
      <c r="O328" s="131"/>
    </row>
    <row r="329" spans="1:15" x14ac:dyDescent="0.3">
      <c r="A329" s="18"/>
      <c r="B329" s="18"/>
      <c r="C329" s="18"/>
      <c r="D329" s="33"/>
      <c r="E329" s="127"/>
      <c r="F329" s="128"/>
      <c r="G329" s="128"/>
      <c r="H329" s="129"/>
      <c r="I329" s="130"/>
      <c r="J329" s="23"/>
      <c r="K329" s="23"/>
      <c r="L329" s="23"/>
      <c r="M329" s="131"/>
      <c r="N329" s="131"/>
      <c r="O329" s="131"/>
    </row>
    <row r="330" spans="1:15" x14ac:dyDescent="0.3">
      <c r="A330" s="18"/>
      <c r="B330" s="18"/>
      <c r="C330" s="18"/>
      <c r="D330" s="33"/>
      <c r="E330" s="127"/>
      <c r="F330" s="128"/>
      <c r="G330" s="128"/>
      <c r="H330" s="129"/>
      <c r="I330" s="130"/>
      <c r="J330" s="23"/>
      <c r="K330" s="23"/>
      <c r="L330" s="23"/>
      <c r="M330" s="131"/>
      <c r="N330" s="131"/>
      <c r="O330" s="131"/>
    </row>
    <row r="331" spans="1:15" x14ac:dyDescent="0.3">
      <c r="A331" s="18"/>
      <c r="B331" s="18"/>
      <c r="C331" s="18"/>
      <c r="D331" s="33"/>
      <c r="E331" s="127"/>
      <c r="F331" s="128"/>
      <c r="G331" s="128"/>
      <c r="H331" s="129"/>
      <c r="I331" s="130"/>
      <c r="J331" s="23"/>
      <c r="K331" s="23"/>
      <c r="L331" s="23"/>
      <c r="M331" s="131"/>
      <c r="N331" s="131"/>
      <c r="O331" s="131"/>
    </row>
    <row r="332" spans="1:15" x14ac:dyDescent="0.3">
      <c r="A332" s="18"/>
      <c r="B332" s="18"/>
      <c r="C332" s="18"/>
      <c r="D332" s="33"/>
      <c r="E332" s="127"/>
      <c r="F332" s="128"/>
      <c r="G332" s="128"/>
      <c r="H332" s="129"/>
      <c r="I332" s="130"/>
      <c r="J332" s="23"/>
      <c r="K332" s="23"/>
      <c r="L332" s="23"/>
      <c r="M332" s="131"/>
      <c r="N332" s="131"/>
      <c r="O332" s="131"/>
    </row>
    <row r="333" spans="1:15" x14ac:dyDescent="0.3">
      <c r="A333" s="18"/>
      <c r="B333" s="18"/>
      <c r="C333" s="18"/>
      <c r="D333" s="33"/>
      <c r="E333" s="127"/>
      <c r="F333" s="128"/>
      <c r="G333" s="128"/>
      <c r="H333" s="129"/>
      <c r="I333" s="130"/>
      <c r="J333" s="23"/>
      <c r="K333" s="23"/>
      <c r="L333" s="23"/>
      <c r="M333" s="131"/>
      <c r="N333" s="131"/>
      <c r="O333" s="131"/>
    </row>
    <row r="334" spans="1:15" x14ac:dyDescent="0.3">
      <c r="A334" s="18"/>
      <c r="B334" s="18"/>
      <c r="C334" s="18"/>
      <c r="D334" s="33"/>
      <c r="E334" s="127"/>
      <c r="F334" s="128"/>
      <c r="G334" s="128"/>
      <c r="H334" s="129"/>
      <c r="I334" s="130"/>
      <c r="J334" s="23"/>
      <c r="K334" s="23"/>
      <c r="L334" s="23"/>
      <c r="M334" s="131"/>
      <c r="N334" s="131"/>
      <c r="O334" s="131"/>
    </row>
    <row r="335" spans="1:15" x14ac:dyDescent="0.3">
      <c r="A335" s="18"/>
      <c r="B335" s="18"/>
      <c r="C335" s="18"/>
      <c r="D335" s="33"/>
      <c r="E335" s="127"/>
      <c r="F335" s="128"/>
      <c r="G335" s="128"/>
      <c r="H335" s="129"/>
      <c r="I335" s="130"/>
      <c r="J335" s="23"/>
      <c r="K335" s="23"/>
      <c r="L335" s="23"/>
      <c r="M335" s="131"/>
      <c r="N335" s="131"/>
      <c r="O335" s="131"/>
    </row>
    <row r="336" spans="1:15" x14ac:dyDescent="0.3">
      <c r="A336" s="18"/>
      <c r="B336" s="18"/>
      <c r="C336" s="18"/>
      <c r="D336" s="33"/>
      <c r="E336" s="127"/>
      <c r="F336" s="128"/>
      <c r="G336" s="128"/>
      <c r="H336" s="129"/>
      <c r="I336" s="130"/>
      <c r="J336" s="23"/>
      <c r="K336" s="23"/>
      <c r="L336" s="23"/>
      <c r="M336" s="131"/>
      <c r="N336" s="131"/>
      <c r="O336" s="131"/>
    </row>
    <row r="337" spans="1:15" x14ac:dyDescent="0.3">
      <c r="A337" s="18"/>
      <c r="B337" s="18"/>
      <c r="C337" s="18"/>
      <c r="D337" s="33"/>
      <c r="E337" s="127"/>
      <c r="F337" s="128"/>
      <c r="G337" s="128"/>
      <c r="H337" s="129"/>
      <c r="I337" s="130"/>
      <c r="J337" s="23"/>
      <c r="K337" s="23"/>
      <c r="L337" s="23"/>
      <c r="M337" s="131"/>
      <c r="N337" s="131"/>
      <c r="O337" s="131"/>
    </row>
    <row r="338" spans="1:15" x14ac:dyDescent="0.3">
      <c r="A338" s="18"/>
      <c r="B338" s="18"/>
      <c r="C338" s="18"/>
      <c r="D338" s="33"/>
      <c r="E338" s="127"/>
      <c r="F338" s="128"/>
      <c r="G338" s="128"/>
      <c r="H338" s="129"/>
      <c r="I338" s="130"/>
      <c r="J338" s="23"/>
      <c r="K338" s="23"/>
      <c r="L338" s="23"/>
      <c r="M338" s="131"/>
      <c r="N338" s="131"/>
      <c r="O338" s="131"/>
    </row>
    <row r="339" spans="1:15" x14ac:dyDescent="0.3">
      <c r="A339" s="18"/>
      <c r="B339" s="18"/>
      <c r="C339" s="18"/>
      <c r="D339" s="33"/>
      <c r="E339" s="127"/>
      <c r="F339" s="128"/>
      <c r="G339" s="128"/>
      <c r="H339" s="129"/>
      <c r="I339" s="130"/>
      <c r="J339" s="23"/>
      <c r="K339" s="23"/>
      <c r="L339" s="23"/>
      <c r="M339" s="131"/>
      <c r="N339" s="131"/>
      <c r="O339" s="131"/>
    </row>
    <row r="340" spans="1:15" x14ac:dyDescent="0.3">
      <c r="A340" s="18"/>
      <c r="B340" s="18"/>
      <c r="C340" s="18"/>
      <c r="D340" s="33"/>
      <c r="E340" s="127"/>
      <c r="F340" s="128"/>
      <c r="G340" s="128"/>
      <c r="H340" s="129"/>
      <c r="I340" s="130"/>
      <c r="J340" s="23"/>
      <c r="K340" s="23"/>
      <c r="L340" s="23"/>
      <c r="M340" s="131"/>
      <c r="N340" s="131"/>
      <c r="O340" s="131"/>
    </row>
    <row r="341" spans="1:15" x14ac:dyDescent="0.3">
      <c r="A341" s="18"/>
      <c r="B341" s="18"/>
      <c r="C341" s="18"/>
      <c r="D341" s="33"/>
      <c r="E341" s="127"/>
      <c r="F341" s="128"/>
      <c r="G341" s="128"/>
      <c r="H341" s="129"/>
      <c r="I341" s="130"/>
      <c r="J341" s="23"/>
      <c r="K341" s="23"/>
      <c r="L341" s="23"/>
      <c r="M341" s="131"/>
      <c r="N341" s="131"/>
      <c r="O341" s="131"/>
    </row>
    <row r="342" spans="1:15" x14ac:dyDescent="0.3">
      <c r="A342" s="18"/>
      <c r="B342" s="18"/>
      <c r="C342" s="18"/>
      <c r="D342" s="33"/>
      <c r="E342" s="127"/>
      <c r="F342" s="128"/>
      <c r="G342" s="128"/>
      <c r="H342" s="129"/>
      <c r="I342" s="130"/>
      <c r="J342" s="23"/>
      <c r="K342" s="23"/>
      <c r="L342" s="23"/>
      <c r="M342" s="131"/>
      <c r="N342" s="131"/>
      <c r="O342" s="131"/>
    </row>
    <row r="343" spans="1:15" x14ac:dyDescent="0.3">
      <c r="A343" s="18"/>
      <c r="B343" s="18"/>
      <c r="C343" s="18"/>
      <c r="D343" s="33"/>
      <c r="E343" s="127"/>
      <c r="F343" s="128"/>
      <c r="G343" s="128"/>
      <c r="H343" s="129"/>
      <c r="I343" s="130"/>
      <c r="J343" s="23"/>
      <c r="K343" s="23"/>
      <c r="L343" s="23"/>
      <c r="M343" s="131"/>
      <c r="N343" s="131"/>
      <c r="O343" s="131"/>
    </row>
    <row r="344" spans="1:15" x14ac:dyDescent="0.3">
      <c r="A344" s="18"/>
      <c r="B344" s="18"/>
      <c r="C344" s="18"/>
      <c r="D344" s="33"/>
      <c r="E344" s="127"/>
      <c r="F344" s="128"/>
      <c r="G344" s="128"/>
      <c r="H344" s="129"/>
      <c r="I344" s="130"/>
      <c r="J344" s="23"/>
      <c r="K344" s="23"/>
      <c r="L344" s="23"/>
      <c r="M344" s="131"/>
      <c r="N344" s="131"/>
      <c r="O344" s="131"/>
    </row>
    <row r="345" spans="1:15" x14ac:dyDescent="0.3">
      <c r="A345" s="18"/>
      <c r="B345" s="18"/>
      <c r="C345" s="18"/>
      <c r="D345" s="33"/>
      <c r="E345" s="127"/>
      <c r="F345" s="128"/>
      <c r="G345" s="128"/>
      <c r="H345" s="129"/>
      <c r="I345" s="130"/>
      <c r="J345" s="23"/>
      <c r="K345" s="23"/>
      <c r="L345" s="23"/>
      <c r="M345" s="131"/>
      <c r="N345" s="131"/>
      <c r="O345" s="131"/>
    </row>
    <row r="346" spans="1:15" x14ac:dyDescent="0.3">
      <c r="A346" s="18"/>
      <c r="B346" s="18"/>
      <c r="C346" s="18"/>
      <c r="D346" s="33"/>
      <c r="E346" s="127"/>
      <c r="F346" s="128"/>
      <c r="G346" s="128"/>
      <c r="H346" s="129"/>
      <c r="I346" s="130"/>
      <c r="J346" s="23"/>
      <c r="K346" s="23"/>
      <c r="L346" s="23"/>
      <c r="M346" s="131"/>
      <c r="N346" s="131"/>
      <c r="O346" s="131"/>
    </row>
    <row r="347" spans="1:15" x14ac:dyDescent="0.3">
      <c r="A347" s="18"/>
      <c r="B347" s="18"/>
      <c r="C347" s="18"/>
      <c r="D347" s="33"/>
      <c r="E347" s="127"/>
      <c r="F347" s="128"/>
      <c r="G347" s="128"/>
      <c r="H347" s="129"/>
      <c r="I347" s="130"/>
      <c r="J347" s="23"/>
      <c r="K347" s="23"/>
      <c r="L347" s="23"/>
      <c r="M347" s="131"/>
      <c r="N347" s="131"/>
      <c r="O347" s="131"/>
    </row>
    <row r="348" spans="1:15" x14ac:dyDescent="0.3">
      <c r="A348" s="18"/>
      <c r="B348" s="18"/>
      <c r="C348" s="18"/>
      <c r="D348" s="33"/>
      <c r="E348" s="127"/>
      <c r="F348" s="128"/>
      <c r="G348" s="128"/>
      <c r="H348" s="129"/>
      <c r="I348" s="130"/>
      <c r="J348" s="23"/>
      <c r="K348" s="23"/>
      <c r="L348" s="23"/>
      <c r="M348" s="131"/>
      <c r="N348" s="131"/>
      <c r="O348" s="131"/>
    </row>
    <row r="349" spans="1:15" x14ac:dyDescent="0.3">
      <c r="A349" s="18"/>
      <c r="B349" s="18"/>
      <c r="C349" s="18"/>
      <c r="D349" s="33"/>
      <c r="E349" s="127"/>
      <c r="F349" s="128"/>
      <c r="G349" s="128"/>
      <c r="H349" s="129"/>
      <c r="I349" s="130"/>
      <c r="J349" s="23"/>
      <c r="K349" s="23"/>
      <c r="L349" s="23"/>
      <c r="M349" s="131"/>
      <c r="N349" s="131"/>
      <c r="O349" s="131"/>
    </row>
    <row r="350" spans="1:15" x14ac:dyDescent="0.3">
      <c r="A350" s="18"/>
      <c r="B350" s="18"/>
      <c r="C350" s="18"/>
      <c r="D350" s="33"/>
      <c r="E350" s="127"/>
      <c r="F350" s="128"/>
      <c r="G350" s="128"/>
      <c r="H350" s="129"/>
      <c r="I350" s="130"/>
      <c r="J350" s="23"/>
      <c r="K350" s="23"/>
      <c r="L350" s="23"/>
      <c r="M350" s="131"/>
      <c r="N350" s="131"/>
      <c r="O350" s="131"/>
    </row>
    <row r="351" spans="1:15" x14ac:dyDescent="0.3">
      <c r="A351" s="18"/>
      <c r="B351" s="18"/>
      <c r="C351" s="18"/>
      <c r="D351" s="33"/>
      <c r="E351" s="127"/>
      <c r="F351" s="128"/>
      <c r="G351" s="128"/>
      <c r="H351" s="129"/>
      <c r="I351" s="130"/>
      <c r="J351" s="23"/>
      <c r="K351" s="23"/>
      <c r="L351" s="23"/>
      <c r="M351" s="131"/>
      <c r="N351" s="131"/>
      <c r="O351" s="131"/>
    </row>
    <row r="352" spans="1:15" x14ac:dyDescent="0.3">
      <c r="A352" s="18"/>
      <c r="B352" s="18"/>
      <c r="C352" s="18"/>
      <c r="D352" s="33"/>
      <c r="E352" s="127"/>
      <c r="F352" s="128"/>
      <c r="G352" s="128"/>
      <c r="H352" s="129"/>
      <c r="I352" s="130"/>
      <c r="J352" s="23"/>
      <c r="K352" s="23"/>
      <c r="L352" s="23"/>
      <c r="M352" s="131"/>
      <c r="N352" s="131"/>
      <c r="O352" s="131"/>
    </row>
    <row r="353" spans="1:15" x14ac:dyDescent="0.3">
      <c r="A353" s="18"/>
      <c r="B353" s="18"/>
      <c r="C353" s="18"/>
      <c r="D353" s="33"/>
      <c r="E353" s="127"/>
      <c r="F353" s="128"/>
      <c r="G353" s="128"/>
      <c r="H353" s="129"/>
      <c r="I353" s="130"/>
      <c r="J353" s="23"/>
      <c r="K353" s="23"/>
      <c r="L353" s="23"/>
      <c r="M353" s="131"/>
      <c r="N353" s="131"/>
      <c r="O353" s="131"/>
    </row>
    <row r="354" spans="1:15" x14ac:dyDescent="0.3">
      <c r="A354" s="18"/>
      <c r="B354" s="18"/>
      <c r="C354" s="18"/>
      <c r="D354" s="33"/>
      <c r="E354" s="127"/>
      <c r="F354" s="128"/>
      <c r="G354" s="128"/>
      <c r="H354" s="129"/>
      <c r="I354" s="130"/>
      <c r="J354" s="23"/>
      <c r="K354" s="23"/>
      <c r="L354" s="23"/>
      <c r="M354" s="131"/>
      <c r="N354" s="131"/>
      <c r="O354" s="131"/>
    </row>
    <row r="355" spans="1:15" x14ac:dyDescent="0.3">
      <c r="A355" s="18"/>
      <c r="B355" s="18"/>
      <c r="C355" s="18"/>
      <c r="D355" s="33"/>
      <c r="E355" s="127"/>
      <c r="F355" s="128"/>
      <c r="G355" s="128"/>
      <c r="H355" s="129"/>
      <c r="I355" s="130"/>
      <c r="J355" s="23"/>
      <c r="K355" s="23"/>
      <c r="L355" s="23"/>
      <c r="M355" s="131"/>
      <c r="N355" s="131"/>
      <c r="O355" s="131"/>
    </row>
    <row r="356" spans="1:15" x14ac:dyDescent="0.3">
      <c r="A356" s="18"/>
      <c r="B356" s="18"/>
      <c r="C356" s="18"/>
      <c r="D356" s="33"/>
      <c r="E356" s="127"/>
      <c r="F356" s="128"/>
      <c r="G356" s="128"/>
      <c r="H356" s="129"/>
      <c r="I356" s="130"/>
      <c r="J356" s="23"/>
      <c r="K356" s="23"/>
      <c r="L356" s="23"/>
      <c r="M356" s="131"/>
      <c r="N356" s="131"/>
      <c r="O356" s="131"/>
    </row>
    <row r="357" spans="1:15" x14ac:dyDescent="0.3">
      <c r="A357" s="18"/>
      <c r="B357" s="18"/>
      <c r="C357" s="18"/>
      <c r="D357" s="33"/>
      <c r="E357" s="127"/>
      <c r="F357" s="128"/>
      <c r="G357" s="128"/>
      <c r="H357" s="129"/>
      <c r="I357" s="130"/>
      <c r="J357" s="23"/>
      <c r="K357" s="23"/>
      <c r="L357" s="23"/>
      <c r="M357" s="131"/>
      <c r="N357" s="131"/>
      <c r="O357" s="131"/>
    </row>
    <row r="358" spans="1:15" x14ac:dyDescent="0.3">
      <c r="A358" s="18"/>
      <c r="B358" s="18"/>
      <c r="C358" s="18"/>
      <c r="D358" s="33"/>
      <c r="E358" s="127"/>
      <c r="F358" s="128"/>
      <c r="G358" s="128"/>
      <c r="H358" s="129"/>
      <c r="I358" s="130"/>
      <c r="J358" s="23"/>
      <c r="K358" s="23"/>
      <c r="L358" s="23"/>
      <c r="M358" s="131"/>
      <c r="N358" s="131"/>
      <c r="O358" s="131"/>
    </row>
    <row r="359" spans="1:15" x14ac:dyDescent="0.3">
      <c r="A359" s="18"/>
      <c r="B359" s="18"/>
      <c r="C359" s="18"/>
      <c r="D359" s="33"/>
      <c r="E359" s="127"/>
      <c r="F359" s="128"/>
      <c r="G359" s="128"/>
      <c r="H359" s="129"/>
      <c r="I359" s="130"/>
      <c r="J359" s="23"/>
      <c r="K359" s="23"/>
      <c r="L359" s="23"/>
      <c r="M359" s="131"/>
      <c r="N359" s="131"/>
      <c r="O359" s="131"/>
    </row>
    <row r="360" spans="1:15" x14ac:dyDescent="0.3">
      <c r="A360" s="18"/>
      <c r="B360" s="18"/>
      <c r="C360" s="18"/>
      <c r="D360" s="33"/>
      <c r="E360" s="127"/>
      <c r="F360" s="128"/>
      <c r="G360" s="128"/>
      <c r="H360" s="129"/>
      <c r="I360" s="130"/>
      <c r="J360" s="23"/>
      <c r="K360" s="23"/>
      <c r="L360" s="23"/>
      <c r="M360" s="131"/>
      <c r="N360" s="131"/>
      <c r="O360" s="131"/>
    </row>
    <row r="361" spans="1:15" x14ac:dyDescent="0.3">
      <c r="A361" s="18"/>
      <c r="B361" s="18"/>
      <c r="C361" s="18"/>
      <c r="D361" s="33"/>
      <c r="E361" s="127"/>
      <c r="F361" s="128"/>
      <c r="G361" s="128"/>
      <c r="H361" s="129"/>
      <c r="I361" s="130"/>
      <c r="J361" s="23"/>
      <c r="K361" s="23"/>
      <c r="L361" s="23"/>
      <c r="M361" s="131"/>
      <c r="N361" s="131"/>
      <c r="O361" s="131"/>
    </row>
    <row r="362" spans="1:15" x14ac:dyDescent="0.3">
      <c r="A362" s="18"/>
      <c r="B362" s="18"/>
      <c r="C362" s="18"/>
      <c r="D362" s="33"/>
      <c r="E362" s="127"/>
      <c r="F362" s="128"/>
      <c r="G362" s="128"/>
      <c r="H362" s="129"/>
      <c r="I362" s="130"/>
      <c r="J362" s="23"/>
      <c r="K362" s="23"/>
      <c r="L362" s="23"/>
      <c r="M362" s="131"/>
      <c r="N362" s="131"/>
      <c r="O362" s="131"/>
    </row>
    <row r="363" spans="1:15" x14ac:dyDescent="0.3">
      <c r="A363" s="18"/>
      <c r="B363" s="18"/>
      <c r="C363" s="18"/>
      <c r="D363" s="33"/>
      <c r="E363" s="127"/>
      <c r="F363" s="128"/>
      <c r="G363" s="128"/>
      <c r="H363" s="129"/>
      <c r="I363" s="130"/>
      <c r="J363" s="23"/>
      <c r="K363" s="23"/>
      <c r="L363" s="23"/>
      <c r="M363" s="131"/>
      <c r="N363" s="131"/>
      <c r="O363" s="131"/>
    </row>
    <row r="364" spans="1:15" x14ac:dyDescent="0.3">
      <c r="A364" s="18"/>
      <c r="B364" s="18"/>
      <c r="C364" s="18"/>
      <c r="D364" s="33"/>
      <c r="E364" s="127"/>
      <c r="F364" s="128"/>
      <c r="G364" s="128"/>
      <c r="H364" s="129"/>
      <c r="I364" s="130"/>
      <c r="J364" s="23"/>
      <c r="K364" s="23"/>
      <c r="L364" s="23"/>
      <c r="M364" s="131"/>
      <c r="N364" s="131"/>
      <c r="O364" s="131"/>
    </row>
    <row r="365" spans="1:15" x14ac:dyDescent="0.3">
      <c r="A365" s="18"/>
      <c r="B365" s="18"/>
      <c r="C365" s="18"/>
      <c r="D365" s="33"/>
      <c r="E365" s="127"/>
      <c r="F365" s="128"/>
      <c r="G365" s="128"/>
      <c r="H365" s="129"/>
      <c r="I365" s="130"/>
      <c r="J365" s="23"/>
      <c r="K365" s="23"/>
      <c r="L365" s="23"/>
      <c r="M365" s="131"/>
      <c r="N365" s="131"/>
      <c r="O365" s="131"/>
    </row>
    <row r="366" spans="1:15" x14ac:dyDescent="0.3">
      <c r="A366" s="18"/>
      <c r="B366" s="18"/>
      <c r="C366" s="18"/>
      <c r="D366" s="33"/>
      <c r="E366" s="127"/>
      <c r="F366" s="128"/>
      <c r="G366" s="128"/>
      <c r="H366" s="129"/>
      <c r="I366" s="130"/>
      <c r="J366" s="23"/>
      <c r="K366" s="23"/>
      <c r="L366" s="23"/>
      <c r="M366" s="131"/>
      <c r="N366" s="131"/>
      <c r="O366" s="131"/>
    </row>
    <row r="367" spans="1:15" x14ac:dyDescent="0.3">
      <c r="A367" s="18"/>
      <c r="B367" s="18"/>
      <c r="C367" s="18"/>
      <c r="D367" s="33"/>
      <c r="E367" s="127"/>
      <c r="F367" s="128"/>
      <c r="G367" s="128"/>
      <c r="H367" s="129"/>
      <c r="I367" s="130"/>
      <c r="J367" s="23"/>
      <c r="K367" s="23"/>
      <c r="L367" s="23"/>
      <c r="M367" s="131"/>
      <c r="N367" s="131"/>
      <c r="O367" s="131"/>
    </row>
    <row r="368" spans="1:15" x14ac:dyDescent="0.3">
      <c r="A368" s="18"/>
      <c r="B368" s="18"/>
      <c r="C368" s="18"/>
      <c r="D368" s="33"/>
      <c r="E368" s="127"/>
      <c r="F368" s="128"/>
      <c r="G368" s="128"/>
      <c r="H368" s="129"/>
      <c r="I368" s="130"/>
      <c r="J368" s="23"/>
      <c r="K368" s="23"/>
      <c r="L368" s="23"/>
      <c r="M368" s="131"/>
      <c r="N368" s="131"/>
      <c r="O368" s="131"/>
    </row>
    <row r="369" spans="1:15" x14ac:dyDescent="0.3">
      <c r="A369" s="18"/>
      <c r="B369" s="18"/>
      <c r="C369" s="18"/>
      <c r="D369" s="33"/>
      <c r="E369" s="127"/>
      <c r="F369" s="128"/>
      <c r="G369" s="128"/>
      <c r="H369" s="129"/>
      <c r="I369" s="130"/>
      <c r="J369" s="23"/>
      <c r="K369" s="23"/>
      <c r="L369" s="23"/>
      <c r="M369" s="131"/>
      <c r="N369" s="131"/>
      <c r="O369" s="131"/>
    </row>
    <row r="370" spans="1:15" x14ac:dyDescent="0.3">
      <c r="A370" s="18"/>
      <c r="B370" s="18"/>
      <c r="C370" s="18"/>
      <c r="D370" s="33"/>
      <c r="E370" s="127"/>
      <c r="F370" s="128"/>
      <c r="G370" s="128"/>
      <c r="H370" s="129"/>
      <c r="I370" s="130"/>
      <c r="J370" s="23"/>
      <c r="K370" s="23"/>
      <c r="L370" s="23"/>
      <c r="M370" s="131"/>
      <c r="N370" s="131"/>
      <c r="O370" s="131"/>
    </row>
    <row r="371" spans="1:15" x14ac:dyDescent="0.3">
      <c r="A371" s="18"/>
      <c r="B371" s="18"/>
      <c r="C371" s="18"/>
      <c r="D371" s="33"/>
      <c r="E371" s="127"/>
      <c r="F371" s="128"/>
      <c r="G371" s="128"/>
      <c r="H371" s="129"/>
      <c r="I371" s="130"/>
      <c r="J371" s="23"/>
      <c r="K371" s="23"/>
      <c r="L371" s="23"/>
      <c r="M371" s="131"/>
      <c r="N371" s="131"/>
      <c r="O371" s="131"/>
    </row>
    <row r="372" spans="1:15" x14ac:dyDescent="0.3">
      <c r="A372" s="18"/>
      <c r="B372" s="18"/>
      <c r="C372" s="18"/>
      <c r="D372" s="33"/>
      <c r="E372" s="127"/>
      <c r="F372" s="128"/>
      <c r="G372" s="128"/>
      <c r="H372" s="129"/>
      <c r="I372" s="130"/>
      <c r="J372" s="23"/>
      <c r="K372" s="23"/>
      <c r="L372" s="23"/>
      <c r="M372" s="131"/>
      <c r="N372" s="131"/>
      <c r="O372" s="131"/>
    </row>
    <row r="373" spans="1:15" x14ac:dyDescent="0.3">
      <c r="A373" s="18"/>
      <c r="B373" s="18"/>
      <c r="C373" s="18"/>
      <c r="D373" s="33"/>
      <c r="E373" s="127"/>
      <c r="F373" s="128"/>
      <c r="G373" s="128"/>
      <c r="H373" s="129"/>
      <c r="I373" s="130"/>
      <c r="J373" s="23"/>
      <c r="K373" s="23"/>
      <c r="L373" s="23"/>
      <c r="M373" s="131"/>
      <c r="N373" s="131"/>
      <c r="O373" s="131"/>
    </row>
    <row r="374" spans="1:15" x14ac:dyDescent="0.3">
      <c r="A374" s="18"/>
      <c r="B374" s="18"/>
      <c r="C374" s="18"/>
      <c r="D374" s="33"/>
      <c r="E374" s="127"/>
      <c r="F374" s="128"/>
      <c r="G374" s="128"/>
      <c r="H374" s="129"/>
      <c r="I374" s="130"/>
      <c r="J374" s="23"/>
      <c r="K374" s="23"/>
      <c r="L374" s="23"/>
      <c r="M374" s="131"/>
      <c r="N374" s="131"/>
      <c r="O374" s="131"/>
    </row>
    <row r="375" spans="1:15" x14ac:dyDescent="0.3">
      <c r="A375" s="18"/>
      <c r="B375" s="18"/>
      <c r="C375" s="18"/>
      <c r="D375" s="33"/>
      <c r="E375" s="127"/>
      <c r="F375" s="128"/>
      <c r="G375" s="128"/>
      <c r="H375" s="129"/>
      <c r="I375" s="130"/>
      <c r="J375" s="23"/>
      <c r="K375" s="23"/>
      <c r="L375" s="23"/>
      <c r="M375" s="131"/>
      <c r="N375" s="131"/>
      <c r="O375" s="131"/>
    </row>
    <row r="376" spans="1:15" x14ac:dyDescent="0.3">
      <c r="A376" s="18"/>
      <c r="B376" s="18"/>
      <c r="C376" s="18"/>
      <c r="D376" s="33"/>
      <c r="E376" s="127"/>
      <c r="F376" s="128"/>
      <c r="G376" s="128"/>
      <c r="H376" s="129"/>
      <c r="I376" s="130"/>
      <c r="J376" s="23"/>
      <c r="K376" s="23"/>
      <c r="L376" s="23"/>
      <c r="M376" s="131"/>
      <c r="N376" s="131"/>
      <c r="O376" s="131"/>
    </row>
    <row r="377" spans="1:15" x14ac:dyDescent="0.3">
      <c r="A377" s="18"/>
      <c r="B377" s="18"/>
      <c r="C377" s="18"/>
      <c r="D377" s="33"/>
      <c r="E377" s="127"/>
      <c r="F377" s="128"/>
      <c r="G377" s="128"/>
      <c r="H377" s="129"/>
      <c r="I377" s="130"/>
      <c r="J377" s="23"/>
      <c r="K377" s="23"/>
      <c r="L377" s="23"/>
      <c r="M377" s="131"/>
      <c r="N377" s="131"/>
      <c r="O377" s="131"/>
    </row>
    <row r="378" spans="1:15" x14ac:dyDescent="0.3">
      <c r="A378" s="18"/>
      <c r="B378" s="18"/>
      <c r="C378" s="18"/>
      <c r="D378" s="33"/>
      <c r="E378" s="127"/>
      <c r="F378" s="128"/>
      <c r="G378" s="128"/>
      <c r="H378" s="129"/>
      <c r="I378" s="130"/>
      <c r="J378" s="23"/>
      <c r="K378" s="23"/>
      <c r="L378" s="23"/>
      <c r="M378" s="131"/>
      <c r="N378" s="131"/>
      <c r="O378" s="131"/>
    </row>
    <row r="379" spans="1:15" x14ac:dyDescent="0.3">
      <c r="A379" s="18"/>
      <c r="B379" s="18"/>
      <c r="C379" s="18"/>
      <c r="D379" s="33"/>
      <c r="E379" s="127"/>
      <c r="F379" s="128"/>
      <c r="G379" s="128"/>
      <c r="H379" s="129"/>
      <c r="I379" s="130"/>
      <c r="J379" s="23"/>
      <c r="K379" s="23"/>
      <c r="L379" s="23"/>
      <c r="M379" s="131"/>
      <c r="N379" s="131"/>
      <c r="O379" s="131"/>
    </row>
    <row r="380" spans="1:15" x14ac:dyDescent="0.3">
      <c r="A380" s="18"/>
      <c r="B380" s="18"/>
      <c r="C380" s="18"/>
      <c r="D380" s="33"/>
      <c r="E380" s="127"/>
      <c r="F380" s="128"/>
      <c r="G380" s="128"/>
      <c r="H380" s="129"/>
      <c r="I380" s="130"/>
      <c r="J380" s="23"/>
      <c r="K380" s="23"/>
      <c r="L380" s="23"/>
      <c r="M380" s="131"/>
      <c r="N380" s="131"/>
      <c r="O380" s="131"/>
    </row>
    <row r="381" spans="1:15" x14ac:dyDescent="0.3">
      <c r="A381" s="18"/>
      <c r="B381" s="18"/>
      <c r="C381" s="18"/>
      <c r="D381" s="33"/>
      <c r="E381" s="127"/>
      <c r="F381" s="128"/>
      <c r="G381" s="128"/>
      <c r="H381" s="129"/>
      <c r="I381" s="130"/>
      <c r="J381" s="23"/>
      <c r="K381" s="23"/>
      <c r="L381" s="23"/>
      <c r="M381" s="131"/>
      <c r="N381" s="131"/>
      <c r="O381" s="131"/>
    </row>
    <row r="382" spans="1:15" x14ac:dyDescent="0.3">
      <c r="A382" s="18"/>
      <c r="B382" s="18"/>
      <c r="C382" s="18"/>
      <c r="D382" s="33"/>
      <c r="E382" s="127"/>
      <c r="F382" s="128"/>
      <c r="G382" s="128"/>
      <c r="H382" s="129"/>
      <c r="I382" s="130"/>
      <c r="J382" s="23"/>
      <c r="K382" s="23"/>
      <c r="L382" s="23"/>
      <c r="M382" s="131"/>
      <c r="N382" s="131"/>
      <c r="O382" s="131"/>
    </row>
    <row r="383" spans="1:15" x14ac:dyDescent="0.3">
      <c r="A383" s="18"/>
      <c r="B383" s="18"/>
      <c r="C383" s="18"/>
      <c r="D383" s="33"/>
      <c r="E383" s="127"/>
      <c r="F383" s="128"/>
      <c r="G383" s="128"/>
      <c r="H383" s="129"/>
      <c r="I383" s="130"/>
      <c r="J383" s="23"/>
      <c r="K383" s="23"/>
      <c r="L383" s="23"/>
      <c r="M383" s="131"/>
      <c r="N383" s="131"/>
      <c r="O383" s="131"/>
    </row>
    <row r="384" spans="1:15" x14ac:dyDescent="0.3">
      <c r="A384" s="18"/>
      <c r="B384" s="18"/>
      <c r="C384" s="18"/>
      <c r="D384" s="33"/>
      <c r="E384" s="127"/>
      <c r="F384" s="128"/>
      <c r="G384" s="128"/>
      <c r="H384" s="129"/>
      <c r="I384" s="130"/>
      <c r="J384" s="23"/>
      <c r="K384" s="23"/>
      <c r="L384" s="23"/>
      <c r="M384" s="131"/>
      <c r="N384" s="131"/>
      <c r="O384" s="131"/>
    </row>
    <row r="385" spans="1:15" x14ac:dyDescent="0.3">
      <c r="A385" s="18"/>
      <c r="B385" s="18"/>
      <c r="C385" s="18"/>
      <c r="D385" s="33"/>
      <c r="E385" s="127"/>
      <c r="F385" s="128"/>
      <c r="G385" s="128"/>
      <c r="H385" s="129"/>
      <c r="I385" s="130"/>
      <c r="J385" s="23"/>
      <c r="K385" s="23"/>
      <c r="L385" s="23"/>
      <c r="M385" s="131"/>
      <c r="N385" s="131"/>
      <c r="O385" s="131"/>
    </row>
    <row r="386" spans="1:15" x14ac:dyDescent="0.3">
      <c r="A386" s="18"/>
      <c r="B386" s="18"/>
      <c r="C386" s="18"/>
      <c r="D386" s="33"/>
      <c r="E386" s="127"/>
      <c r="F386" s="128"/>
      <c r="G386" s="128"/>
      <c r="H386" s="129"/>
      <c r="I386" s="130"/>
      <c r="J386" s="23"/>
      <c r="K386" s="23"/>
      <c r="L386" s="23"/>
      <c r="M386" s="131"/>
      <c r="N386" s="131"/>
      <c r="O386" s="131"/>
    </row>
    <row r="387" spans="1:15" x14ac:dyDescent="0.3">
      <c r="A387" s="18"/>
      <c r="B387" s="18"/>
      <c r="C387" s="18"/>
      <c r="D387" s="33"/>
      <c r="E387" s="127"/>
      <c r="F387" s="128"/>
      <c r="G387" s="128"/>
      <c r="H387" s="129"/>
      <c r="I387" s="130"/>
      <c r="J387" s="23"/>
      <c r="K387" s="23"/>
      <c r="L387" s="23"/>
      <c r="M387" s="131"/>
      <c r="N387" s="131"/>
      <c r="O387" s="131"/>
    </row>
    <row r="388" spans="1:15" x14ac:dyDescent="0.3">
      <c r="A388" s="18"/>
      <c r="B388" s="18"/>
      <c r="C388" s="18"/>
      <c r="D388" s="33"/>
      <c r="E388" s="127"/>
      <c r="F388" s="128"/>
      <c r="G388" s="128"/>
      <c r="H388" s="129"/>
      <c r="I388" s="130"/>
      <c r="J388" s="23"/>
      <c r="K388" s="23"/>
      <c r="L388" s="23"/>
      <c r="M388" s="131"/>
      <c r="N388" s="131"/>
      <c r="O388" s="131"/>
    </row>
    <row r="389" spans="1:15" x14ac:dyDescent="0.3">
      <c r="A389" s="18"/>
      <c r="B389" s="18"/>
      <c r="C389" s="18"/>
      <c r="D389" s="33"/>
      <c r="E389" s="127"/>
      <c r="F389" s="128"/>
      <c r="G389" s="128"/>
      <c r="H389" s="129"/>
      <c r="I389" s="130"/>
      <c r="J389" s="23"/>
      <c r="K389" s="23"/>
      <c r="L389" s="23"/>
      <c r="M389" s="131"/>
      <c r="N389" s="131"/>
      <c r="O389" s="131"/>
    </row>
    <row r="390" spans="1:15" x14ac:dyDescent="0.3">
      <c r="A390" s="18"/>
      <c r="B390" s="18"/>
      <c r="C390" s="18"/>
      <c r="D390" s="33"/>
      <c r="E390" s="127"/>
      <c r="F390" s="128"/>
      <c r="G390" s="128"/>
      <c r="H390" s="129"/>
      <c r="I390" s="130"/>
      <c r="J390" s="23"/>
      <c r="K390" s="23"/>
      <c r="L390" s="23"/>
      <c r="M390" s="131"/>
      <c r="N390" s="131"/>
      <c r="O390" s="131"/>
    </row>
    <row r="391" spans="1:15" x14ac:dyDescent="0.3">
      <c r="A391" s="18"/>
      <c r="B391" s="18"/>
      <c r="C391" s="18"/>
      <c r="D391" s="33"/>
      <c r="E391" s="127"/>
      <c r="F391" s="128"/>
      <c r="G391" s="128"/>
      <c r="H391" s="129"/>
      <c r="I391" s="130"/>
      <c r="J391" s="23"/>
      <c r="K391" s="23"/>
      <c r="L391" s="23"/>
      <c r="M391" s="131"/>
      <c r="N391" s="131"/>
      <c r="O391" s="131"/>
    </row>
    <row r="392" spans="1:15" x14ac:dyDescent="0.3">
      <c r="A392" s="18"/>
      <c r="B392" s="18"/>
      <c r="C392" s="18"/>
      <c r="D392" s="33"/>
      <c r="E392" s="127"/>
      <c r="F392" s="128"/>
      <c r="G392" s="128"/>
      <c r="H392" s="129"/>
      <c r="I392" s="130"/>
      <c r="J392" s="23"/>
      <c r="K392" s="23"/>
      <c r="L392" s="23"/>
      <c r="M392" s="131"/>
      <c r="N392" s="131"/>
      <c r="O392" s="131"/>
    </row>
    <row r="393" spans="1:15" x14ac:dyDescent="0.3">
      <c r="A393" s="18"/>
      <c r="B393" s="18"/>
      <c r="C393" s="18"/>
      <c r="D393" s="33"/>
      <c r="E393" s="127"/>
      <c r="F393" s="128"/>
      <c r="G393" s="128"/>
      <c r="H393" s="129"/>
      <c r="I393" s="130"/>
      <c r="J393" s="23"/>
      <c r="K393" s="23"/>
      <c r="L393" s="23"/>
      <c r="M393" s="131"/>
      <c r="N393" s="131"/>
      <c r="O393" s="131"/>
    </row>
    <row r="394" spans="1:15" x14ac:dyDescent="0.3">
      <c r="A394" s="18"/>
      <c r="B394" s="18"/>
      <c r="C394" s="18"/>
      <c r="D394" s="33"/>
      <c r="E394" s="127"/>
      <c r="F394" s="128"/>
      <c r="G394" s="128"/>
      <c r="H394" s="129"/>
      <c r="I394" s="130"/>
      <c r="J394" s="23"/>
      <c r="K394" s="23"/>
      <c r="L394" s="23"/>
      <c r="M394" s="131"/>
      <c r="N394" s="131"/>
      <c r="O394" s="131"/>
    </row>
    <row r="395" spans="1:15" x14ac:dyDescent="0.3">
      <c r="A395" s="18"/>
      <c r="B395" s="18"/>
      <c r="C395" s="18"/>
      <c r="D395" s="33"/>
      <c r="E395" s="127"/>
      <c r="F395" s="128"/>
      <c r="G395" s="128"/>
      <c r="H395" s="129"/>
      <c r="I395" s="130"/>
      <c r="J395" s="23"/>
      <c r="K395" s="23"/>
      <c r="L395" s="23"/>
      <c r="M395" s="131"/>
      <c r="N395" s="131"/>
      <c r="O395" s="131"/>
    </row>
    <row r="396" spans="1:15" x14ac:dyDescent="0.3">
      <c r="A396" s="18"/>
      <c r="B396" s="18"/>
      <c r="C396" s="18"/>
      <c r="D396" s="33"/>
      <c r="E396" s="127"/>
      <c r="F396" s="128"/>
      <c r="G396" s="128"/>
      <c r="H396" s="129"/>
      <c r="I396" s="130"/>
      <c r="J396" s="23"/>
      <c r="K396" s="23"/>
      <c r="L396" s="23"/>
      <c r="M396" s="131"/>
      <c r="N396" s="131"/>
      <c r="O396" s="131"/>
    </row>
    <row r="397" spans="1:15" x14ac:dyDescent="0.3">
      <c r="A397" s="18"/>
      <c r="B397" s="18"/>
      <c r="C397" s="18"/>
      <c r="D397" s="33"/>
      <c r="E397" s="127"/>
      <c r="F397" s="128"/>
      <c r="G397" s="128"/>
      <c r="H397" s="129"/>
      <c r="I397" s="130"/>
      <c r="J397" s="23"/>
      <c r="K397" s="23"/>
      <c r="L397" s="23"/>
      <c r="M397" s="131"/>
      <c r="N397" s="131"/>
      <c r="O397" s="131"/>
    </row>
    <row r="398" spans="1:15" x14ac:dyDescent="0.3">
      <c r="A398" s="18"/>
      <c r="B398" s="18"/>
      <c r="C398" s="18"/>
      <c r="D398" s="33"/>
      <c r="E398" s="127"/>
      <c r="F398" s="128"/>
      <c r="G398" s="128"/>
      <c r="H398" s="129"/>
      <c r="I398" s="130"/>
      <c r="J398" s="23"/>
      <c r="K398" s="23"/>
      <c r="L398" s="23"/>
      <c r="M398" s="131"/>
      <c r="N398" s="131"/>
      <c r="O398" s="131"/>
    </row>
    <row r="399" spans="1:15" x14ac:dyDescent="0.3">
      <c r="A399" s="18"/>
      <c r="B399" s="18"/>
      <c r="C399" s="18"/>
      <c r="D399" s="33"/>
      <c r="E399" s="127"/>
      <c r="F399" s="128"/>
      <c r="G399" s="128"/>
      <c r="H399" s="129"/>
      <c r="I399" s="130"/>
      <c r="J399" s="23"/>
      <c r="K399" s="23"/>
      <c r="L399" s="23"/>
      <c r="M399" s="131"/>
      <c r="N399" s="131"/>
      <c r="O399" s="131"/>
    </row>
    <row r="400" spans="1:15" x14ac:dyDescent="0.3">
      <c r="A400" s="18"/>
      <c r="B400" s="18"/>
      <c r="C400" s="18"/>
      <c r="D400" s="33"/>
      <c r="E400" s="127"/>
      <c r="F400" s="128"/>
      <c r="G400" s="128"/>
      <c r="H400" s="129"/>
      <c r="I400" s="130"/>
      <c r="J400" s="23"/>
      <c r="K400" s="23"/>
      <c r="L400" s="23"/>
      <c r="M400" s="131"/>
      <c r="N400" s="131"/>
      <c r="O400" s="131"/>
    </row>
    <row r="401" spans="1:15" x14ac:dyDescent="0.3">
      <c r="A401" s="18"/>
      <c r="B401" s="18"/>
      <c r="C401" s="18"/>
      <c r="D401" s="33"/>
      <c r="E401" s="127"/>
      <c r="F401" s="128"/>
      <c r="G401" s="128"/>
      <c r="H401" s="129"/>
      <c r="I401" s="130"/>
      <c r="J401" s="23"/>
      <c r="K401" s="23"/>
      <c r="L401" s="23"/>
      <c r="M401" s="131"/>
      <c r="N401" s="131"/>
      <c r="O401" s="131"/>
    </row>
    <row r="402" spans="1:15" x14ac:dyDescent="0.3">
      <c r="A402" s="18"/>
      <c r="B402" s="18"/>
      <c r="C402" s="18"/>
      <c r="D402" s="33"/>
      <c r="E402" s="127"/>
      <c r="F402" s="128"/>
      <c r="G402" s="128"/>
      <c r="H402" s="129"/>
      <c r="I402" s="130"/>
      <c r="J402" s="23"/>
      <c r="K402" s="23"/>
      <c r="L402" s="23"/>
      <c r="M402" s="131"/>
      <c r="N402" s="131"/>
      <c r="O402" s="131"/>
    </row>
    <row r="403" spans="1:15" x14ac:dyDescent="0.3">
      <c r="A403" s="18"/>
      <c r="B403" s="18"/>
      <c r="C403" s="18"/>
      <c r="D403" s="33"/>
      <c r="E403" s="127"/>
      <c r="F403" s="128"/>
      <c r="G403" s="128"/>
      <c r="H403" s="129"/>
      <c r="I403" s="130"/>
      <c r="J403" s="23"/>
      <c r="K403" s="23"/>
      <c r="L403" s="23"/>
      <c r="M403" s="131"/>
      <c r="N403" s="131"/>
      <c r="O403" s="131"/>
    </row>
    <row r="404" spans="1:15" x14ac:dyDescent="0.3">
      <c r="A404" s="18"/>
      <c r="B404" s="18"/>
      <c r="C404" s="18"/>
      <c r="D404" s="33"/>
      <c r="E404" s="127"/>
      <c r="F404" s="128"/>
      <c r="G404" s="128"/>
      <c r="H404" s="129"/>
      <c r="I404" s="130"/>
      <c r="J404" s="23"/>
      <c r="K404" s="23"/>
      <c r="L404" s="23"/>
      <c r="M404" s="131"/>
      <c r="N404" s="131"/>
      <c r="O404" s="131"/>
    </row>
    <row r="405" spans="1:15" x14ac:dyDescent="0.3">
      <c r="A405" s="18"/>
      <c r="B405" s="18"/>
      <c r="C405" s="18"/>
      <c r="D405" s="33"/>
      <c r="E405" s="127"/>
      <c r="F405" s="128"/>
      <c r="G405" s="128"/>
      <c r="H405" s="129"/>
      <c r="I405" s="130"/>
      <c r="J405" s="23"/>
      <c r="K405" s="23"/>
      <c r="L405" s="23"/>
      <c r="M405" s="131"/>
      <c r="N405" s="131"/>
      <c r="O405" s="131"/>
    </row>
    <row r="406" spans="1:15" x14ac:dyDescent="0.3">
      <c r="A406" s="18"/>
      <c r="B406" s="18"/>
      <c r="C406" s="18"/>
      <c r="D406" s="33"/>
      <c r="E406" s="127"/>
      <c r="F406" s="128"/>
      <c r="G406" s="128"/>
      <c r="H406" s="129"/>
      <c r="I406" s="130"/>
      <c r="J406" s="23"/>
      <c r="K406" s="23"/>
      <c r="L406" s="23"/>
      <c r="M406" s="131"/>
      <c r="N406" s="131"/>
      <c r="O406" s="131"/>
    </row>
    <row r="407" spans="1:15" x14ac:dyDescent="0.3">
      <c r="A407" s="18"/>
      <c r="B407" s="18"/>
      <c r="C407" s="18"/>
      <c r="D407" s="33"/>
      <c r="E407" s="127"/>
      <c r="F407" s="128"/>
      <c r="G407" s="128"/>
      <c r="H407" s="129"/>
      <c r="I407" s="130"/>
      <c r="J407" s="23"/>
      <c r="K407" s="23"/>
      <c r="L407" s="23"/>
      <c r="M407" s="131"/>
      <c r="N407" s="131"/>
      <c r="O407" s="131"/>
    </row>
    <row r="408" spans="1:15" x14ac:dyDescent="0.3">
      <c r="A408" s="18"/>
      <c r="B408" s="18"/>
      <c r="C408" s="18"/>
      <c r="D408" s="33"/>
      <c r="E408" s="127"/>
      <c r="F408" s="128"/>
      <c r="G408" s="128"/>
      <c r="H408" s="129"/>
      <c r="I408" s="130"/>
      <c r="J408" s="23"/>
      <c r="K408" s="23"/>
      <c r="L408" s="23"/>
      <c r="M408" s="131"/>
      <c r="N408" s="131"/>
      <c r="O408" s="131"/>
    </row>
    <row r="409" spans="1:15" x14ac:dyDescent="0.3">
      <c r="A409" s="18"/>
      <c r="B409" s="18"/>
      <c r="C409" s="18"/>
      <c r="D409" s="33"/>
      <c r="E409" s="127"/>
      <c r="F409" s="128"/>
      <c r="G409" s="128"/>
      <c r="H409" s="129"/>
      <c r="I409" s="130"/>
      <c r="J409" s="23"/>
      <c r="K409" s="23"/>
      <c r="L409" s="23"/>
      <c r="M409" s="131"/>
      <c r="N409" s="131"/>
      <c r="O409" s="131"/>
    </row>
    <row r="410" spans="1:15" x14ac:dyDescent="0.3">
      <c r="A410" s="18"/>
      <c r="B410" s="18"/>
      <c r="C410" s="18"/>
      <c r="D410" s="33"/>
      <c r="E410" s="127"/>
      <c r="F410" s="128"/>
      <c r="G410" s="128"/>
      <c r="H410" s="129"/>
      <c r="I410" s="130"/>
      <c r="J410" s="23"/>
      <c r="K410" s="23"/>
      <c r="L410" s="23"/>
      <c r="M410" s="131"/>
      <c r="N410" s="131"/>
      <c r="O410" s="131"/>
    </row>
    <row r="411" spans="1:15" x14ac:dyDescent="0.3">
      <c r="A411" s="18"/>
      <c r="B411" s="18"/>
      <c r="C411" s="18"/>
      <c r="D411" s="33"/>
      <c r="E411" s="127"/>
      <c r="F411" s="128"/>
      <c r="G411" s="128"/>
      <c r="H411" s="129"/>
      <c r="I411" s="130"/>
      <c r="J411" s="23"/>
      <c r="K411" s="23"/>
      <c r="L411" s="23"/>
      <c r="M411" s="131"/>
      <c r="N411" s="131"/>
      <c r="O411" s="131"/>
    </row>
    <row r="412" spans="1:15" x14ac:dyDescent="0.3">
      <c r="A412" s="18"/>
      <c r="B412" s="18"/>
      <c r="C412" s="18"/>
      <c r="D412" s="33"/>
      <c r="E412" s="127"/>
      <c r="F412" s="128"/>
      <c r="G412" s="128"/>
      <c r="H412" s="129"/>
      <c r="I412" s="130"/>
      <c r="J412" s="23"/>
      <c r="K412" s="23"/>
      <c r="L412" s="23"/>
      <c r="M412" s="131"/>
      <c r="N412" s="131"/>
      <c r="O412" s="131"/>
    </row>
    <row r="413" spans="1:15" x14ac:dyDescent="0.3">
      <c r="A413" s="18"/>
      <c r="B413" s="18"/>
      <c r="C413" s="18"/>
      <c r="D413" s="33"/>
      <c r="E413" s="127"/>
      <c r="F413" s="128"/>
      <c r="G413" s="128"/>
      <c r="H413" s="129"/>
      <c r="I413" s="130"/>
      <c r="J413" s="23"/>
      <c r="K413" s="23"/>
      <c r="L413" s="23"/>
      <c r="M413" s="131"/>
      <c r="N413" s="131"/>
      <c r="O413" s="131"/>
    </row>
    <row r="414" spans="1:15" x14ac:dyDescent="0.3">
      <c r="A414" s="18"/>
      <c r="B414" s="18"/>
      <c r="C414" s="18"/>
      <c r="D414" s="33"/>
      <c r="E414" s="127"/>
      <c r="F414" s="128"/>
      <c r="G414" s="128"/>
      <c r="H414" s="129"/>
      <c r="I414" s="130"/>
      <c r="J414" s="23"/>
      <c r="K414" s="23"/>
      <c r="L414" s="23"/>
      <c r="M414" s="131"/>
      <c r="N414" s="131"/>
      <c r="O414" s="131"/>
    </row>
    <row r="415" spans="1:15" x14ac:dyDescent="0.3">
      <c r="A415" s="18"/>
      <c r="B415" s="18"/>
      <c r="C415" s="18"/>
      <c r="D415" s="33"/>
      <c r="E415" s="127"/>
      <c r="F415" s="128"/>
      <c r="G415" s="128"/>
      <c r="H415" s="129"/>
      <c r="I415" s="130"/>
      <c r="J415" s="23"/>
      <c r="K415" s="23"/>
      <c r="L415" s="23"/>
      <c r="M415" s="131"/>
      <c r="N415" s="131"/>
      <c r="O415" s="131"/>
    </row>
    <row r="416" spans="1:15" x14ac:dyDescent="0.3">
      <c r="A416" s="18"/>
      <c r="B416" s="18"/>
      <c r="C416" s="18"/>
      <c r="D416" s="33"/>
      <c r="E416" s="127"/>
      <c r="F416" s="128"/>
      <c r="G416" s="128"/>
      <c r="H416" s="129"/>
      <c r="I416" s="130"/>
      <c r="J416" s="23"/>
      <c r="K416" s="23"/>
      <c r="L416" s="23"/>
      <c r="M416" s="131"/>
      <c r="N416" s="131"/>
      <c r="O416" s="131"/>
    </row>
    <row r="417" spans="1:15" x14ac:dyDescent="0.3">
      <c r="A417" s="18"/>
      <c r="B417" s="18"/>
      <c r="C417" s="18"/>
      <c r="D417" s="33"/>
      <c r="E417" s="127"/>
      <c r="F417" s="128"/>
      <c r="G417" s="128"/>
      <c r="H417" s="129"/>
      <c r="I417" s="130"/>
      <c r="J417" s="23"/>
      <c r="K417" s="23"/>
      <c r="L417" s="23"/>
      <c r="M417" s="131"/>
      <c r="N417" s="131"/>
      <c r="O417" s="131"/>
    </row>
    <row r="418" spans="1:15" x14ac:dyDescent="0.3">
      <c r="A418" s="18"/>
      <c r="B418" s="18"/>
      <c r="C418" s="18"/>
      <c r="D418" s="33"/>
      <c r="E418" s="127"/>
      <c r="F418" s="128"/>
      <c r="G418" s="128"/>
      <c r="H418" s="129"/>
      <c r="I418" s="130"/>
      <c r="J418" s="23"/>
      <c r="K418" s="23"/>
      <c r="L418" s="23"/>
      <c r="M418" s="131"/>
      <c r="N418" s="131"/>
      <c r="O418" s="131"/>
    </row>
    <row r="419" spans="1:15" x14ac:dyDescent="0.3">
      <c r="A419" s="18"/>
      <c r="B419" s="18"/>
      <c r="C419" s="18"/>
      <c r="D419" s="33"/>
      <c r="E419" s="127"/>
      <c r="F419" s="128"/>
      <c r="G419" s="128"/>
      <c r="H419" s="129"/>
      <c r="I419" s="130"/>
      <c r="J419" s="23"/>
      <c r="K419" s="23"/>
      <c r="L419" s="23"/>
      <c r="M419" s="131"/>
      <c r="N419" s="131"/>
      <c r="O419" s="131"/>
    </row>
    <row r="420" spans="1:15" x14ac:dyDescent="0.3">
      <c r="A420" s="18"/>
      <c r="B420" s="18"/>
      <c r="C420" s="18"/>
      <c r="D420" s="33"/>
      <c r="E420" s="127"/>
      <c r="F420" s="128"/>
      <c r="G420" s="128"/>
      <c r="H420" s="129"/>
      <c r="I420" s="130"/>
      <c r="J420" s="23"/>
      <c r="K420" s="23"/>
      <c r="L420" s="23"/>
      <c r="M420" s="131"/>
      <c r="N420" s="131"/>
      <c r="O420" s="131"/>
    </row>
    <row r="421" spans="1:15" x14ac:dyDescent="0.3">
      <c r="A421" s="18"/>
      <c r="B421" s="18"/>
      <c r="C421" s="18"/>
      <c r="D421" s="33"/>
      <c r="E421" s="127"/>
      <c r="F421" s="128"/>
      <c r="G421" s="128"/>
      <c r="H421" s="129"/>
      <c r="I421" s="130"/>
      <c r="J421" s="23"/>
      <c r="K421" s="23"/>
      <c r="L421" s="23"/>
      <c r="M421" s="131"/>
      <c r="N421" s="131"/>
      <c r="O421" s="131"/>
    </row>
    <row r="422" spans="1:15" x14ac:dyDescent="0.3">
      <c r="A422" s="18"/>
      <c r="B422" s="18"/>
      <c r="C422" s="18"/>
      <c r="D422" s="33"/>
      <c r="E422" s="127"/>
      <c r="F422" s="128"/>
      <c r="G422" s="128"/>
      <c r="H422" s="129"/>
      <c r="I422" s="130"/>
      <c r="J422" s="23"/>
      <c r="K422" s="23"/>
      <c r="L422" s="23"/>
      <c r="M422" s="131"/>
      <c r="N422" s="131"/>
      <c r="O422" s="131"/>
    </row>
    <row r="423" spans="1:15" x14ac:dyDescent="0.3">
      <c r="A423" s="18"/>
      <c r="B423" s="18"/>
      <c r="C423" s="18"/>
      <c r="D423" s="33"/>
      <c r="E423" s="127"/>
      <c r="F423" s="128"/>
      <c r="G423" s="128"/>
      <c r="H423" s="129"/>
      <c r="I423" s="130"/>
      <c r="J423" s="23"/>
      <c r="K423" s="23"/>
      <c r="L423" s="23"/>
      <c r="M423" s="131"/>
      <c r="N423" s="131"/>
      <c r="O423" s="131"/>
    </row>
    <row r="424" spans="1:15" x14ac:dyDescent="0.3">
      <c r="A424" s="18"/>
      <c r="B424" s="18"/>
      <c r="C424" s="18"/>
      <c r="D424" s="33"/>
      <c r="E424" s="127"/>
      <c r="F424" s="128"/>
      <c r="G424" s="128"/>
      <c r="H424" s="129"/>
      <c r="I424" s="130"/>
      <c r="J424" s="23"/>
      <c r="K424" s="23"/>
      <c r="L424" s="23"/>
      <c r="M424" s="131"/>
      <c r="N424" s="131"/>
      <c r="O424" s="131"/>
    </row>
    <row r="425" spans="1:15" x14ac:dyDescent="0.3">
      <c r="A425" s="18"/>
      <c r="B425" s="18"/>
      <c r="C425" s="18"/>
      <c r="D425" s="33"/>
      <c r="E425" s="127"/>
      <c r="F425" s="128"/>
      <c r="G425" s="128"/>
      <c r="H425" s="129"/>
      <c r="I425" s="130"/>
      <c r="J425" s="23"/>
      <c r="K425" s="23"/>
      <c r="L425" s="23"/>
      <c r="M425" s="131"/>
      <c r="N425" s="131"/>
      <c r="O425" s="131"/>
    </row>
    <row r="426" spans="1:15" x14ac:dyDescent="0.3">
      <c r="A426" s="18"/>
      <c r="B426" s="18"/>
      <c r="C426" s="18"/>
      <c r="D426" s="33"/>
      <c r="E426" s="127"/>
      <c r="F426" s="128"/>
      <c r="G426" s="128"/>
      <c r="H426" s="129"/>
      <c r="I426" s="130"/>
      <c r="J426" s="23"/>
      <c r="K426" s="23"/>
      <c r="L426" s="23"/>
      <c r="M426" s="131"/>
      <c r="N426" s="131"/>
      <c r="O426" s="131"/>
    </row>
    <row r="427" spans="1:15" x14ac:dyDescent="0.3">
      <c r="A427" s="18"/>
      <c r="B427" s="18"/>
      <c r="C427" s="18"/>
      <c r="D427" s="33"/>
      <c r="E427" s="127"/>
      <c r="F427" s="128"/>
      <c r="G427" s="128"/>
      <c r="H427" s="129"/>
      <c r="I427" s="130"/>
      <c r="J427" s="23"/>
      <c r="K427" s="23"/>
      <c r="L427" s="23"/>
      <c r="M427" s="131"/>
      <c r="N427" s="131"/>
      <c r="O427" s="131"/>
    </row>
    <row r="428" spans="1:15" x14ac:dyDescent="0.3">
      <c r="A428" s="18"/>
      <c r="B428" s="18"/>
      <c r="C428" s="18"/>
      <c r="D428" s="33"/>
      <c r="E428" s="127"/>
      <c r="F428" s="128"/>
      <c r="G428" s="128"/>
      <c r="H428" s="129"/>
      <c r="I428" s="130"/>
      <c r="J428" s="23"/>
      <c r="K428" s="23"/>
      <c r="L428" s="23"/>
      <c r="M428" s="131"/>
      <c r="N428" s="131"/>
      <c r="O428" s="131"/>
    </row>
    <row r="429" spans="1:15" x14ac:dyDescent="0.3">
      <c r="A429" s="18"/>
      <c r="B429" s="18"/>
      <c r="C429" s="18"/>
      <c r="D429" s="33"/>
      <c r="E429" s="127"/>
      <c r="F429" s="128"/>
      <c r="G429" s="128"/>
      <c r="H429" s="129"/>
      <c r="I429" s="130"/>
      <c r="J429" s="23"/>
      <c r="K429" s="23"/>
      <c r="L429" s="23"/>
      <c r="M429" s="131"/>
      <c r="N429" s="131"/>
      <c r="O429" s="131"/>
    </row>
    <row r="430" spans="1:15" x14ac:dyDescent="0.3">
      <c r="A430" s="18"/>
      <c r="B430" s="18"/>
      <c r="C430" s="18"/>
      <c r="D430" s="33"/>
      <c r="E430" s="127"/>
      <c r="F430" s="128"/>
      <c r="G430" s="128"/>
      <c r="H430" s="129"/>
      <c r="I430" s="130"/>
      <c r="J430" s="23"/>
      <c r="K430" s="23"/>
      <c r="L430" s="23"/>
      <c r="M430" s="131"/>
      <c r="N430" s="131"/>
      <c r="O430" s="131"/>
    </row>
    <row r="431" spans="1:15" x14ac:dyDescent="0.3">
      <c r="A431" s="18"/>
      <c r="B431" s="18"/>
      <c r="C431" s="18"/>
      <c r="D431" s="33"/>
      <c r="E431" s="127"/>
      <c r="F431" s="128"/>
      <c r="G431" s="128"/>
      <c r="H431" s="129"/>
      <c r="I431" s="130"/>
      <c r="J431" s="23"/>
      <c r="K431" s="23"/>
      <c r="L431" s="23"/>
      <c r="M431" s="131"/>
      <c r="N431" s="131"/>
      <c r="O431" s="131"/>
    </row>
    <row r="432" spans="1:15" x14ac:dyDescent="0.3">
      <c r="A432" s="18"/>
      <c r="B432" s="18"/>
      <c r="C432" s="18"/>
      <c r="D432" s="33"/>
      <c r="E432" s="127"/>
      <c r="F432" s="128"/>
      <c r="G432" s="128"/>
      <c r="H432" s="129"/>
      <c r="I432" s="130"/>
      <c r="J432" s="23"/>
      <c r="K432" s="23"/>
      <c r="L432" s="23"/>
      <c r="M432" s="131"/>
      <c r="N432" s="131"/>
      <c r="O432" s="131"/>
    </row>
    <row r="433" spans="1:15" x14ac:dyDescent="0.3">
      <c r="A433" s="18"/>
      <c r="B433" s="18"/>
      <c r="C433" s="18"/>
      <c r="D433" s="33"/>
      <c r="E433" s="127"/>
      <c r="F433" s="128"/>
      <c r="G433" s="128"/>
      <c r="H433" s="129"/>
      <c r="I433" s="130"/>
      <c r="J433" s="23"/>
      <c r="K433" s="23"/>
      <c r="L433" s="23"/>
      <c r="M433" s="131"/>
      <c r="N433" s="131"/>
      <c r="O433" s="131"/>
    </row>
    <row r="434" spans="1:15" x14ac:dyDescent="0.3">
      <c r="A434" s="18"/>
      <c r="B434" s="18"/>
      <c r="C434" s="18"/>
      <c r="D434" s="33"/>
      <c r="E434" s="127"/>
      <c r="F434" s="128"/>
      <c r="G434" s="128"/>
      <c r="H434" s="129"/>
      <c r="I434" s="130"/>
      <c r="J434" s="23"/>
      <c r="K434" s="23"/>
      <c r="L434" s="23"/>
      <c r="M434" s="131"/>
      <c r="N434" s="131"/>
      <c r="O434" s="131"/>
    </row>
    <row r="435" spans="1:15" x14ac:dyDescent="0.3">
      <c r="A435" s="18"/>
      <c r="B435" s="18"/>
      <c r="C435" s="18"/>
      <c r="D435" s="33"/>
      <c r="E435" s="127"/>
      <c r="F435" s="128"/>
      <c r="G435" s="128"/>
      <c r="H435" s="129"/>
      <c r="I435" s="130"/>
      <c r="J435" s="23"/>
      <c r="K435" s="23"/>
      <c r="L435" s="23"/>
      <c r="M435" s="131"/>
      <c r="N435" s="131"/>
      <c r="O435" s="131"/>
    </row>
    <row r="436" spans="1:15" x14ac:dyDescent="0.3">
      <c r="A436" s="18"/>
      <c r="B436" s="18"/>
      <c r="C436" s="18"/>
      <c r="D436" s="33"/>
      <c r="E436" s="127"/>
      <c r="F436" s="128"/>
      <c r="G436" s="128"/>
      <c r="H436" s="129"/>
      <c r="I436" s="130"/>
      <c r="J436" s="23"/>
      <c r="K436" s="23"/>
      <c r="L436" s="23"/>
      <c r="M436" s="131"/>
      <c r="N436" s="131"/>
      <c r="O436" s="131"/>
    </row>
    <row r="437" spans="1:15" x14ac:dyDescent="0.3">
      <c r="A437" s="18"/>
      <c r="B437" s="18"/>
      <c r="C437" s="18"/>
      <c r="D437" s="33"/>
      <c r="E437" s="127"/>
      <c r="F437" s="128"/>
      <c r="G437" s="128"/>
      <c r="H437" s="129"/>
      <c r="I437" s="130"/>
      <c r="J437" s="23"/>
      <c r="K437" s="23"/>
      <c r="L437" s="23"/>
      <c r="M437" s="131"/>
      <c r="N437" s="131"/>
      <c r="O437" s="131"/>
    </row>
    <row r="438" spans="1:15" x14ac:dyDescent="0.3">
      <c r="A438" s="18"/>
      <c r="B438" s="18"/>
      <c r="C438" s="18"/>
      <c r="D438" s="33"/>
      <c r="E438" s="127"/>
      <c r="F438" s="128"/>
      <c r="G438" s="128"/>
      <c r="H438" s="129"/>
      <c r="I438" s="130"/>
      <c r="J438" s="23"/>
      <c r="K438" s="23"/>
      <c r="L438" s="23"/>
      <c r="M438" s="131"/>
      <c r="N438" s="131"/>
      <c r="O438" s="131"/>
    </row>
    <row r="439" spans="1:15" x14ac:dyDescent="0.3">
      <c r="A439" s="18"/>
      <c r="B439" s="18"/>
      <c r="C439" s="18"/>
      <c r="D439" s="33"/>
      <c r="E439" s="127"/>
      <c r="F439" s="128"/>
      <c r="G439" s="128"/>
      <c r="H439" s="129"/>
      <c r="I439" s="130"/>
      <c r="J439" s="23"/>
      <c r="K439" s="23"/>
      <c r="L439" s="23"/>
      <c r="M439" s="131"/>
      <c r="N439" s="131"/>
      <c r="O439" s="131"/>
    </row>
    <row r="440" spans="1:15" x14ac:dyDescent="0.3">
      <c r="A440" s="18"/>
      <c r="B440" s="18"/>
      <c r="C440" s="18"/>
      <c r="D440" s="33"/>
      <c r="E440" s="127"/>
      <c r="F440" s="128"/>
      <c r="G440" s="128"/>
      <c r="H440" s="129"/>
      <c r="I440" s="130"/>
      <c r="J440" s="23"/>
      <c r="K440" s="23"/>
      <c r="L440" s="23"/>
      <c r="M440" s="131"/>
      <c r="N440" s="131"/>
      <c r="O440" s="131"/>
    </row>
    <row r="441" spans="1:15" x14ac:dyDescent="0.3">
      <c r="A441" s="18"/>
      <c r="B441" s="18"/>
      <c r="C441" s="18"/>
      <c r="D441" s="33"/>
      <c r="E441" s="127"/>
      <c r="F441" s="128"/>
      <c r="G441" s="128"/>
      <c r="H441" s="129"/>
      <c r="I441" s="130"/>
      <c r="J441" s="23"/>
      <c r="K441" s="23"/>
      <c r="L441" s="23"/>
      <c r="M441" s="131"/>
      <c r="N441" s="131"/>
      <c r="O441" s="131"/>
    </row>
    <row r="442" spans="1:15" x14ac:dyDescent="0.3">
      <c r="A442" s="18"/>
      <c r="B442" s="18"/>
      <c r="C442" s="18"/>
      <c r="D442" s="33"/>
      <c r="E442" s="127"/>
      <c r="F442" s="128"/>
      <c r="G442" s="128"/>
      <c r="H442" s="129"/>
      <c r="I442" s="130"/>
      <c r="J442" s="23"/>
      <c r="K442" s="23"/>
      <c r="L442" s="23"/>
      <c r="M442" s="131"/>
      <c r="N442" s="131"/>
      <c r="O442" s="131"/>
    </row>
    <row r="443" spans="1:15" x14ac:dyDescent="0.3">
      <c r="A443" s="18"/>
      <c r="B443" s="18"/>
      <c r="C443" s="18"/>
      <c r="D443" s="33"/>
      <c r="E443" s="127"/>
      <c r="F443" s="128"/>
      <c r="G443" s="128"/>
      <c r="H443" s="129"/>
      <c r="I443" s="130"/>
      <c r="J443" s="23"/>
      <c r="K443" s="23"/>
      <c r="L443" s="23"/>
      <c r="M443" s="131"/>
      <c r="N443" s="131"/>
      <c r="O443" s="131"/>
    </row>
    <row r="444" spans="1:15" x14ac:dyDescent="0.3">
      <c r="A444" s="18"/>
      <c r="B444" s="18"/>
      <c r="C444" s="18"/>
      <c r="D444" s="33"/>
      <c r="E444" s="127"/>
      <c r="F444" s="128"/>
      <c r="G444" s="128"/>
      <c r="H444" s="129"/>
      <c r="I444" s="130"/>
      <c r="J444" s="23"/>
      <c r="K444" s="23"/>
      <c r="L444" s="23"/>
      <c r="M444" s="131"/>
      <c r="N444" s="131"/>
      <c r="O444" s="131"/>
    </row>
    <row r="445" spans="1:15" x14ac:dyDescent="0.3">
      <c r="A445" s="18"/>
      <c r="B445" s="18"/>
      <c r="C445" s="18"/>
      <c r="D445" s="33"/>
      <c r="E445" s="127"/>
      <c r="F445" s="128"/>
      <c r="G445" s="128"/>
      <c r="H445" s="129"/>
      <c r="I445" s="130"/>
      <c r="J445" s="23"/>
      <c r="K445" s="23"/>
      <c r="L445" s="23"/>
      <c r="M445" s="131"/>
      <c r="N445" s="131"/>
      <c r="O445" s="131"/>
    </row>
    <row r="446" spans="1:15" x14ac:dyDescent="0.3">
      <c r="A446" s="18"/>
      <c r="B446" s="18"/>
      <c r="C446" s="18"/>
      <c r="D446" s="33"/>
      <c r="E446" s="127"/>
      <c r="F446" s="128"/>
      <c r="G446" s="128"/>
      <c r="H446" s="129"/>
      <c r="I446" s="130"/>
      <c r="J446" s="23"/>
      <c r="K446" s="23"/>
      <c r="L446" s="23"/>
      <c r="M446" s="131"/>
      <c r="N446" s="131"/>
      <c r="O446" s="131"/>
    </row>
    <row r="447" spans="1:15" x14ac:dyDescent="0.3">
      <c r="A447" s="18"/>
      <c r="B447" s="18"/>
      <c r="C447" s="18"/>
      <c r="D447" s="33"/>
      <c r="E447" s="127"/>
      <c r="F447" s="128"/>
      <c r="G447" s="128"/>
      <c r="H447" s="129"/>
      <c r="I447" s="130"/>
      <c r="J447" s="23"/>
      <c r="K447" s="23"/>
      <c r="L447" s="23"/>
      <c r="M447" s="131"/>
      <c r="N447" s="131"/>
      <c r="O447" s="131"/>
    </row>
    <row r="448" spans="1:15" x14ac:dyDescent="0.3">
      <c r="A448" s="18"/>
      <c r="B448" s="18"/>
      <c r="C448" s="18"/>
      <c r="D448" s="33"/>
      <c r="E448" s="127"/>
      <c r="F448" s="128"/>
      <c r="G448" s="128"/>
      <c r="H448" s="129"/>
      <c r="I448" s="130"/>
      <c r="J448" s="23"/>
      <c r="K448" s="23"/>
      <c r="L448" s="23"/>
      <c r="M448" s="131"/>
      <c r="N448" s="131"/>
      <c r="O448" s="131"/>
    </row>
    <row r="449" spans="1:15" x14ac:dyDescent="0.3">
      <c r="A449" s="18"/>
      <c r="B449" s="18"/>
      <c r="C449" s="18"/>
      <c r="D449" s="33"/>
      <c r="E449" s="127"/>
      <c r="F449" s="128"/>
      <c r="G449" s="128"/>
      <c r="H449" s="129"/>
      <c r="I449" s="130"/>
      <c r="J449" s="23"/>
      <c r="K449" s="23"/>
      <c r="L449" s="23"/>
      <c r="M449" s="131"/>
      <c r="N449" s="131"/>
      <c r="O449" s="131"/>
    </row>
    <row r="450" spans="1:15" x14ac:dyDescent="0.3">
      <c r="A450" s="18"/>
      <c r="B450" s="18"/>
      <c r="C450" s="18"/>
      <c r="D450" s="33"/>
      <c r="E450" s="127"/>
      <c r="F450" s="128"/>
      <c r="G450" s="128"/>
      <c r="H450" s="129"/>
      <c r="I450" s="130"/>
      <c r="J450" s="23"/>
      <c r="K450" s="23"/>
      <c r="L450" s="23"/>
      <c r="M450" s="131"/>
      <c r="N450" s="131"/>
      <c r="O450" s="131"/>
    </row>
    <row r="451" spans="1:15" x14ac:dyDescent="0.3">
      <c r="A451" s="18"/>
      <c r="B451" s="18"/>
      <c r="C451" s="18"/>
      <c r="D451" s="33"/>
      <c r="E451" s="127"/>
      <c r="F451" s="128"/>
      <c r="G451" s="128"/>
      <c r="H451" s="129"/>
      <c r="I451" s="130"/>
      <c r="J451" s="23"/>
      <c r="K451" s="23"/>
      <c r="L451" s="23"/>
      <c r="M451" s="131"/>
      <c r="N451" s="131"/>
      <c r="O451" s="131"/>
    </row>
    <row r="452" spans="1:15" x14ac:dyDescent="0.3">
      <c r="A452" s="18"/>
      <c r="B452" s="18"/>
      <c r="C452" s="18"/>
      <c r="D452" s="33"/>
      <c r="E452" s="127"/>
      <c r="F452" s="128"/>
      <c r="G452" s="128"/>
      <c r="H452" s="129"/>
      <c r="I452" s="130"/>
      <c r="J452" s="23"/>
      <c r="K452" s="23"/>
      <c r="L452" s="23"/>
      <c r="M452" s="131"/>
      <c r="N452" s="131"/>
      <c r="O452" s="131"/>
    </row>
    <row r="453" spans="1:15" x14ac:dyDescent="0.3">
      <c r="A453" s="18"/>
      <c r="B453" s="18"/>
      <c r="C453" s="18"/>
      <c r="D453" s="33"/>
      <c r="E453" s="127"/>
      <c r="F453" s="128"/>
      <c r="G453" s="128"/>
      <c r="H453" s="129"/>
      <c r="I453" s="130"/>
      <c r="J453" s="23"/>
      <c r="K453" s="23"/>
      <c r="L453" s="23"/>
      <c r="M453" s="131"/>
      <c r="N453" s="131"/>
      <c r="O453" s="131"/>
    </row>
    <row r="454" spans="1:15" x14ac:dyDescent="0.3">
      <c r="A454" s="18"/>
      <c r="B454" s="18"/>
      <c r="C454" s="18"/>
      <c r="D454" s="33"/>
      <c r="E454" s="127"/>
      <c r="F454" s="128"/>
      <c r="G454" s="128"/>
      <c r="H454" s="129"/>
      <c r="I454" s="130"/>
      <c r="J454" s="23"/>
      <c r="K454" s="23"/>
      <c r="L454" s="23"/>
      <c r="M454" s="131"/>
      <c r="N454" s="131"/>
      <c r="O454" s="131"/>
    </row>
    <row r="455" spans="1:15" x14ac:dyDescent="0.3">
      <c r="A455" s="18"/>
      <c r="B455" s="18"/>
      <c r="C455" s="18"/>
      <c r="D455" s="33"/>
      <c r="E455" s="127"/>
      <c r="F455" s="128"/>
      <c r="G455" s="128"/>
      <c r="H455" s="129"/>
      <c r="I455" s="130"/>
      <c r="J455" s="23"/>
      <c r="K455" s="23"/>
      <c r="L455" s="23"/>
      <c r="M455" s="131"/>
      <c r="N455" s="131"/>
      <c r="O455" s="131"/>
    </row>
    <row r="456" spans="1:15" x14ac:dyDescent="0.3">
      <c r="A456" s="18"/>
      <c r="B456" s="18"/>
      <c r="C456" s="18"/>
      <c r="D456" s="33"/>
      <c r="E456" s="127"/>
      <c r="F456" s="128"/>
      <c r="G456" s="128"/>
      <c r="H456" s="129"/>
      <c r="I456" s="130"/>
      <c r="J456" s="23"/>
      <c r="K456" s="23"/>
      <c r="L456" s="23"/>
      <c r="M456" s="131"/>
      <c r="N456" s="131"/>
      <c r="O456" s="131"/>
    </row>
    <row r="457" spans="1:15" x14ac:dyDescent="0.3">
      <c r="A457" s="18"/>
      <c r="B457" s="18"/>
      <c r="C457" s="18"/>
      <c r="D457" s="33"/>
      <c r="E457" s="127"/>
      <c r="F457" s="128"/>
      <c r="G457" s="128"/>
      <c r="H457" s="129"/>
      <c r="I457" s="130"/>
      <c r="J457" s="23"/>
      <c r="K457" s="23"/>
      <c r="L457" s="23"/>
      <c r="M457" s="131"/>
      <c r="N457" s="131"/>
      <c r="O457" s="131"/>
    </row>
    <row r="458" spans="1:15" x14ac:dyDescent="0.3">
      <c r="A458" s="18"/>
      <c r="B458" s="18"/>
      <c r="C458" s="18"/>
      <c r="D458" s="33"/>
      <c r="E458" s="127"/>
      <c r="F458" s="128"/>
      <c r="G458" s="128"/>
      <c r="H458" s="129"/>
      <c r="I458" s="130"/>
      <c r="J458" s="23"/>
      <c r="K458" s="23"/>
      <c r="L458" s="23"/>
      <c r="M458" s="131"/>
      <c r="N458" s="131"/>
      <c r="O458" s="131"/>
    </row>
    <row r="459" spans="1:15" x14ac:dyDescent="0.3">
      <c r="A459" s="18"/>
      <c r="B459" s="18"/>
      <c r="C459" s="18"/>
      <c r="D459" s="33"/>
      <c r="E459" s="127"/>
      <c r="F459" s="128"/>
      <c r="G459" s="128"/>
      <c r="H459" s="129"/>
      <c r="I459" s="130"/>
      <c r="J459" s="23"/>
      <c r="K459" s="23"/>
      <c r="L459" s="23"/>
      <c r="M459" s="131"/>
      <c r="N459" s="131"/>
      <c r="O459" s="131"/>
    </row>
    <row r="460" spans="1:15" x14ac:dyDescent="0.3">
      <c r="A460" s="18"/>
      <c r="B460" s="18"/>
      <c r="C460" s="18"/>
      <c r="D460" s="33"/>
      <c r="E460" s="127"/>
      <c r="F460" s="128"/>
      <c r="G460" s="128"/>
      <c r="H460" s="129"/>
      <c r="I460" s="130"/>
      <c r="J460" s="23"/>
      <c r="K460" s="23"/>
      <c r="L460" s="23"/>
      <c r="M460" s="131"/>
      <c r="N460" s="131"/>
      <c r="O460" s="131"/>
    </row>
    <row r="461" spans="1:15" x14ac:dyDescent="0.3">
      <c r="A461" s="18"/>
      <c r="B461" s="18"/>
      <c r="C461" s="18"/>
      <c r="D461" s="33"/>
      <c r="E461" s="127"/>
      <c r="F461" s="128"/>
      <c r="G461" s="128"/>
      <c r="H461" s="129"/>
      <c r="I461" s="130"/>
      <c r="J461" s="23"/>
      <c r="K461" s="23"/>
      <c r="L461" s="23"/>
      <c r="M461" s="131"/>
      <c r="N461" s="131"/>
      <c r="O461" s="131"/>
    </row>
    <row r="462" spans="1:15" x14ac:dyDescent="0.3">
      <c r="A462" s="18"/>
      <c r="B462" s="18"/>
      <c r="C462" s="18"/>
      <c r="D462" s="33"/>
      <c r="E462" s="127"/>
      <c r="F462" s="128"/>
      <c r="G462" s="128"/>
      <c r="H462" s="129"/>
      <c r="I462" s="130"/>
      <c r="J462" s="23"/>
      <c r="K462" s="23"/>
      <c r="L462" s="23"/>
      <c r="M462" s="131"/>
      <c r="N462" s="131"/>
      <c r="O462" s="131"/>
    </row>
    <row r="463" spans="1:15" x14ac:dyDescent="0.3">
      <c r="A463" s="18"/>
      <c r="B463" s="18"/>
      <c r="C463" s="18"/>
      <c r="D463" s="33"/>
      <c r="E463" s="127"/>
      <c r="F463" s="128"/>
      <c r="G463" s="128"/>
      <c r="H463" s="129"/>
      <c r="I463" s="130"/>
      <c r="J463" s="23"/>
      <c r="K463" s="23"/>
      <c r="L463" s="23"/>
      <c r="M463" s="131"/>
      <c r="N463" s="131"/>
      <c r="O463" s="131"/>
    </row>
    <row r="464" spans="1:15" x14ac:dyDescent="0.3">
      <c r="A464" s="18"/>
      <c r="B464" s="18"/>
      <c r="C464" s="18"/>
      <c r="D464" s="33"/>
      <c r="E464" s="127"/>
      <c r="F464" s="128"/>
      <c r="G464" s="128"/>
      <c r="H464" s="129"/>
      <c r="I464" s="130"/>
      <c r="J464" s="23"/>
      <c r="K464" s="23"/>
      <c r="L464" s="23"/>
      <c r="M464" s="131"/>
      <c r="N464" s="131"/>
      <c r="O464" s="131"/>
    </row>
    <row r="465" spans="1:15" x14ac:dyDescent="0.3">
      <c r="A465" s="18"/>
      <c r="B465" s="18"/>
      <c r="C465" s="18"/>
      <c r="D465" s="33"/>
      <c r="E465" s="127"/>
      <c r="F465" s="128"/>
      <c r="G465" s="128"/>
      <c r="H465" s="129"/>
      <c r="I465" s="130"/>
      <c r="J465" s="23"/>
      <c r="K465" s="23"/>
      <c r="L465" s="23"/>
      <c r="M465" s="131"/>
      <c r="N465" s="131"/>
      <c r="O465" s="131"/>
    </row>
    <row r="466" spans="1:15" x14ac:dyDescent="0.3">
      <c r="A466" s="18"/>
      <c r="B466" s="18"/>
      <c r="C466" s="18"/>
      <c r="D466" s="33"/>
      <c r="E466" s="127"/>
      <c r="F466" s="128"/>
      <c r="G466" s="128"/>
      <c r="H466" s="129"/>
      <c r="I466" s="130"/>
      <c r="J466" s="23"/>
      <c r="K466" s="23"/>
      <c r="L466" s="23"/>
      <c r="M466" s="131"/>
      <c r="N466" s="131"/>
      <c r="O466" s="131"/>
    </row>
    <row r="467" spans="1:15" x14ac:dyDescent="0.3">
      <c r="A467" s="18"/>
      <c r="B467" s="18"/>
      <c r="C467" s="18"/>
      <c r="D467" s="33"/>
      <c r="E467" s="127"/>
      <c r="F467" s="128"/>
      <c r="G467" s="128"/>
      <c r="H467" s="129"/>
      <c r="I467" s="130"/>
      <c r="J467" s="23"/>
      <c r="K467" s="23"/>
      <c r="L467" s="23"/>
      <c r="M467" s="131"/>
      <c r="N467" s="131"/>
      <c r="O467" s="131"/>
    </row>
    <row r="468" spans="1:15" x14ac:dyDescent="0.3">
      <c r="A468" s="18"/>
      <c r="B468" s="18"/>
      <c r="C468" s="18"/>
      <c r="D468" s="33"/>
      <c r="E468" s="127"/>
      <c r="F468" s="128"/>
      <c r="G468" s="128"/>
      <c r="H468" s="129"/>
      <c r="I468" s="130"/>
      <c r="J468" s="23"/>
      <c r="K468" s="23"/>
      <c r="L468" s="23"/>
      <c r="M468" s="131"/>
      <c r="N468" s="131"/>
      <c r="O468" s="131"/>
    </row>
    <row r="469" spans="1:15" x14ac:dyDescent="0.3">
      <c r="A469" s="18"/>
      <c r="B469" s="18"/>
      <c r="C469" s="18"/>
      <c r="D469" s="33"/>
      <c r="E469" s="127"/>
      <c r="F469" s="128"/>
      <c r="G469" s="128"/>
      <c r="H469" s="129"/>
      <c r="I469" s="130"/>
      <c r="J469" s="23"/>
      <c r="K469" s="23"/>
      <c r="L469" s="23"/>
      <c r="M469" s="131"/>
      <c r="N469" s="131"/>
      <c r="O469" s="131"/>
    </row>
    <row r="470" spans="1:15" x14ac:dyDescent="0.3">
      <c r="A470" s="18"/>
      <c r="B470" s="18"/>
      <c r="C470" s="18"/>
      <c r="D470" s="33"/>
      <c r="E470" s="127"/>
      <c r="F470" s="128"/>
      <c r="G470" s="128"/>
      <c r="H470" s="129"/>
      <c r="I470" s="130"/>
      <c r="J470" s="23"/>
      <c r="K470" s="23"/>
      <c r="L470" s="23"/>
      <c r="M470" s="131"/>
      <c r="N470" s="131"/>
      <c r="O470" s="131"/>
    </row>
    <row r="471" spans="1:15" x14ac:dyDescent="0.3">
      <c r="A471" s="18"/>
      <c r="B471" s="18"/>
      <c r="C471" s="18"/>
      <c r="D471" s="33"/>
      <c r="E471" s="127"/>
      <c r="F471" s="128"/>
      <c r="G471" s="128"/>
      <c r="H471" s="129"/>
      <c r="I471" s="130"/>
      <c r="J471" s="23"/>
      <c r="K471" s="23"/>
      <c r="L471" s="23"/>
      <c r="M471" s="131"/>
      <c r="N471" s="131"/>
      <c r="O471" s="131"/>
    </row>
    <row r="472" spans="1:15" x14ac:dyDescent="0.3">
      <c r="A472" s="18"/>
      <c r="B472" s="18"/>
      <c r="C472" s="18"/>
      <c r="D472" s="33"/>
      <c r="E472" s="127"/>
      <c r="F472" s="128"/>
      <c r="G472" s="128"/>
      <c r="H472" s="129"/>
      <c r="I472" s="130"/>
      <c r="J472" s="23"/>
      <c r="K472" s="23"/>
      <c r="L472" s="23"/>
      <c r="M472" s="131"/>
      <c r="N472" s="131"/>
      <c r="O472" s="131"/>
    </row>
    <row r="473" spans="1:15" x14ac:dyDescent="0.3">
      <c r="A473" s="18"/>
      <c r="B473" s="18"/>
      <c r="C473" s="18"/>
      <c r="D473" s="33"/>
      <c r="E473" s="127"/>
      <c r="F473" s="128"/>
      <c r="G473" s="128"/>
      <c r="H473" s="129"/>
      <c r="I473" s="130"/>
      <c r="J473" s="23"/>
      <c r="K473" s="23"/>
      <c r="L473" s="23"/>
      <c r="M473" s="131"/>
      <c r="N473" s="131"/>
      <c r="O473" s="131"/>
    </row>
    <row r="474" spans="1:15" x14ac:dyDescent="0.3">
      <c r="A474" s="18"/>
      <c r="B474" s="18"/>
      <c r="C474" s="18"/>
      <c r="D474" s="33"/>
      <c r="E474" s="127"/>
      <c r="F474" s="128"/>
      <c r="G474" s="128"/>
      <c r="H474" s="129"/>
      <c r="I474" s="130"/>
      <c r="J474" s="23"/>
      <c r="K474" s="23"/>
      <c r="L474" s="23"/>
      <c r="M474" s="131"/>
      <c r="N474" s="131"/>
      <c r="O474" s="131"/>
    </row>
    <row r="475" spans="1:15" x14ac:dyDescent="0.3">
      <c r="A475" s="18"/>
      <c r="B475" s="18"/>
      <c r="C475" s="18"/>
      <c r="D475" s="33"/>
      <c r="E475" s="127"/>
      <c r="F475" s="128"/>
      <c r="G475" s="128"/>
      <c r="H475" s="129"/>
      <c r="I475" s="130"/>
      <c r="J475" s="23"/>
      <c r="K475" s="23"/>
      <c r="L475" s="23"/>
      <c r="M475" s="131"/>
      <c r="N475" s="131"/>
      <c r="O475" s="131"/>
    </row>
    <row r="476" spans="1:15" x14ac:dyDescent="0.3">
      <c r="A476" s="18"/>
      <c r="B476" s="18"/>
      <c r="C476" s="18"/>
      <c r="D476" s="33"/>
      <c r="E476" s="127"/>
      <c r="F476" s="128"/>
      <c r="G476" s="128"/>
      <c r="H476" s="129"/>
      <c r="I476" s="130"/>
      <c r="J476" s="23"/>
      <c r="K476" s="23"/>
      <c r="L476" s="23"/>
      <c r="M476" s="131"/>
      <c r="N476" s="131"/>
      <c r="O476" s="131"/>
    </row>
    <row r="477" spans="1:15" x14ac:dyDescent="0.3">
      <c r="A477" s="18"/>
      <c r="B477" s="18"/>
      <c r="C477" s="18"/>
      <c r="D477" s="33"/>
      <c r="E477" s="127"/>
      <c r="F477" s="128"/>
      <c r="G477" s="128"/>
      <c r="H477" s="129"/>
      <c r="I477" s="130"/>
      <c r="J477" s="23"/>
      <c r="K477" s="23"/>
      <c r="L477" s="23"/>
      <c r="M477" s="131"/>
      <c r="N477" s="131"/>
      <c r="O477" s="131"/>
    </row>
    <row r="478" spans="1:15" x14ac:dyDescent="0.3">
      <c r="A478" s="18"/>
      <c r="B478" s="18"/>
      <c r="C478" s="18"/>
      <c r="D478" s="33"/>
      <c r="E478" s="127"/>
      <c r="F478" s="128"/>
      <c r="G478" s="128"/>
      <c r="H478" s="129"/>
      <c r="I478" s="130"/>
      <c r="J478" s="23"/>
      <c r="K478" s="23"/>
      <c r="L478" s="23"/>
      <c r="M478" s="131"/>
      <c r="N478" s="131"/>
      <c r="O478" s="131"/>
    </row>
    <row r="479" spans="1:15" x14ac:dyDescent="0.3">
      <c r="A479" s="18"/>
      <c r="B479" s="18"/>
      <c r="C479" s="18"/>
      <c r="D479" s="33"/>
      <c r="E479" s="127"/>
      <c r="F479" s="128"/>
      <c r="G479" s="128"/>
      <c r="H479" s="129"/>
      <c r="I479" s="130"/>
      <c r="J479" s="23"/>
      <c r="K479" s="23"/>
      <c r="L479" s="23"/>
      <c r="M479" s="131"/>
      <c r="N479" s="131"/>
      <c r="O479" s="131"/>
    </row>
    <row r="480" spans="1:15" x14ac:dyDescent="0.3">
      <c r="A480" s="18"/>
      <c r="B480" s="18"/>
      <c r="C480" s="18"/>
      <c r="D480" s="33"/>
      <c r="E480" s="127"/>
      <c r="F480" s="128"/>
      <c r="G480" s="128"/>
      <c r="H480" s="129"/>
      <c r="I480" s="130"/>
      <c r="J480" s="23"/>
      <c r="K480" s="23"/>
      <c r="L480" s="23"/>
      <c r="M480" s="131"/>
      <c r="N480" s="131"/>
      <c r="O480" s="131"/>
    </row>
    <row r="481" spans="1:15" x14ac:dyDescent="0.3">
      <c r="A481" s="18"/>
      <c r="B481" s="18"/>
      <c r="C481" s="18"/>
      <c r="D481" s="33"/>
      <c r="E481" s="127"/>
      <c r="F481" s="128"/>
      <c r="G481" s="128"/>
      <c r="H481" s="129"/>
      <c r="I481" s="130"/>
      <c r="J481" s="23"/>
      <c r="K481" s="23"/>
      <c r="L481" s="23"/>
      <c r="M481" s="131"/>
      <c r="N481" s="131"/>
      <c r="O481" s="131"/>
    </row>
    <row r="482" spans="1:15" x14ac:dyDescent="0.3">
      <c r="A482" s="18"/>
      <c r="B482" s="18"/>
      <c r="C482" s="18"/>
      <c r="D482" s="33"/>
      <c r="E482" s="127"/>
      <c r="F482" s="128"/>
      <c r="G482" s="128"/>
      <c r="H482" s="129"/>
      <c r="I482" s="130"/>
      <c r="J482" s="23"/>
      <c r="K482" s="23"/>
      <c r="L482" s="23"/>
      <c r="M482" s="131"/>
      <c r="N482" s="131"/>
      <c r="O482" s="131"/>
    </row>
    <row r="483" spans="1:15" x14ac:dyDescent="0.3">
      <c r="A483" s="18"/>
      <c r="B483" s="18"/>
      <c r="C483" s="18"/>
      <c r="D483" s="33"/>
      <c r="E483" s="127"/>
      <c r="F483" s="128"/>
      <c r="G483" s="128"/>
      <c r="H483" s="129"/>
      <c r="I483" s="130"/>
      <c r="J483" s="23"/>
      <c r="K483" s="23"/>
      <c r="L483" s="23"/>
      <c r="M483" s="131"/>
      <c r="N483" s="131"/>
      <c r="O483" s="131"/>
    </row>
    <row r="484" spans="1:15" x14ac:dyDescent="0.3">
      <c r="A484" s="18"/>
      <c r="B484" s="18"/>
      <c r="C484" s="18"/>
      <c r="D484" s="33"/>
      <c r="E484" s="127"/>
      <c r="F484" s="128"/>
      <c r="G484" s="128"/>
      <c r="H484" s="129"/>
      <c r="I484" s="130"/>
      <c r="J484" s="23"/>
      <c r="K484" s="23"/>
      <c r="L484" s="23"/>
      <c r="M484" s="131"/>
      <c r="N484" s="131"/>
      <c r="O484" s="131"/>
    </row>
    <row r="485" spans="1:15" x14ac:dyDescent="0.3">
      <c r="A485" s="18"/>
      <c r="B485" s="18"/>
      <c r="C485" s="18"/>
      <c r="D485" s="33"/>
      <c r="E485" s="127"/>
      <c r="F485" s="128"/>
      <c r="G485" s="128"/>
      <c r="H485" s="129"/>
      <c r="I485" s="130"/>
      <c r="J485" s="23"/>
      <c r="K485" s="23"/>
      <c r="L485" s="23"/>
      <c r="M485" s="131"/>
      <c r="N485" s="131"/>
      <c r="O485" s="131"/>
    </row>
    <row r="486" spans="1:15" x14ac:dyDescent="0.3">
      <c r="A486" s="18"/>
      <c r="B486" s="18"/>
      <c r="C486" s="18"/>
      <c r="D486" s="33"/>
      <c r="E486" s="127"/>
      <c r="F486" s="128"/>
      <c r="G486" s="128"/>
      <c r="H486" s="129"/>
      <c r="I486" s="130"/>
      <c r="J486" s="23"/>
      <c r="K486" s="23"/>
      <c r="L486" s="23"/>
      <c r="M486" s="131"/>
      <c r="N486" s="131"/>
      <c r="O486" s="131"/>
    </row>
    <row r="487" spans="1:15" x14ac:dyDescent="0.3">
      <c r="A487" s="18"/>
      <c r="B487" s="18"/>
      <c r="C487" s="18"/>
      <c r="D487" s="33"/>
      <c r="E487" s="127"/>
      <c r="F487" s="128"/>
      <c r="G487" s="128"/>
      <c r="H487" s="129"/>
      <c r="I487" s="130"/>
      <c r="J487" s="23"/>
      <c r="K487" s="23"/>
      <c r="L487" s="23"/>
      <c r="M487" s="131"/>
      <c r="N487" s="131"/>
      <c r="O487" s="131"/>
    </row>
    <row r="488" spans="1:15" x14ac:dyDescent="0.3">
      <c r="A488" s="18"/>
      <c r="B488" s="18"/>
      <c r="C488" s="18"/>
      <c r="D488" s="33"/>
      <c r="E488" s="127"/>
      <c r="F488" s="128"/>
      <c r="G488" s="128"/>
      <c r="H488" s="129"/>
      <c r="I488" s="130"/>
      <c r="J488" s="23"/>
      <c r="K488" s="23"/>
      <c r="L488" s="23"/>
      <c r="M488" s="131"/>
      <c r="N488" s="131"/>
      <c r="O488" s="131"/>
    </row>
    <row r="489" spans="1:15" x14ac:dyDescent="0.3">
      <c r="A489" s="18"/>
      <c r="B489" s="18"/>
      <c r="C489" s="18"/>
      <c r="D489" s="33"/>
      <c r="E489" s="127"/>
      <c r="F489" s="128"/>
      <c r="G489" s="128"/>
      <c r="H489" s="129"/>
      <c r="I489" s="130"/>
      <c r="J489" s="23"/>
      <c r="K489" s="23"/>
      <c r="L489" s="23"/>
      <c r="M489" s="131"/>
      <c r="N489" s="131"/>
      <c r="O489" s="131"/>
    </row>
    <row r="490" spans="1:15" x14ac:dyDescent="0.3">
      <c r="A490" s="18"/>
      <c r="B490" s="18"/>
      <c r="C490" s="18"/>
      <c r="D490" s="33"/>
      <c r="E490" s="127"/>
      <c r="F490" s="128"/>
      <c r="G490" s="128"/>
      <c r="H490" s="129"/>
      <c r="I490" s="130"/>
      <c r="J490" s="23"/>
      <c r="K490" s="23"/>
      <c r="L490" s="23"/>
      <c r="M490" s="131"/>
      <c r="N490" s="131"/>
      <c r="O490" s="131"/>
    </row>
    <row r="491" spans="1:15" x14ac:dyDescent="0.3">
      <c r="A491" s="18"/>
      <c r="B491" s="18"/>
      <c r="C491" s="18"/>
      <c r="D491" s="33"/>
      <c r="E491" s="127"/>
      <c r="F491" s="128"/>
      <c r="G491" s="128"/>
      <c r="H491" s="129"/>
      <c r="I491" s="130"/>
      <c r="J491" s="23"/>
      <c r="K491" s="23"/>
      <c r="L491" s="23"/>
      <c r="M491" s="131"/>
      <c r="N491" s="131"/>
      <c r="O491" s="131"/>
    </row>
    <row r="492" spans="1:15" x14ac:dyDescent="0.3">
      <c r="A492" s="18"/>
      <c r="B492" s="18"/>
      <c r="C492" s="18"/>
      <c r="D492" s="33"/>
      <c r="E492" s="127"/>
      <c r="F492" s="128"/>
      <c r="G492" s="128"/>
      <c r="H492" s="129"/>
      <c r="I492" s="130"/>
      <c r="J492" s="23"/>
      <c r="K492" s="23"/>
      <c r="L492" s="23"/>
      <c r="M492" s="131"/>
      <c r="N492" s="131"/>
      <c r="O492" s="131"/>
    </row>
    <row r="493" spans="1:15" x14ac:dyDescent="0.3">
      <c r="A493" s="18"/>
      <c r="B493" s="18"/>
      <c r="C493" s="18"/>
      <c r="D493" s="33"/>
      <c r="E493" s="127"/>
      <c r="F493" s="128"/>
      <c r="G493" s="128"/>
      <c r="H493" s="129"/>
      <c r="I493" s="130"/>
      <c r="J493" s="23"/>
      <c r="K493" s="23"/>
      <c r="L493" s="23"/>
      <c r="M493" s="131"/>
      <c r="N493" s="131"/>
      <c r="O493" s="131"/>
    </row>
    <row r="494" spans="1:15" x14ac:dyDescent="0.3">
      <c r="A494" s="18"/>
      <c r="B494" s="18"/>
      <c r="C494" s="18"/>
      <c r="D494" s="33"/>
      <c r="E494" s="127"/>
      <c r="F494" s="128"/>
      <c r="G494" s="128"/>
      <c r="H494" s="129"/>
      <c r="I494" s="130"/>
      <c r="J494" s="23"/>
      <c r="K494" s="23"/>
      <c r="L494" s="23"/>
      <c r="M494" s="131"/>
      <c r="N494" s="131"/>
      <c r="O494" s="131"/>
    </row>
    <row r="495" spans="1:15" x14ac:dyDescent="0.3">
      <c r="A495" s="18"/>
      <c r="B495" s="18"/>
      <c r="C495" s="18"/>
      <c r="D495" s="33"/>
      <c r="E495" s="127"/>
      <c r="F495" s="128"/>
      <c r="G495" s="128"/>
      <c r="H495" s="129"/>
      <c r="I495" s="130"/>
      <c r="J495" s="23"/>
      <c r="K495" s="23"/>
      <c r="L495" s="23"/>
      <c r="M495" s="131"/>
      <c r="N495" s="131"/>
      <c r="O495" s="131"/>
    </row>
    <row r="496" spans="1:15" x14ac:dyDescent="0.3">
      <c r="A496" s="18"/>
      <c r="B496" s="18"/>
      <c r="C496" s="18"/>
      <c r="D496" s="33"/>
      <c r="E496" s="127"/>
      <c r="F496" s="128"/>
      <c r="G496" s="128"/>
      <c r="H496" s="129"/>
      <c r="I496" s="130"/>
      <c r="J496" s="23"/>
      <c r="K496" s="23"/>
      <c r="L496" s="23"/>
      <c r="M496" s="131"/>
      <c r="N496" s="131"/>
      <c r="O496" s="131"/>
    </row>
    <row r="497" spans="1:15" x14ac:dyDescent="0.3">
      <c r="A497" s="18"/>
      <c r="B497" s="18"/>
      <c r="C497" s="18"/>
      <c r="D497" s="33"/>
      <c r="E497" s="127"/>
      <c r="F497" s="128"/>
      <c r="G497" s="128"/>
      <c r="H497" s="129"/>
      <c r="I497" s="130"/>
      <c r="J497" s="23"/>
      <c r="K497" s="23"/>
      <c r="L497" s="23"/>
      <c r="M497" s="131"/>
      <c r="N497" s="131"/>
      <c r="O497" s="131"/>
    </row>
    <row r="498" spans="1:15" x14ac:dyDescent="0.3">
      <c r="A498" s="18"/>
      <c r="B498" s="18"/>
      <c r="C498" s="18"/>
      <c r="D498" s="33"/>
      <c r="E498" s="127"/>
      <c r="F498" s="128"/>
      <c r="G498" s="128"/>
      <c r="H498" s="129"/>
      <c r="I498" s="130"/>
      <c r="J498" s="23"/>
      <c r="K498" s="23"/>
      <c r="L498" s="23"/>
      <c r="M498" s="131"/>
      <c r="N498" s="131"/>
      <c r="O498" s="131"/>
    </row>
    <row r="499" spans="1:15" x14ac:dyDescent="0.3">
      <c r="A499" s="18"/>
      <c r="B499" s="18"/>
      <c r="C499" s="18"/>
      <c r="D499" s="33"/>
      <c r="E499" s="127"/>
      <c r="F499" s="128"/>
      <c r="G499" s="128"/>
      <c r="H499" s="129"/>
      <c r="I499" s="130"/>
      <c r="J499" s="23"/>
      <c r="K499" s="23"/>
      <c r="L499" s="23"/>
      <c r="M499" s="131"/>
      <c r="N499" s="131"/>
      <c r="O499" s="131"/>
    </row>
    <row r="500" spans="1:15" x14ac:dyDescent="0.3">
      <c r="A500" s="18"/>
      <c r="B500" s="18"/>
      <c r="C500" s="18"/>
      <c r="D500" s="33"/>
      <c r="E500" s="127"/>
      <c r="F500" s="128"/>
      <c r="G500" s="128"/>
      <c r="H500" s="129"/>
      <c r="I500" s="130"/>
      <c r="J500" s="23"/>
      <c r="K500" s="23"/>
      <c r="L500" s="23"/>
      <c r="M500" s="131"/>
      <c r="N500" s="131"/>
      <c r="O500" s="131"/>
    </row>
    <row r="501" spans="1:15" x14ac:dyDescent="0.3">
      <c r="A501" s="18"/>
      <c r="B501" s="18"/>
      <c r="C501" s="18"/>
      <c r="D501" s="33"/>
      <c r="E501" s="127"/>
      <c r="F501" s="128"/>
      <c r="G501" s="128"/>
      <c r="H501" s="129"/>
      <c r="I501" s="130"/>
      <c r="J501" s="23"/>
      <c r="K501" s="23"/>
      <c r="L501" s="23"/>
      <c r="M501" s="131"/>
      <c r="N501" s="131"/>
      <c r="O501" s="131"/>
    </row>
    <row r="502" spans="1:15" x14ac:dyDescent="0.3">
      <c r="A502" s="18"/>
      <c r="B502" s="18"/>
      <c r="C502" s="18"/>
      <c r="D502" s="33"/>
      <c r="E502" s="127"/>
      <c r="F502" s="128"/>
      <c r="G502" s="128"/>
      <c r="H502" s="129"/>
      <c r="I502" s="130"/>
      <c r="J502" s="23"/>
      <c r="K502" s="23"/>
      <c r="L502" s="23"/>
      <c r="M502" s="131"/>
      <c r="N502" s="131"/>
      <c r="O502" s="131"/>
    </row>
    <row r="503" spans="1:15" x14ac:dyDescent="0.3">
      <c r="A503" s="18"/>
      <c r="B503" s="18"/>
      <c r="C503" s="18"/>
      <c r="D503" s="33"/>
      <c r="E503" s="127"/>
      <c r="F503" s="128"/>
      <c r="G503" s="128"/>
      <c r="H503" s="129"/>
      <c r="I503" s="130"/>
      <c r="J503" s="23"/>
      <c r="K503" s="23"/>
      <c r="L503" s="23"/>
      <c r="M503" s="131"/>
      <c r="N503" s="131"/>
      <c r="O503" s="131"/>
    </row>
    <row r="504" spans="1:15" x14ac:dyDescent="0.3">
      <c r="A504" s="18"/>
      <c r="B504" s="18"/>
      <c r="C504" s="18"/>
      <c r="D504" s="33"/>
      <c r="E504" s="127"/>
      <c r="F504" s="128"/>
      <c r="G504" s="128"/>
      <c r="H504" s="129"/>
      <c r="I504" s="130"/>
      <c r="J504" s="23"/>
      <c r="K504" s="23"/>
      <c r="L504" s="23"/>
      <c r="M504" s="131"/>
      <c r="N504" s="131"/>
      <c r="O504" s="131"/>
    </row>
    <row r="505" spans="1:15" x14ac:dyDescent="0.3">
      <c r="A505" s="18"/>
      <c r="B505" s="18"/>
      <c r="C505" s="18"/>
      <c r="D505" s="33"/>
      <c r="E505" s="127"/>
      <c r="F505" s="128"/>
      <c r="G505" s="128"/>
      <c r="H505" s="129"/>
      <c r="I505" s="130"/>
      <c r="J505" s="23"/>
      <c r="K505" s="23"/>
      <c r="L505" s="23"/>
      <c r="M505" s="131"/>
      <c r="N505" s="131"/>
      <c r="O505" s="131"/>
    </row>
    <row r="506" spans="1:15" x14ac:dyDescent="0.3">
      <c r="A506" s="18"/>
      <c r="B506" s="18"/>
      <c r="C506" s="18"/>
      <c r="D506" s="33"/>
      <c r="E506" s="127"/>
      <c r="F506" s="128"/>
      <c r="G506" s="128"/>
      <c r="H506" s="129"/>
      <c r="I506" s="130"/>
      <c r="J506" s="23"/>
      <c r="K506" s="23"/>
      <c r="L506" s="23"/>
      <c r="M506" s="131"/>
      <c r="N506" s="131"/>
      <c r="O506" s="131"/>
    </row>
    <row r="507" spans="1:15" x14ac:dyDescent="0.3">
      <c r="A507" s="18"/>
      <c r="B507" s="18"/>
      <c r="C507" s="18"/>
      <c r="D507" s="33"/>
      <c r="E507" s="127"/>
      <c r="F507" s="128"/>
      <c r="G507" s="128"/>
      <c r="H507" s="129"/>
      <c r="I507" s="130"/>
      <c r="J507" s="23"/>
      <c r="K507" s="23"/>
      <c r="L507" s="23"/>
      <c r="M507" s="131"/>
      <c r="N507" s="131"/>
      <c r="O507" s="131"/>
    </row>
    <row r="508" spans="1:15" x14ac:dyDescent="0.3">
      <c r="A508" s="18"/>
      <c r="B508" s="18"/>
      <c r="C508" s="18"/>
      <c r="D508" s="33"/>
      <c r="E508" s="127"/>
      <c r="F508" s="128"/>
      <c r="G508" s="128"/>
      <c r="H508" s="129"/>
      <c r="I508" s="130"/>
      <c r="J508" s="23"/>
      <c r="K508" s="23"/>
      <c r="L508" s="23"/>
      <c r="M508" s="131"/>
      <c r="N508" s="131"/>
      <c r="O508" s="131"/>
    </row>
    <row r="509" spans="1:15" x14ac:dyDescent="0.3">
      <c r="A509" s="18"/>
      <c r="B509" s="18"/>
      <c r="C509" s="18"/>
      <c r="D509" s="33"/>
      <c r="E509" s="127"/>
      <c r="F509" s="128"/>
      <c r="G509" s="128"/>
      <c r="H509" s="129"/>
      <c r="I509" s="130"/>
      <c r="J509" s="23"/>
      <c r="K509" s="23"/>
      <c r="L509" s="23"/>
      <c r="M509" s="131"/>
      <c r="N509" s="131"/>
      <c r="O509" s="131"/>
    </row>
    <row r="510" spans="1:15" x14ac:dyDescent="0.3">
      <c r="A510" s="18"/>
      <c r="B510" s="18"/>
      <c r="C510" s="18"/>
      <c r="D510" s="33"/>
      <c r="E510" s="127"/>
      <c r="F510" s="128"/>
      <c r="G510" s="128"/>
      <c r="H510" s="129"/>
      <c r="I510" s="130"/>
      <c r="J510" s="23"/>
      <c r="K510" s="23"/>
      <c r="L510" s="23"/>
      <c r="M510" s="131"/>
      <c r="N510" s="131"/>
      <c r="O510" s="131"/>
    </row>
    <row r="511" spans="1:15" x14ac:dyDescent="0.3">
      <c r="A511" s="18"/>
      <c r="B511" s="18"/>
      <c r="C511" s="18"/>
      <c r="D511" s="33"/>
      <c r="E511" s="127"/>
      <c r="F511" s="128"/>
      <c r="G511" s="128"/>
      <c r="H511" s="129"/>
      <c r="I511" s="130"/>
      <c r="J511" s="23"/>
      <c r="K511" s="23"/>
      <c r="L511" s="23"/>
      <c r="M511" s="131"/>
      <c r="N511" s="131"/>
      <c r="O511" s="131"/>
    </row>
    <row r="512" spans="1:15" x14ac:dyDescent="0.3">
      <c r="A512" s="18"/>
      <c r="B512" s="18"/>
      <c r="C512" s="18"/>
      <c r="D512" s="33"/>
      <c r="E512" s="127"/>
      <c r="F512" s="128"/>
      <c r="G512" s="128"/>
      <c r="H512" s="129"/>
      <c r="I512" s="130"/>
      <c r="J512" s="23"/>
      <c r="K512" s="23"/>
      <c r="L512" s="23"/>
      <c r="M512" s="131"/>
      <c r="N512" s="131"/>
      <c r="O512" s="131"/>
    </row>
    <row r="513" spans="1:15" x14ac:dyDescent="0.3">
      <c r="A513" s="18"/>
      <c r="B513" s="18"/>
      <c r="C513" s="18"/>
      <c r="D513" s="33"/>
      <c r="E513" s="127"/>
      <c r="F513" s="128"/>
      <c r="G513" s="128"/>
      <c r="H513" s="129"/>
      <c r="I513" s="130"/>
      <c r="J513" s="23"/>
      <c r="K513" s="23"/>
      <c r="L513" s="23"/>
      <c r="M513" s="131"/>
      <c r="N513" s="131"/>
      <c r="O513" s="131"/>
    </row>
    <row r="514" spans="1:15" x14ac:dyDescent="0.3">
      <c r="A514" s="18"/>
      <c r="B514" s="18"/>
      <c r="C514" s="18"/>
      <c r="D514" s="33"/>
      <c r="E514" s="127"/>
      <c r="F514" s="128"/>
      <c r="G514" s="128"/>
      <c r="H514" s="129"/>
      <c r="I514" s="130"/>
      <c r="J514" s="23"/>
      <c r="K514" s="23"/>
      <c r="L514" s="23"/>
      <c r="M514" s="131"/>
      <c r="N514" s="131"/>
      <c r="O514" s="131"/>
    </row>
    <row r="515" spans="1:15" x14ac:dyDescent="0.3">
      <c r="A515" s="18"/>
      <c r="B515" s="18"/>
      <c r="C515" s="18"/>
      <c r="D515" s="33"/>
      <c r="E515" s="127"/>
      <c r="F515" s="128"/>
      <c r="G515" s="128"/>
      <c r="H515" s="129"/>
      <c r="I515" s="130"/>
      <c r="J515" s="23"/>
      <c r="K515" s="23"/>
      <c r="L515" s="23"/>
      <c r="M515" s="131"/>
      <c r="N515" s="131"/>
      <c r="O515" s="131"/>
    </row>
    <row r="516" spans="1:15" x14ac:dyDescent="0.3">
      <c r="A516" s="18"/>
      <c r="B516" s="18"/>
      <c r="C516" s="18"/>
      <c r="D516" s="33"/>
      <c r="E516" s="127"/>
      <c r="F516" s="128"/>
      <c r="G516" s="128"/>
      <c r="H516" s="129"/>
      <c r="I516" s="130"/>
      <c r="J516" s="23"/>
      <c r="K516" s="23"/>
      <c r="L516" s="23"/>
      <c r="M516" s="131"/>
      <c r="N516" s="131"/>
      <c r="O516" s="131"/>
    </row>
    <row r="517" spans="1:15" x14ac:dyDescent="0.3">
      <c r="A517" s="18"/>
      <c r="B517" s="18"/>
      <c r="C517" s="18"/>
      <c r="D517" s="33"/>
      <c r="E517" s="127"/>
      <c r="F517" s="128"/>
      <c r="G517" s="128"/>
      <c r="H517" s="129"/>
      <c r="I517" s="130"/>
      <c r="J517" s="23"/>
      <c r="K517" s="23"/>
      <c r="L517" s="23"/>
      <c r="M517" s="131"/>
      <c r="N517" s="131"/>
      <c r="O517" s="131"/>
    </row>
    <row r="518" spans="1:15" x14ac:dyDescent="0.3">
      <c r="A518" s="18"/>
      <c r="B518" s="18"/>
      <c r="C518" s="18"/>
      <c r="D518" s="33"/>
      <c r="E518" s="127"/>
      <c r="F518" s="128"/>
      <c r="G518" s="128"/>
      <c r="H518" s="129"/>
      <c r="I518" s="130"/>
      <c r="J518" s="23"/>
      <c r="K518" s="23"/>
      <c r="L518" s="23"/>
      <c r="M518" s="131"/>
      <c r="N518" s="131"/>
      <c r="O518" s="131"/>
    </row>
    <row r="519" spans="1:15" x14ac:dyDescent="0.3">
      <c r="A519" s="18"/>
      <c r="B519" s="18"/>
      <c r="C519" s="18"/>
      <c r="D519" s="33"/>
      <c r="E519" s="127"/>
      <c r="F519" s="128"/>
      <c r="G519" s="128"/>
      <c r="H519" s="129"/>
      <c r="I519" s="130"/>
      <c r="J519" s="23"/>
      <c r="K519" s="23"/>
      <c r="L519" s="23"/>
      <c r="M519" s="131"/>
      <c r="N519" s="131"/>
      <c r="O519" s="131"/>
    </row>
    <row r="520" spans="1:15" x14ac:dyDescent="0.3">
      <c r="A520" s="18"/>
      <c r="B520" s="18"/>
      <c r="C520" s="18"/>
      <c r="D520" s="33"/>
      <c r="E520" s="127"/>
      <c r="F520" s="128"/>
      <c r="G520" s="128"/>
      <c r="H520" s="129"/>
      <c r="I520" s="130"/>
      <c r="J520" s="23"/>
      <c r="K520" s="23"/>
      <c r="L520" s="23"/>
      <c r="M520" s="131"/>
      <c r="N520" s="131"/>
      <c r="O520" s="131"/>
    </row>
    <row r="521" spans="1:15" x14ac:dyDescent="0.3">
      <c r="A521" s="18"/>
      <c r="B521" s="18"/>
      <c r="C521" s="18"/>
      <c r="D521" s="33"/>
      <c r="E521" s="127"/>
      <c r="F521" s="128"/>
      <c r="G521" s="128"/>
      <c r="H521" s="129"/>
      <c r="I521" s="130"/>
      <c r="J521" s="23"/>
      <c r="K521" s="23"/>
      <c r="L521" s="23"/>
      <c r="M521" s="131"/>
      <c r="N521" s="131"/>
      <c r="O521" s="131"/>
    </row>
    <row r="522" spans="1:15" x14ac:dyDescent="0.3">
      <c r="A522" s="18"/>
      <c r="B522" s="18"/>
      <c r="C522" s="18"/>
      <c r="D522" s="33"/>
      <c r="E522" s="127"/>
      <c r="F522" s="128"/>
      <c r="G522" s="128"/>
      <c r="H522" s="129"/>
      <c r="I522" s="130"/>
      <c r="J522" s="23"/>
      <c r="K522" s="23"/>
      <c r="L522" s="23"/>
      <c r="M522" s="131"/>
      <c r="N522" s="131"/>
      <c r="O522" s="131"/>
    </row>
    <row r="523" spans="1:15" x14ac:dyDescent="0.3">
      <c r="A523" s="18"/>
      <c r="B523" s="18"/>
      <c r="C523" s="18"/>
      <c r="D523" s="33"/>
      <c r="E523" s="127"/>
      <c r="F523" s="128"/>
      <c r="G523" s="128"/>
      <c r="H523" s="129"/>
      <c r="I523" s="130"/>
      <c r="J523" s="23"/>
      <c r="K523" s="23"/>
      <c r="L523" s="23"/>
      <c r="M523" s="131"/>
      <c r="N523" s="131"/>
      <c r="O523" s="131"/>
    </row>
    <row r="524" spans="1:15" x14ac:dyDescent="0.3">
      <c r="A524" s="18"/>
      <c r="B524" s="18"/>
      <c r="C524" s="18"/>
      <c r="D524" s="33"/>
      <c r="E524" s="127"/>
      <c r="F524" s="128"/>
      <c r="G524" s="128"/>
      <c r="H524" s="129"/>
      <c r="I524" s="130"/>
      <c r="J524" s="23"/>
      <c r="K524" s="23"/>
      <c r="L524" s="23"/>
      <c r="M524" s="131"/>
      <c r="N524" s="131"/>
      <c r="O524" s="131"/>
    </row>
    <row r="525" spans="1:15" x14ac:dyDescent="0.3">
      <c r="A525" s="18"/>
      <c r="B525" s="18"/>
      <c r="C525" s="18"/>
      <c r="D525" s="33"/>
      <c r="E525" s="127"/>
      <c r="F525" s="128"/>
      <c r="G525" s="128"/>
      <c r="H525" s="129"/>
      <c r="I525" s="130"/>
      <c r="J525" s="23"/>
      <c r="K525" s="23"/>
      <c r="L525" s="23"/>
      <c r="M525" s="131"/>
      <c r="N525" s="131"/>
      <c r="O525" s="131"/>
    </row>
    <row r="526" spans="1:15" x14ac:dyDescent="0.3">
      <c r="A526" s="18"/>
      <c r="B526" s="18"/>
      <c r="C526" s="18"/>
      <c r="D526" s="33"/>
      <c r="E526" s="127"/>
      <c r="F526" s="128"/>
      <c r="G526" s="128"/>
      <c r="H526" s="129"/>
      <c r="I526" s="130"/>
      <c r="J526" s="23"/>
      <c r="K526" s="23"/>
      <c r="L526" s="23"/>
      <c r="M526" s="131"/>
      <c r="N526" s="131"/>
      <c r="O526" s="131"/>
    </row>
    <row r="527" spans="1:15" x14ac:dyDescent="0.3">
      <c r="A527" s="18"/>
      <c r="B527" s="18"/>
      <c r="C527" s="18"/>
      <c r="D527" s="33"/>
      <c r="E527" s="127"/>
      <c r="F527" s="128"/>
      <c r="G527" s="128"/>
      <c r="H527" s="129"/>
      <c r="I527" s="130"/>
      <c r="J527" s="23"/>
      <c r="K527" s="23"/>
      <c r="L527" s="23"/>
      <c r="M527" s="131"/>
      <c r="N527" s="131"/>
      <c r="O527" s="131"/>
    </row>
    <row r="528" spans="1:15" x14ac:dyDescent="0.3">
      <c r="A528" s="18"/>
      <c r="B528" s="18"/>
      <c r="C528" s="18"/>
      <c r="D528" s="33"/>
      <c r="E528" s="127"/>
      <c r="F528" s="128"/>
      <c r="G528" s="128"/>
      <c r="H528" s="129"/>
      <c r="I528" s="130"/>
      <c r="J528" s="23"/>
      <c r="K528" s="23"/>
      <c r="L528" s="23"/>
      <c r="M528" s="131"/>
      <c r="N528" s="131"/>
      <c r="O528" s="131"/>
    </row>
    <row r="529" spans="1:15" x14ac:dyDescent="0.3">
      <c r="A529" s="18"/>
      <c r="B529" s="18"/>
      <c r="C529" s="18"/>
      <c r="D529" s="33"/>
      <c r="E529" s="127"/>
      <c r="F529" s="128"/>
      <c r="G529" s="128"/>
      <c r="H529" s="129"/>
      <c r="I529" s="130"/>
      <c r="J529" s="23"/>
      <c r="K529" s="23"/>
      <c r="L529" s="23"/>
      <c r="M529" s="131"/>
      <c r="N529" s="131"/>
      <c r="O529" s="131"/>
    </row>
    <row r="530" spans="1:15" x14ac:dyDescent="0.3">
      <c r="A530" s="18"/>
      <c r="B530" s="18"/>
      <c r="C530" s="18"/>
      <c r="D530" s="33"/>
      <c r="E530" s="127"/>
      <c r="F530" s="128"/>
      <c r="G530" s="128"/>
      <c r="H530" s="129"/>
      <c r="I530" s="130"/>
      <c r="J530" s="23"/>
      <c r="K530" s="23"/>
      <c r="L530" s="23"/>
      <c r="M530" s="131"/>
      <c r="N530" s="131"/>
      <c r="O530" s="131"/>
    </row>
    <row r="531" spans="1:15" x14ac:dyDescent="0.3">
      <c r="A531" s="18"/>
      <c r="B531" s="18"/>
      <c r="C531" s="18"/>
      <c r="D531" s="33"/>
      <c r="E531" s="127"/>
      <c r="F531" s="128"/>
      <c r="G531" s="128"/>
      <c r="H531" s="129"/>
      <c r="I531" s="130"/>
      <c r="J531" s="23"/>
      <c r="K531" s="23"/>
      <c r="L531" s="23"/>
      <c r="M531" s="131"/>
      <c r="N531" s="131"/>
      <c r="O531" s="131"/>
    </row>
    <row r="532" spans="1:15" x14ac:dyDescent="0.3">
      <c r="A532" s="18"/>
      <c r="B532" s="18"/>
      <c r="C532" s="18"/>
      <c r="D532" s="33"/>
      <c r="E532" s="127"/>
      <c r="F532" s="128"/>
      <c r="G532" s="128"/>
      <c r="H532" s="129"/>
      <c r="I532" s="130"/>
      <c r="J532" s="23"/>
      <c r="K532" s="23"/>
      <c r="L532" s="23"/>
      <c r="M532" s="131"/>
      <c r="N532" s="131"/>
      <c r="O532" s="131"/>
    </row>
    <row r="533" spans="1:15" x14ac:dyDescent="0.3">
      <c r="A533" s="18"/>
      <c r="B533" s="18"/>
      <c r="C533" s="18"/>
      <c r="D533" s="33"/>
      <c r="E533" s="127"/>
      <c r="F533" s="128"/>
      <c r="G533" s="128"/>
      <c r="H533" s="129"/>
      <c r="I533" s="130"/>
      <c r="J533" s="23"/>
      <c r="K533" s="23"/>
      <c r="L533" s="23"/>
      <c r="M533" s="131"/>
      <c r="N533" s="131"/>
      <c r="O533" s="131"/>
    </row>
    <row r="534" spans="1:15" x14ac:dyDescent="0.3">
      <c r="A534" s="18"/>
      <c r="B534" s="18"/>
      <c r="C534" s="18"/>
      <c r="D534" s="33"/>
      <c r="E534" s="127"/>
      <c r="F534" s="128"/>
      <c r="G534" s="128"/>
      <c r="H534" s="129"/>
      <c r="I534" s="130"/>
      <c r="J534" s="23"/>
      <c r="K534" s="23"/>
      <c r="L534" s="23"/>
      <c r="M534" s="131"/>
      <c r="N534" s="131"/>
      <c r="O534" s="131"/>
    </row>
    <row r="535" spans="1:15" x14ac:dyDescent="0.3">
      <c r="A535" s="18"/>
      <c r="B535" s="18"/>
      <c r="C535" s="18"/>
      <c r="D535" s="33"/>
      <c r="E535" s="127"/>
      <c r="F535" s="128"/>
      <c r="G535" s="128"/>
      <c r="H535" s="129"/>
      <c r="I535" s="130"/>
      <c r="J535" s="23"/>
      <c r="K535" s="23"/>
      <c r="L535" s="23"/>
      <c r="M535" s="131"/>
      <c r="N535" s="131"/>
      <c r="O535" s="131"/>
    </row>
    <row r="536" spans="1:15" x14ac:dyDescent="0.3">
      <c r="A536" s="18"/>
      <c r="B536" s="18"/>
      <c r="C536" s="18"/>
      <c r="D536" s="33"/>
      <c r="E536" s="127"/>
      <c r="F536" s="128"/>
      <c r="G536" s="128"/>
      <c r="H536" s="129"/>
      <c r="I536" s="130"/>
      <c r="J536" s="23"/>
      <c r="K536" s="23"/>
      <c r="L536" s="23"/>
      <c r="M536" s="131"/>
      <c r="N536" s="131"/>
      <c r="O536" s="131"/>
    </row>
    <row r="537" spans="1:15" x14ac:dyDescent="0.3">
      <c r="A537" s="18"/>
      <c r="B537" s="18"/>
      <c r="C537" s="18"/>
      <c r="D537" s="33"/>
      <c r="E537" s="127"/>
      <c r="F537" s="128"/>
      <c r="G537" s="128"/>
      <c r="H537" s="129"/>
      <c r="I537" s="130"/>
      <c r="J537" s="23"/>
      <c r="K537" s="23"/>
      <c r="L537" s="23"/>
      <c r="M537" s="131"/>
      <c r="N537" s="131"/>
      <c r="O537" s="131"/>
    </row>
    <row r="538" spans="1:15" x14ac:dyDescent="0.3">
      <c r="A538" s="18"/>
      <c r="B538" s="18"/>
      <c r="C538" s="18"/>
      <c r="D538" s="33"/>
      <c r="E538" s="127"/>
      <c r="F538" s="128"/>
      <c r="G538" s="128"/>
      <c r="H538" s="129"/>
      <c r="I538" s="130"/>
      <c r="J538" s="23"/>
      <c r="K538" s="23"/>
      <c r="L538" s="23"/>
      <c r="M538" s="131"/>
      <c r="N538" s="131"/>
      <c r="O538" s="131"/>
    </row>
    <row r="539" spans="1:15" x14ac:dyDescent="0.3">
      <c r="A539" s="18"/>
      <c r="B539" s="18"/>
      <c r="C539" s="18"/>
      <c r="D539" s="33"/>
      <c r="E539" s="127"/>
      <c r="F539" s="128"/>
      <c r="G539" s="128"/>
      <c r="H539" s="129"/>
      <c r="I539" s="130"/>
      <c r="J539" s="23"/>
      <c r="K539" s="23"/>
      <c r="L539" s="23"/>
      <c r="M539" s="131"/>
      <c r="N539" s="131"/>
      <c r="O539" s="131"/>
    </row>
    <row r="540" spans="1:15" x14ac:dyDescent="0.3">
      <c r="A540" s="18"/>
      <c r="B540" s="18"/>
      <c r="C540" s="18"/>
      <c r="D540" s="33"/>
      <c r="E540" s="127"/>
      <c r="F540" s="128"/>
      <c r="G540" s="128"/>
      <c r="H540" s="129"/>
      <c r="I540" s="130"/>
      <c r="J540" s="23"/>
      <c r="K540" s="23"/>
      <c r="L540" s="23"/>
      <c r="M540" s="131"/>
      <c r="N540" s="131"/>
      <c r="O540" s="131"/>
    </row>
    <row r="541" spans="1:15" x14ac:dyDescent="0.3">
      <c r="A541" s="18"/>
      <c r="B541" s="18"/>
      <c r="C541" s="18"/>
      <c r="D541" s="33"/>
      <c r="E541" s="127"/>
      <c r="F541" s="128"/>
      <c r="G541" s="128"/>
      <c r="H541" s="129"/>
      <c r="I541" s="130"/>
      <c r="J541" s="23"/>
      <c r="K541" s="23"/>
      <c r="L541" s="23"/>
      <c r="M541" s="131"/>
      <c r="N541" s="131"/>
      <c r="O541" s="131"/>
    </row>
    <row r="542" spans="1:15" x14ac:dyDescent="0.3">
      <c r="A542" s="18"/>
      <c r="B542" s="18"/>
      <c r="C542" s="18"/>
      <c r="D542" s="33"/>
      <c r="E542" s="127"/>
      <c r="F542" s="128"/>
      <c r="G542" s="128"/>
      <c r="H542" s="129"/>
      <c r="I542" s="130"/>
      <c r="J542" s="23"/>
      <c r="K542" s="23"/>
      <c r="L542" s="23"/>
      <c r="M542" s="131"/>
      <c r="N542" s="131"/>
      <c r="O542" s="131"/>
    </row>
    <row r="543" spans="1:15" x14ac:dyDescent="0.3">
      <c r="A543" s="18"/>
      <c r="B543" s="18"/>
      <c r="C543" s="18"/>
      <c r="D543" s="33"/>
      <c r="E543" s="127"/>
      <c r="F543" s="128"/>
      <c r="G543" s="128"/>
      <c r="H543" s="129"/>
      <c r="I543" s="130"/>
      <c r="J543" s="23"/>
      <c r="K543" s="23"/>
      <c r="L543" s="23"/>
      <c r="M543" s="131"/>
      <c r="N543" s="131"/>
      <c r="O543" s="131"/>
    </row>
    <row r="544" spans="1:15" x14ac:dyDescent="0.3">
      <c r="A544" s="18"/>
      <c r="B544" s="18"/>
      <c r="C544" s="18"/>
      <c r="D544" s="33"/>
      <c r="E544" s="127"/>
      <c r="F544" s="128"/>
      <c r="G544" s="128"/>
      <c r="H544" s="129"/>
      <c r="I544" s="130"/>
      <c r="J544" s="23"/>
      <c r="K544" s="23"/>
      <c r="L544" s="23"/>
      <c r="M544" s="131"/>
      <c r="N544" s="131"/>
      <c r="O544" s="131"/>
    </row>
    <row r="545" spans="1:15" x14ac:dyDescent="0.3">
      <c r="A545" s="18"/>
      <c r="B545" s="18"/>
      <c r="C545" s="18"/>
      <c r="D545" s="33"/>
      <c r="E545" s="127"/>
      <c r="F545" s="128"/>
      <c r="G545" s="128"/>
      <c r="H545" s="129"/>
      <c r="I545" s="130"/>
      <c r="J545" s="23"/>
      <c r="K545" s="23"/>
      <c r="L545" s="23"/>
      <c r="M545" s="131"/>
      <c r="N545" s="131"/>
      <c r="O545" s="131"/>
    </row>
    <row r="546" spans="1:15" x14ac:dyDescent="0.3">
      <c r="A546" s="18"/>
      <c r="B546" s="18"/>
      <c r="C546" s="18"/>
      <c r="D546" s="33"/>
      <c r="E546" s="127"/>
      <c r="F546" s="128"/>
      <c r="G546" s="128"/>
      <c r="H546" s="129"/>
      <c r="I546" s="130"/>
      <c r="J546" s="23"/>
      <c r="K546" s="23"/>
      <c r="L546" s="23"/>
      <c r="M546" s="131"/>
      <c r="N546" s="131"/>
      <c r="O546" s="131"/>
    </row>
    <row r="547" spans="1:15" x14ac:dyDescent="0.3">
      <c r="A547" s="18"/>
      <c r="B547" s="18"/>
      <c r="C547" s="18"/>
      <c r="D547" s="33"/>
      <c r="E547" s="127"/>
      <c r="F547" s="128"/>
      <c r="G547" s="128"/>
      <c r="H547" s="129"/>
      <c r="I547" s="130"/>
      <c r="J547" s="23"/>
      <c r="K547" s="23"/>
      <c r="L547" s="23"/>
      <c r="M547" s="131"/>
      <c r="N547" s="131"/>
      <c r="O547" s="131"/>
    </row>
    <row r="548" spans="1:15" x14ac:dyDescent="0.3">
      <c r="A548" s="18"/>
      <c r="B548" s="18"/>
      <c r="C548" s="18"/>
      <c r="D548" s="33"/>
      <c r="E548" s="127"/>
      <c r="F548" s="128"/>
      <c r="G548" s="128"/>
      <c r="H548" s="129"/>
      <c r="I548" s="130"/>
      <c r="J548" s="23"/>
      <c r="K548" s="23"/>
      <c r="L548" s="23"/>
      <c r="M548" s="131"/>
      <c r="N548" s="131"/>
      <c r="O548" s="131"/>
    </row>
    <row r="549" spans="1:15" x14ac:dyDescent="0.3">
      <c r="A549" s="18"/>
      <c r="B549" s="18"/>
      <c r="C549" s="18"/>
      <c r="D549" s="33"/>
      <c r="E549" s="127"/>
      <c r="F549" s="128"/>
      <c r="G549" s="128"/>
      <c r="H549" s="129"/>
      <c r="I549" s="130"/>
      <c r="J549" s="23"/>
      <c r="K549" s="23"/>
      <c r="L549" s="23"/>
      <c r="M549" s="131"/>
      <c r="N549" s="131"/>
      <c r="O549" s="131"/>
    </row>
    <row r="550" spans="1:15" x14ac:dyDescent="0.3">
      <c r="A550" s="18"/>
      <c r="B550" s="18"/>
      <c r="C550" s="18"/>
      <c r="D550" s="33"/>
      <c r="E550" s="127"/>
      <c r="F550" s="128"/>
      <c r="G550" s="128"/>
      <c r="H550" s="129"/>
      <c r="I550" s="130"/>
      <c r="J550" s="23"/>
      <c r="K550" s="23"/>
      <c r="L550" s="23"/>
      <c r="M550" s="131"/>
      <c r="N550" s="131"/>
      <c r="O550" s="131"/>
    </row>
    <row r="551" spans="1:15" x14ac:dyDescent="0.3">
      <c r="A551" s="18"/>
      <c r="B551" s="18"/>
      <c r="C551" s="18"/>
      <c r="D551" s="33"/>
      <c r="E551" s="127"/>
      <c r="F551" s="128"/>
      <c r="G551" s="128"/>
      <c r="H551" s="129"/>
      <c r="I551" s="130"/>
      <c r="J551" s="23"/>
      <c r="K551" s="23"/>
      <c r="L551" s="23"/>
      <c r="M551" s="131"/>
      <c r="N551" s="131"/>
      <c r="O551" s="131"/>
    </row>
    <row r="552" spans="1:15" x14ac:dyDescent="0.3">
      <c r="A552" s="18"/>
      <c r="B552" s="18"/>
      <c r="C552" s="18"/>
      <c r="D552" s="33"/>
      <c r="E552" s="127"/>
      <c r="F552" s="128"/>
      <c r="G552" s="128"/>
      <c r="H552" s="129"/>
      <c r="I552" s="130"/>
      <c r="J552" s="23"/>
      <c r="K552" s="23"/>
      <c r="L552" s="23"/>
      <c r="M552" s="131"/>
      <c r="N552" s="131"/>
      <c r="O552" s="131"/>
    </row>
    <row r="553" spans="1:15" x14ac:dyDescent="0.3">
      <c r="A553" s="18"/>
      <c r="B553" s="18"/>
      <c r="C553" s="18"/>
      <c r="D553" s="33"/>
      <c r="E553" s="127"/>
      <c r="F553" s="128"/>
      <c r="G553" s="128"/>
      <c r="H553" s="129"/>
      <c r="I553" s="130"/>
      <c r="J553" s="23"/>
      <c r="K553" s="23"/>
      <c r="L553" s="23"/>
      <c r="M553" s="131"/>
      <c r="N553" s="131"/>
      <c r="O553" s="131"/>
    </row>
    <row r="554" spans="1:15" x14ac:dyDescent="0.3">
      <c r="A554" s="18"/>
      <c r="B554" s="18"/>
      <c r="C554" s="18"/>
      <c r="D554" s="33"/>
      <c r="E554" s="127"/>
      <c r="F554" s="128"/>
      <c r="G554" s="128"/>
      <c r="H554" s="129"/>
      <c r="I554" s="130"/>
      <c r="J554" s="23"/>
      <c r="K554" s="23"/>
      <c r="L554" s="23"/>
      <c r="M554" s="131"/>
      <c r="N554" s="131"/>
      <c r="O554" s="131"/>
    </row>
    <row r="555" spans="1:15" x14ac:dyDescent="0.3">
      <c r="A555" s="18"/>
      <c r="B555" s="18"/>
      <c r="C555" s="18"/>
      <c r="D555" s="33"/>
      <c r="E555" s="127"/>
      <c r="F555" s="128"/>
      <c r="G555" s="128"/>
      <c r="H555" s="129"/>
      <c r="I555" s="130"/>
      <c r="J555" s="23"/>
      <c r="K555" s="23"/>
      <c r="L555" s="23"/>
      <c r="M555" s="131"/>
      <c r="N555" s="131"/>
      <c r="O555" s="131"/>
    </row>
    <row r="556" spans="1:15" x14ac:dyDescent="0.3">
      <c r="A556" s="18"/>
      <c r="B556" s="18"/>
      <c r="C556" s="18"/>
      <c r="D556" s="33"/>
      <c r="E556" s="127"/>
      <c r="F556" s="128"/>
      <c r="G556" s="128"/>
      <c r="H556" s="129"/>
      <c r="I556" s="130"/>
      <c r="J556" s="23"/>
      <c r="K556" s="23"/>
      <c r="L556" s="23"/>
      <c r="M556" s="131"/>
      <c r="N556" s="131"/>
      <c r="O556" s="131"/>
    </row>
    <row r="557" spans="1:15" x14ac:dyDescent="0.3">
      <c r="A557" s="18"/>
      <c r="B557" s="18"/>
      <c r="C557" s="18"/>
      <c r="D557" s="33"/>
      <c r="E557" s="127"/>
      <c r="F557" s="128"/>
      <c r="G557" s="128"/>
      <c r="H557" s="129"/>
      <c r="I557" s="130"/>
      <c r="J557" s="23"/>
      <c r="K557" s="23"/>
      <c r="L557" s="23"/>
      <c r="M557" s="131"/>
      <c r="N557" s="131"/>
      <c r="O557" s="131"/>
    </row>
    <row r="558" spans="1:15" x14ac:dyDescent="0.3">
      <c r="A558" s="18"/>
      <c r="B558" s="18"/>
      <c r="C558" s="18"/>
      <c r="D558" s="33"/>
      <c r="E558" s="127"/>
      <c r="F558" s="128"/>
      <c r="G558" s="128"/>
      <c r="H558" s="129"/>
      <c r="I558" s="130"/>
      <c r="J558" s="23"/>
      <c r="K558" s="23"/>
      <c r="L558" s="23"/>
      <c r="M558" s="131"/>
      <c r="N558" s="131"/>
      <c r="O558" s="131"/>
    </row>
    <row r="559" spans="1:15" x14ac:dyDescent="0.3">
      <c r="A559" s="18"/>
      <c r="B559" s="18"/>
      <c r="C559" s="18"/>
      <c r="D559" s="33"/>
      <c r="E559" s="127"/>
      <c r="F559" s="128"/>
      <c r="G559" s="128"/>
      <c r="H559" s="129"/>
      <c r="I559" s="130"/>
      <c r="J559" s="23"/>
      <c r="K559" s="23"/>
      <c r="L559" s="23"/>
      <c r="M559" s="131"/>
      <c r="N559" s="131"/>
      <c r="O559" s="131"/>
    </row>
    <row r="560" spans="1:15" x14ac:dyDescent="0.3">
      <c r="A560" s="18"/>
      <c r="B560" s="18"/>
      <c r="C560" s="18"/>
      <c r="D560" s="33"/>
      <c r="E560" s="127"/>
      <c r="F560" s="128"/>
      <c r="G560" s="128"/>
      <c r="H560" s="129"/>
      <c r="I560" s="130"/>
      <c r="J560" s="23"/>
      <c r="K560" s="23"/>
      <c r="L560" s="23"/>
      <c r="M560" s="131"/>
      <c r="N560" s="131"/>
      <c r="O560" s="131"/>
    </row>
    <row r="561" spans="1:15" x14ac:dyDescent="0.3">
      <c r="A561" s="18"/>
      <c r="B561" s="18"/>
      <c r="C561" s="18"/>
      <c r="D561" s="33"/>
      <c r="E561" s="127"/>
      <c r="F561" s="128"/>
      <c r="G561" s="128"/>
      <c r="H561" s="129"/>
      <c r="I561" s="130"/>
      <c r="J561" s="23"/>
      <c r="K561" s="23"/>
      <c r="L561" s="23"/>
      <c r="M561" s="131"/>
      <c r="N561" s="131"/>
      <c r="O561" s="131"/>
    </row>
    <row r="562" spans="1:15" x14ac:dyDescent="0.3">
      <c r="A562" s="18"/>
      <c r="B562" s="18"/>
      <c r="C562" s="18"/>
      <c r="D562" s="33"/>
      <c r="E562" s="127"/>
      <c r="F562" s="128"/>
      <c r="G562" s="128"/>
      <c r="H562" s="129"/>
      <c r="I562" s="130"/>
      <c r="J562" s="23"/>
      <c r="K562" s="23"/>
      <c r="L562" s="23"/>
      <c r="M562" s="131"/>
      <c r="N562" s="131"/>
      <c r="O562" s="131"/>
    </row>
    <row r="563" spans="1:15" x14ac:dyDescent="0.3">
      <c r="A563" s="18"/>
      <c r="B563" s="18"/>
      <c r="C563" s="18"/>
      <c r="D563" s="33"/>
      <c r="E563" s="127"/>
      <c r="F563" s="128"/>
      <c r="G563" s="128"/>
      <c r="H563" s="129"/>
      <c r="I563" s="130"/>
      <c r="J563" s="23"/>
      <c r="K563" s="23"/>
      <c r="L563" s="23"/>
      <c r="M563" s="131"/>
      <c r="N563" s="131"/>
      <c r="O563" s="131"/>
    </row>
    <row r="564" spans="1:15" x14ac:dyDescent="0.3">
      <c r="A564" s="18"/>
      <c r="B564" s="18"/>
      <c r="C564" s="18"/>
      <c r="D564" s="33"/>
      <c r="E564" s="127"/>
      <c r="F564" s="128"/>
      <c r="G564" s="128"/>
      <c r="H564" s="129"/>
      <c r="I564" s="130"/>
      <c r="J564" s="23"/>
      <c r="K564" s="23"/>
      <c r="L564" s="23"/>
      <c r="M564" s="131"/>
      <c r="N564" s="131"/>
      <c r="O564" s="131"/>
    </row>
    <row r="565" spans="1:15" x14ac:dyDescent="0.3">
      <c r="A565" s="18"/>
      <c r="B565" s="18"/>
      <c r="C565" s="18"/>
      <c r="D565" s="33"/>
      <c r="E565" s="127"/>
      <c r="F565" s="128"/>
      <c r="G565" s="128"/>
      <c r="H565" s="129"/>
      <c r="I565" s="130"/>
      <c r="J565" s="23"/>
      <c r="K565" s="23"/>
      <c r="L565" s="23"/>
      <c r="M565" s="131"/>
      <c r="N565" s="131"/>
      <c r="O565" s="131"/>
    </row>
    <row r="566" spans="1:15" x14ac:dyDescent="0.3">
      <c r="A566" s="18"/>
      <c r="B566" s="18"/>
      <c r="C566" s="18"/>
      <c r="D566" s="33"/>
      <c r="E566" s="127"/>
      <c r="F566" s="128"/>
      <c r="G566" s="128"/>
      <c r="H566" s="129"/>
      <c r="I566" s="130"/>
      <c r="J566" s="23"/>
      <c r="K566" s="23"/>
      <c r="L566" s="23"/>
      <c r="M566" s="131"/>
      <c r="N566" s="131"/>
      <c r="O566" s="131"/>
    </row>
    <row r="567" spans="1:15" x14ac:dyDescent="0.3">
      <c r="A567" s="18"/>
      <c r="B567" s="18"/>
      <c r="C567" s="18"/>
      <c r="D567" s="33"/>
      <c r="E567" s="127"/>
      <c r="F567" s="128"/>
      <c r="G567" s="128"/>
      <c r="H567" s="129"/>
      <c r="I567" s="130"/>
      <c r="J567" s="23"/>
      <c r="K567" s="23"/>
      <c r="L567" s="23"/>
      <c r="M567" s="131"/>
      <c r="N567" s="131"/>
      <c r="O567" s="131"/>
    </row>
    <row r="568" spans="1:15" x14ac:dyDescent="0.3">
      <c r="A568" s="18"/>
      <c r="B568" s="18"/>
      <c r="C568" s="18"/>
      <c r="D568" s="33"/>
      <c r="E568" s="127"/>
      <c r="F568" s="128"/>
      <c r="G568" s="128"/>
      <c r="H568" s="129"/>
      <c r="I568" s="130"/>
      <c r="J568" s="23"/>
      <c r="K568" s="23"/>
      <c r="L568" s="23"/>
      <c r="M568" s="131"/>
      <c r="N568" s="131"/>
      <c r="O568" s="131"/>
    </row>
    <row r="569" spans="1:15" x14ac:dyDescent="0.3">
      <c r="A569" s="18"/>
      <c r="B569" s="18"/>
      <c r="C569" s="18"/>
      <c r="D569" s="33"/>
      <c r="E569" s="127"/>
      <c r="F569" s="128"/>
      <c r="G569" s="128"/>
      <c r="H569" s="129"/>
      <c r="I569" s="130"/>
      <c r="J569" s="23"/>
      <c r="K569" s="23"/>
      <c r="L569" s="23"/>
      <c r="M569" s="131"/>
      <c r="N569" s="131"/>
      <c r="O569" s="131"/>
    </row>
    <row r="570" spans="1:15" x14ac:dyDescent="0.3">
      <c r="A570" s="18"/>
      <c r="B570" s="18"/>
      <c r="C570" s="18"/>
      <c r="D570" s="33"/>
      <c r="E570" s="127"/>
      <c r="F570" s="128"/>
      <c r="G570" s="128"/>
      <c r="H570" s="129"/>
      <c r="I570" s="130"/>
      <c r="J570" s="23"/>
      <c r="K570" s="23"/>
      <c r="L570" s="23"/>
      <c r="M570" s="131"/>
      <c r="N570" s="131"/>
      <c r="O570" s="131"/>
    </row>
    <row r="571" spans="1:15" x14ac:dyDescent="0.3">
      <c r="A571" s="18"/>
      <c r="B571" s="18"/>
      <c r="C571" s="18"/>
      <c r="D571" s="33"/>
      <c r="E571" s="127"/>
      <c r="F571" s="128"/>
      <c r="G571" s="128"/>
      <c r="H571" s="129"/>
      <c r="I571" s="130"/>
      <c r="J571" s="23"/>
      <c r="K571" s="23"/>
      <c r="L571" s="23"/>
      <c r="M571" s="131"/>
      <c r="N571" s="131"/>
      <c r="O571" s="131"/>
    </row>
    <row r="572" spans="1:15" x14ac:dyDescent="0.3">
      <c r="A572" s="18"/>
      <c r="B572" s="18"/>
      <c r="C572" s="18"/>
      <c r="D572" s="33"/>
      <c r="E572" s="127"/>
      <c r="F572" s="128"/>
      <c r="G572" s="128"/>
      <c r="H572" s="129"/>
      <c r="I572" s="130"/>
      <c r="J572" s="23"/>
      <c r="K572" s="23"/>
      <c r="L572" s="23"/>
      <c r="M572" s="131"/>
      <c r="N572" s="131"/>
      <c r="O572" s="131"/>
    </row>
    <row r="573" spans="1:15" x14ac:dyDescent="0.3">
      <c r="A573" s="18"/>
      <c r="B573" s="18"/>
      <c r="C573" s="18"/>
      <c r="D573" s="33"/>
      <c r="E573" s="127"/>
      <c r="F573" s="128"/>
      <c r="G573" s="128"/>
      <c r="H573" s="129"/>
      <c r="I573" s="130"/>
      <c r="J573" s="23"/>
      <c r="K573" s="23"/>
      <c r="L573" s="23"/>
      <c r="M573" s="131"/>
      <c r="N573" s="131"/>
      <c r="O573" s="131"/>
    </row>
    <row r="574" spans="1:15" x14ac:dyDescent="0.3">
      <c r="A574" s="18"/>
      <c r="B574" s="18"/>
      <c r="C574" s="18"/>
      <c r="D574" s="33"/>
      <c r="E574" s="127"/>
      <c r="F574" s="128"/>
      <c r="G574" s="128"/>
      <c r="H574" s="129"/>
      <c r="I574" s="130"/>
      <c r="J574" s="23"/>
      <c r="K574" s="23"/>
      <c r="L574" s="23"/>
      <c r="M574" s="131"/>
      <c r="N574" s="131"/>
      <c r="O574" s="131"/>
    </row>
    <row r="575" spans="1:15" x14ac:dyDescent="0.3">
      <c r="A575" s="18"/>
      <c r="B575" s="18"/>
      <c r="C575" s="18"/>
      <c r="D575" s="33"/>
      <c r="E575" s="127"/>
      <c r="F575" s="128"/>
      <c r="G575" s="128"/>
      <c r="H575" s="129"/>
      <c r="I575" s="130"/>
      <c r="J575" s="23"/>
      <c r="K575" s="23"/>
      <c r="L575" s="23"/>
      <c r="M575" s="131"/>
      <c r="N575" s="131"/>
      <c r="O575" s="131"/>
    </row>
    <row r="576" spans="1:15" x14ac:dyDescent="0.3">
      <c r="A576" s="18"/>
      <c r="B576" s="18"/>
      <c r="C576" s="18"/>
      <c r="D576" s="33"/>
      <c r="E576" s="127"/>
      <c r="F576" s="128"/>
      <c r="G576" s="128"/>
      <c r="H576" s="129"/>
      <c r="I576" s="130"/>
      <c r="J576" s="23"/>
      <c r="K576" s="23"/>
      <c r="L576" s="23"/>
      <c r="M576" s="131"/>
      <c r="N576" s="131"/>
      <c r="O576" s="131"/>
    </row>
    <row r="577" spans="1:15" x14ac:dyDescent="0.3">
      <c r="A577" s="18"/>
      <c r="B577" s="18"/>
      <c r="C577" s="18"/>
      <c r="D577" s="33"/>
      <c r="E577" s="127"/>
      <c r="F577" s="128"/>
      <c r="G577" s="128"/>
      <c r="H577" s="129"/>
      <c r="I577" s="130"/>
      <c r="J577" s="23"/>
      <c r="K577" s="23"/>
      <c r="L577" s="23"/>
      <c r="M577" s="131"/>
      <c r="N577" s="131"/>
      <c r="O577" s="131"/>
    </row>
    <row r="578" spans="1:15" x14ac:dyDescent="0.3">
      <c r="A578" s="18"/>
      <c r="B578" s="18"/>
      <c r="C578" s="18"/>
      <c r="D578" s="33"/>
      <c r="E578" s="127"/>
      <c r="F578" s="128"/>
      <c r="G578" s="128"/>
      <c r="H578" s="129"/>
      <c r="I578" s="130"/>
      <c r="J578" s="23"/>
      <c r="K578" s="23"/>
      <c r="L578" s="23"/>
      <c r="M578" s="131"/>
      <c r="N578" s="131"/>
      <c r="O578" s="131"/>
    </row>
    <row r="579" spans="1:15" x14ac:dyDescent="0.3">
      <c r="A579" s="18"/>
      <c r="B579" s="18"/>
      <c r="C579" s="18"/>
      <c r="D579" s="33"/>
      <c r="E579" s="127"/>
      <c r="F579" s="128"/>
      <c r="G579" s="128"/>
      <c r="H579" s="129"/>
      <c r="I579" s="130"/>
      <c r="J579" s="23"/>
      <c r="K579" s="23"/>
      <c r="L579" s="23"/>
      <c r="M579" s="131"/>
      <c r="N579" s="131"/>
      <c r="O579" s="131"/>
    </row>
    <row r="580" spans="1:15" x14ac:dyDescent="0.3">
      <c r="A580" s="18"/>
      <c r="B580" s="18"/>
      <c r="C580" s="18"/>
      <c r="D580" s="33"/>
      <c r="E580" s="127"/>
      <c r="F580" s="128"/>
      <c r="G580" s="128"/>
      <c r="H580" s="129"/>
      <c r="I580" s="130"/>
      <c r="J580" s="23"/>
      <c r="K580" s="23"/>
      <c r="L580" s="23"/>
      <c r="M580" s="131"/>
      <c r="N580" s="131"/>
      <c r="O580" s="131"/>
    </row>
    <row r="581" spans="1:15" x14ac:dyDescent="0.3">
      <c r="A581" s="18"/>
      <c r="B581" s="18"/>
      <c r="C581" s="18"/>
      <c r="D581" s="33"/>
      <c r="E581" s="127"/>
      <c r="F581" s="128"/>
      <c r="G581" s="128"/>
      <c r="H581" s="129"/>
      <c r="I581" s="130"/>
      <c r="J581" s="23"/>
      <c r="K581" s="23"/>
      <c r="L581" s="23"/>
      <c r="M581" s="131"/>
      <c r="N581" s="131"/>
      <c r="O581" s="131"/>
    </row>
    <row r="582" spans="1:15" x14ac:dyDescent="0.3">
      <c r="A582" s="18"/>
      <c r="B582" s="18"/>
      <c r="C582" s="18"/>
      <c r="D582" s="33"/>
      <c r="E582" s="127"/>
      <c r="F582" s="128"/>
      <c r="G582" s="128"/>
      <c r="H582" s="129"/>
      <c r="I582" s="130"/>
      <c r="J582" s="23"/>
      <c r="K582" s="23"/>
      <c r="L582" s="23"/>
      <c r="M582" s="131"/>
      <c r="N582" s="131"/>
      <c r="O582" s="131"/>
    </row>
    <row r="583" spans="1:15" x14ac:dyDescent="0.3">
      <c r="A583" s="18"/>
      <c r="B583" s="18"/>
      <c r="C583" s="18"/>
      <c r="D583" s="33"/>
      <c r="E583" s="127"/>
      <c r="F583" s="128"/>
      <c r="G583" s="128"/>
      <c r="H583" s="129"/>
      <c r="I583" s="130"/>
      <c r="J583" s="23"/>
      <c r="K583" s="23"/>
      <c r="L583" s="23"/>
      <c r="M583" s="131"/>
      <c r="N583" s="131"/>
      <c r="O583" s="131"/>
    </row>
    <row r="584" spans="1:15" x14ac:dyDescent="0.3">
      <c r="A584" s="18"/>
      <c r="B584" s="18"/>
      <c r="C584" s="18"/>
      <c r="D584" s="33"/>
      <c r="E584" s="127"/>
      <c r="F584" s="128"/>
      <c r="G584" s="128"/>
      <c r="H584" s="129"/>
      <c r="I584" s="130"/>
      <c r="J584" s="23"/>
      <c r="K584" s="23"/>
      <c r="L584" s="23"/>
      <c r="M584" s="131"/>
      <c r="N584" s="131"/>
      <c r="O584" s="131"/>
    </row>
    <row r="585" spans="1:15" x14ac:dyDescent="0.3">
      <c r="A585" s="18"/>
      <c r="B585" s="18"/>
      <c r="C585" s="18"/>
      <c r="D585" s="33"/>
      <c r="E585" s="127"/>
      <c r="F585" s="128"/>
      <c r="G585" s="128"/>
      <c r="H585" s="129"/>
      <c r="I585" s="130"/>
      <c r="J585" s="23"/>
      <c r="K585" s="23"/>
      <c r="L585" s="23"/>
      <c r="M585" s="131"/>
      <c r="N585" s="131"/>
      <c r="O585" s="131"/>
    </row>
    <row r="586" spans="1:15" x14ac:dyDescent="0.3">
      <c r="A586" s="18"/>
      <c r="B586" s="18"/>
      <c r="C586" s="18"/>
      <c r="D586" s="33"/>
      <c r="E586" s="127"/>
      <c r="F586" s="128"/>
      <c r="G586" s="128"/>
      <c r="H586" s="129"/>
      <c r="I586" s="130"/>
      <c r="J586" s="23"/>
      <c r="K586" s="23"/>
      <c r="L586" s="23"/>
      <c r="M586" s="131"/>
      <c r="N586" s="131"/>
      <c r="O586" s="131"/>
    </row>
    <row r="587" spans="1:15" x14ac:dyDescent="0.3">
      <c r="A587" s="18"/>
      <c r="B587" s="18"/>
      <c r="C587" s="18"/>
      <c r="D587" s="33"/>
      <c r="E587" s="127"/>
      <c r="F587" s="128"/>
      <c r="G587" s="128"/>
      <c r="H587" s="129"/>
      <c r="I587" s="130"/>
      <c r="J587" s="23"/>
      <c r="K587" s="23"/>
      <c r="L587" s="23"/>
      <c r="M587" s="131"/>
      <c r="N587" s="131"/>
      <c r="O587" s="131"/>
    </row>
    <row r="588" spans="1:15" x14ac:dyDescent="0.3">
      <c r="A588" s="18"/>
      <c r="B588" s="18"/>
      <c r="C588" s="18"/>
      <c r="D588" s="33"/>
      <c r="E588" s="127"/>
      <c r="F588" s="128"/>
      <c r="G588" s="128"/>
      <c r="H588" s="129"/>
      <c r="I588" s="130"/>
      <c r="J588" s="23"/>
      <c r="K588" s="23"/>
      <c r="L588" s="23"/>
      <c r="M588" s="131"/>
      <c r="N588" s="131"/>
      <c r="O588" s="131"/>
    </row>
    <row r="589" spans="1:15" x14ac:dyDescent="0.3">
      <c r="A589" s="18"/>
      <c r="B589" s="18"/>
      <c r="C589" s="18"/>
      <c r="D589" s="33"/>
      <c r="E589" s="127"/>
      <c r="F589" s="128"/>
      <c r="G589" s="128"/>
      <c r="H589" s="129"/>
      <c r="I589" s="130"/>
      <c r="J589" s="23"/>
      <c r="K589" s="23"/>
      <c r="L589" s="23"/>
      <c r="M589" s="131"/>
      <c r="N589" s="131"/>
      <c r="O589" s="131"/>
    </row>
    <row r="590" spans="1:15" x14ac:dyDescent="0.3">
      <c r="A590" s="18"/>
      <c r="B590" s="18"/>
      <c r="C590" s="18"/>
      <c r="D590" s="33"/>
      <c r="E590" s="127"/>
      <c r="F590" s="128"/>
      <c r="G590" s="128"/>
      <c r="H590" s="129"/>
      <c r="I590" s="130"/>
      <c r="J590" s="23"/>
      <c r="K590" s="23"/>
      <c r="L590" s="23"/>
      <c r="M590" s="131"/>
      <c r="N590" s="131"/>
      <c r="O590" s="131"/>
    </row>
    <row r="591" spans="1:15" x14ac:dyDescent="0.3">
      <c r="A591" s="18"/>
      <c r="B591" s="18"/>
      <c r="C591" s="18"/>
      <c r="D591" s="33"/>
      <c r="E591" s="127"/>
      <c r="F591" s="128"/>
      <c r="G591" s="128"/>
      <c r="H591" s="129"/>
      <c r="I591" s="130"/>
      <c r="J591" s="23"/>
      <c r="K591" s="23"/>
      <c r="L591" s="23"/>
      <c r="M591" s="131"/>
      <c r="N591" s="131"/>
      <c r="O591" s="131"/>
    </row>
    <row r="592" spans="1:15" x14ac:dyDescent="0.3">
      <c r="A592" s="18"/>
      <c r="B592" s="18"/>
      <c r="C592" s="18"/>
      <c r="D592" s="33"/>
      <c r="E592" s="127"/>
      <c r="F592" s="128"/>
      <c r="G592" s="128"/>
      <c r="H592" s="129"/>
      <c r="I592" s="130"/>
      <c r="J592" s="23"/>
      <c r="K592" s="23"/>
      <c r="L592" s="23"/>
      <c r="M592" s="131"/>
      <c r="N592" s="131"/>
      <c r="O592" s="131"/>
    </row>
    <row r="593" spans="1:15" x14ac:dyDescent="0.3">
      <c r="A593" s="18"/>
      <c r="B593" s="18"/>
      <c r="C593" s="18"/>
      <c r="D593" s="33"/>
      <c r="E593" s="127"/>
      <c r="F593" s="128"/>
      <c r="G593" s="128"/>
      <c r="H593" s="129"/>
      <c r="I593" s="130"/>
      <c r="J593" s="23"/>
      <c r="K593" s="23"/>
      <c r="L593" s="23"/>
      <c r="M593" s="131"/>
      <c r="N593" s="131"/>
      <c r="O593" s="131"/>
    </row>
    <row r="594" spans="1:15" x14ac:dyDescent="0.3">
      <c r="A594" s="18"/>
      <c r="B594" s="18"/>
      <c r="C594" s="18"/>
      <c r="D594" s="33"/>
      <c r="E594" s="127"/>
      <c r="F594" s="128"/>
      <c r="G594" s="128"/>
      <c r="H594" s="129"/>
      <c r="I594" s="130"/>
      <c r="J594" s="23"/>
      <c r="K594" s="23"/>
      <c r="L594" s="23"/>
      <c r="M594" s="131"/>
      <c r="N594" s="131"/>
      <c r="O594" s="131"/>
    </row>
    <row r="595" spans="1:15" x14ac:dyDescent="0.3">
      <c r="A595" s="18"/>
      <c r="B595" s="18"/>
      <c r="C595" s="18"/>
      <c r="D595" s="33"/>
      <c r="E595" s="127"/>
      <c r="F595" s="128"/>
      <c r="G595" s="128"/>
      <c r="H595" s="129"/>
      <c r="I595" s="130"/>
      <c r="J595" s="23"/>
      <c r="K595" s="23"/>
      <c r="L595" s="23"/>
      <c r="M595" s="131"/>
      <c r="N595" s="131"/>
      <c r="O595" s="131"/>
    </row>
    <row r="596" spans="1:15" x14ac:dyDescent="0.3">
      <c r="A596" s="18"/>
      <c r="B596" s="18"/>
      <c r="C596" s="18"/>
      <c r="D596" s="33"/>
      <c r="E596" s="127"/>
      <c r="F596" s="128"/>
      <c r="G596" s="128"/>
      <c r="H596" s="129"/>
      <c r="I596" s="130"/>
      <c r="J596" s="23"/>
      <c r="K596" s="23"/>
      <c r="L596" s="23"/>
      <c r="M596" s="131"/>
      <c r="N596" s="131"/>
      <c r="O596" s="131"/>
    </row>
    <row r="597" spans="1:15" x14ac:dyDescent="0.3">
      <c r="A597" s="18"/>
      <c r="B597" s="18"/>
      <c r="C597" s="18"/>
      <c r="D597" s="33"/>
      <c r="E597" s="127"/>
      <c r="F597" s="128"/>
      <c r="G597" s="128"/>
      <c r="H597" s="129"/>
      <c r="I597" s="130"/>
      <c r="J597" s="23"/>
      <c r="K597" s="23"/>
      <c r="L597" s="23"/>
      <c r="M597" s="131"/>
      <c r="N597" s="131"/>
      <c r="O597" s="131"/>
    </row>
    <row r="598" spans="1:15" x14ac:dyDescent="0.3">
      <c r="A598" s="18"/>
      <c r="B598" s="18"/>
      <c r="C598" s="18"/>
      <c r="D598" s="33"/>
      <c r="E598" s="127"/>
      <c r="F598" s="128"/>
      <c r="G598" s="128"/>
      <c r="H598" s="129"/>
      <c r="I598" s="130"/>
      <c r="J598" s="23"/>
      <c r="K598" s="23"/>
      <c r="L598" s="23"/>
      <c r="M598" s="131"/>
      <c r="N598" s="131"/>
      <c r="O598" s="131"/>
    </row>
    <row r="599" spans="1:15" x14ac:dyDescent="0.3">
      <c r="A599" s="18"/>
      <c r="B599" s="18"/>
      <c r="C599" s="18"/>
      <c r="D599" s="33"/>
      <c r="E599" s="127"/>
      <c r="F599" s="128"/>
      <c r="G599" s="128"/>
      <c r="H599" s="129"/>
      <c r="I599" s="130"/>
      <c r="J599" s="23"/>
      <c r="K599" s="23"/>
      <c r="L599" s="23"/>
      <c r="M599" s="131"/>
      <c r="N599" s="131"/>
      <c r="O599" s="131"/>
    </row>
    <row r="600" spans="1:15" x14ac:dyDescent="0.3">
      <c r="A600" s="18"/>
      <c r="B600" s="18"/>
      <c r="C600" s="18"/>
      <c r="D600" s="33"/>
      <c r="E600" s="127"/>
      <c r="F600" s="128"/>
      <c r="G600" s="128"/>
      <c r="H600" s="129"/>
      <c r="I600" s="130"/>
      <c r="J600" s="23"/>
      <c r="K600" s="23"/>
      <c r="L600" s="23"/>
      <c r="M600" s="131"/>
      <c r="N600" s="131"/>
      <c r="O600" s="131"/>
    </row>
    <row r="601" spans="1:15" x14ac:dyDescent="0.3">
      <c r="A601" s="18"/>
      <c r="B601" s="18"/>
      <c r="C601" s="18"/>
      <c r="D601" s="33"/>
      <c r="E601" s="127"/>
      <c r="F601" s="128"/>
      <c r="G601" s="128"/>
      <c r="H601" s="129"/>
      <c r="I601" s="130"/>
      <c r="J601" s="23"/>
      <c r="K601" s="23"/>
      <c r="L601" s="23"/>
      <c r="M601" s="131"/>
      <c r="N601" s="131"/>
      <c r="O601" s="131"/>
    </row>
    <row r="602" spans="1:15" x14ac:dyDescent="0.3">
      <c r="C602" s="18"/>
      <c r="D602" s="33"/>
      <c r="E602" s="127"/>
      <c r="F602" s="128"/>
      <c r="G602" s="128"/>
      <c r="H602" s="129"/>
      <c r="I602" s="130"/>
      <c r="J602" s="23"/>
      <c r="K602" s="23"/>
      <c r="L602" s="23"/>
      <c r="M602" s="131"/>
      <c r="N602" s="131"/>
      <c r="O602" s="131"/>
    </row>
    <row r="603" spans="1:15" x14ac:dyDescent="0.3">
      <c r="C603" s="18"/>
      <c r="D603" s="33"/>
      <c r="E603" s="127"/>
      <c r="F603" s="128"/>
      <c r="G603" s="128"/>
      <c r="H603" s="129"/>
      <c r="I603" s="130"/>
      <c r="J603" s="23"/>
      <c r="K603" s="23"/>
      <c r="L603" s="23"/>
      <c r="M603" s="131"/>
      <c r="N603" s="131"/>
      <c r="O603" s="131"/>
    </row>
    <row r="604" spans="1:15" x14ac:dyDescent="0.3">
      <c r="C604" s="18"/>
      <c r="D604" s="33"/>
      <c r="E604" s="127"/>
      <c r="F604" s="128"/>
      <c r="G604" s="128"/>
      <c r="H604" s="129"/>
      <c r="I604" s="130"/>
      <c r="J604" s="23"/>
      <c r="K604" s="23"/>
      <c r="L604" s="23"/>
      <c r="M604" s="131"/>
      <c r="N604" s="131"/>
      <c r="O604" s="131"/>
    </row>
    <row r="605" spans="1:15" x14ac:dyDescent="0.3">
      <c r="C605" s="18"/>
      <c r="D605" s="33"/>
      <c r="E605" s="127"/>
      <c r="F605" s="128"/>
      <c r="G605" s="128"/>
      <c r="H605" s="129"/>
      <c r="I605" s="130"/>
      <c r="J605" s="23"/>
      <c r="K605" s="23"/>
      <c r="L605" s="23"/>
      <c r="M605" s="131"/>
      <c r="N605" s="131"/>
      <c r="O605" s="131"/>
    </row>
    <row r="606" spans="1:15" x14ac:dyDescent="0.3">
      <c r="C606" s="18"/>
      <c r="D606" s="33"/>
      <c r="E606" s="127"/>
      <c r="F606" s="128"/>
      <c r="G606" s="128"/>
      <c r="H606" s="129"/>
      <c r="I606" s="130"/>
      <c r="J606" s="23"/>
      <c r="K606" s="23"/>
      <c r="L606" s="23"/>
      <c r="M606" s="131"/>
      <c r="N606" s="131"/>
      <c r="O606" s="131"/>
    </row>
    <row r="607" spans="1:15" x14ac:dyDescent="0.3">
      <c r="C607" s="18"/>
      <c r="D607" s="33"/>
      <c r="E607" s="127"/>
      <c r="F607" s="128"/>
      <c r="G607" s="128"/>
      <c r="H607" s="129"/>
      <c r="I607" s="130"/>
      <c r="J607" s="23"/>
      <c r="K607" s="23"/>
      <c r="L607" s="23"/>
      <c r="M607" s="131"/>
      <c r="N607" s="131"/>
      <c r="O607" s="131"/>
    </row>
    <row r="608" spans="1:15" x14ac:dyDescent="0.3">
      <c r="C608" s="18"/>
      <c r="D608" s="33"/>
      <c r="E608" s="127"/>
      <c r="F608" s="128"/>
      <c r="G608" s="128"/>
      <c r="H608" s="129"/>
      <c r="I608" s="130"/>
      <c r="J608" s="23"/>
      <c r="K608" s="23"/>
      <c r="L608" s="23"/>
      <c r="M608" s="131"/>
      <c r="N608" s="131"/>
      <c r="O608" s="131"/>
    </row>
    <row r="609" spans="3:15" x14ac:dyDescent="0.3">
      <c r="C609" s="18"/>
      <c r="D609" s="33"/>
      <c r="E609" s="127"/>
      <c r="F609" s="128"/>
      <c r="G609" s="128"/>
      <c r="H609" s="129"/>
      <c r="I609" s="130"/>
      <c r="J609" s="23"/>
      <c r="K609" s="23"/>
      <c r="L609" s="23"/>
      <c r="M609" s="131"/>
      <c r="N609" s="131"/>
      <c r="O609" s="131"/>
    </row>
    <row r="610" spans="3:15" x14ac:dyDescent="0.3">
      <c r="C610" s="18"/>
      <c r="D610" s="33"/>
      <c r="E610" s="127"/>
      <c r="F610" s="128"/>
      <c r="G610" s="128"/>
      <c r="H610" s="129"/>
      <c r="I610" s="130"/>
      <c r="J610" s="23"/>
      <c r="K610" s="23"/>
      <c r="L610" s="23"/>
      <c r="M610" s="131"/>
      <c r="N610" s="131"/>
      <c r="O610" s="131"/>
    </row>
    <row r="611" spans="3:15" x14ac:dyDescent="0.3">
      <c r="C611" s="18"/>
      <c r="D611" s="33"/>
      <c r="E611" s="127"/>
      <c r="F611" s="128"/>
      <c r="G611" s="128"/>
      <c r="H611" s="129"/>
      <c r="I611" s="130"/>
      <c r="J611" s="23"/>
      <c r="K611" s="23"/>
      <c r="L611" s="23"/>
      <c r="M611" s="131"/>
      <c r="N611" s="131"/>
      <c r="O611" s="131"/>
    </row>
    <row r="612" spans="3:15" x14ac:dyDescent="0.3">
      <c r="C612" s="18"/>
      <c r="D612" s="33"/>
      <c r="E612" s="127"/>
      <c r="F612" s="128"/>
      <c r="G612" s="128"/>
      <c r="H612" s="129"/>
      <c r="I612" s="130"/>
      <c r="J612" s="23"/>
      <c r="K612" s="23"/>
      <c r="L612" s="23"/>
      <c r="M612" s="131"/>
      <c r="N612" s="131"/>
      <c r="O612" s="131"/>
    </row>
    <row r="613" spans="3:15" x14ac:dyDescent="0.3">
      <c r="C613" s="18"/>
      <c r="D613" s="33"/>
      <c r="E613" s="127"/>
      <c r="F613" s="128"/>
      <c r="G613" s="128"/>
      <c r="H613" s="129"/>
      <c r="I613" s="130"/>
      <c r="J613" s="23"/>
      <c r="K613" s="23"/>
      <c r="L613" s="23"/>
      <c r="M613" s="131"/>
      <c r="N613" s="131"/>
      <c r="O613" s="131"/>
    </row>
    <row r="614" spans="3:15" x14ac:dyDescent="0.3">
      <c r="C614" s="18"/>
      <c r="D614" s="33"/>
      <c r="E614" s="127"/>
      <c r="F614" s="128"/>
      <c r="G614" s="128"/>
      <c r="H614" s="129"/>
      <c r="I614" s="130"/>
      <c r="J614" s="23"/>
      <c r="K614" s="23"/>
      <c r="L614" s="23"/>
      <c r="M614" s="131"/>
      <c r="N614" s="131"/>
      <c r="O614" s="131"/>
    </row>
    <row r="615" spans="3:15" x14ac:dyDescent="0.3">
      <c r="C615" s="18"/>
      <c r="D615" s="33"/>
      <c r="E615" s="127"/>
      <c r="F615" s="128"/>
      <c r="G615" s="128"/>
      <c r="H615" s="129"/>
      <c r="I615" s="130"/>
      <c r="J615" s="23"/>
      <c r="K615" s="23"/>
      <c r="L615" s="23"/>
      <c r="M615" s="131"/>
      <c r="N615" s="131"/>
      <c r="O615" s="131"/>
    </row>
    <row r="616" spans="3:15" x14ac:dyDescent="0.3">
      <c r="C616" s="18"/>
      <c r="D616" s="33"/>
      <c r="E616" s="127"/>
      <c r="F616" s="128"/>
      <c r="G616" s="128"/>
      <c r="H616" s="129"/>
      <c r="I616" s="130"/>
      <c r="J616" s="23"/>
      <c r="K616" s="23"/>
      <c r="L616" s="23"/>
      <c r="M616" s="131"/>
      <c r="N616" s="131"/>
      <c r="O616" s="131"/>
    </row>
    <row r="617" spans="3:15" x14ac:dyDescent="0.3">
      <c r="C617" s="18"/>
      <c r="D617" s="33"/>
      <c r="E617" s="127"/>
      <c r="F617" s="128"/>
      <c r="G617" s="128"/>
      <c r="H617" s="129"/>
      <c r="I617" s="130"/>
      <c r="J617" s="23"/>
      <c r="K617" s="23"/>
      <c r="L617" s="23"/>
      <c r="M617" s="131"/>
      <c r="N617" s="131"/>
      <c r="O617" s="131"/>
    </row>
    <row r="618" spans="3:15" x14ac:dyDescent="0.3">
      <c r="C618" s="18"/>
      <c r="D618" s="33"/>
      <c r="E618" s="127"/>
      <c r="F618" s="128"/>
      <c r="G618" s="128"/>
      <c r="H618" s="129"/>
      <c r="I618" s="130"/>
      <c r="J618" s="23"/>
      <c r="K618" s="23"/>
      <c r="L618" s="23"/>
      <c r="M618" s="131"/>
      <c r="N618" s="131"/>
      <c r="O618" s="131"/>
    </row>
    <row r="619" spans="3:15" x14ac:dyDescent="0.3">
      <c r="C619" s="18"/>
      <c r="D619" s="33"/>
      <c r="E619" s="127"/>
      <c r="F619" s="128"/>
      <c r="G619" s="128"/>
      <c r="H619" s="129"/>
      <c r="I619" s="130"/>
      <c r="J619" s="23"/>
      <c r="K619" s="23"/>
      <c r="L619" s="23"/>
      <c r="M619" s="131"/>
      <c r="N619" s="131"/>
      <c r="O619" s="131"/>
    </row>
    <row r="620" spans="3:15" x14ac:dyDescent="0.3">
      <c r="C620" s="18"/>
      <c r="D620" s="33"/>
      <c r="E620" s="127"/>
      <c r="F620" s="128"/>
      <c r="G620" s="128"/>
      <c r="H620" s="129"/>
      <c r="I620" s="130"/>
      <c r="J620" s="23"/>
      <c r="K620" s="23"/>
      <c r="L620" s="23"/>
      <c r="M620" s="131"/>
      <c r="N620" s="131"/>
      <c r="O620" s="131"/>
    </row>
    <row r="621" spans="3:15" x14ac:dyDescent="0.3">
      <c r="C621" s="18"/>
      <c r="D621" s="33"/>
      <c r="E621" s="127"/>
      <c r="F621" s="128"/>
      <c r="G621" s="128"/>
      <c r="H621" s="129"/>
      <c r="I621" s="130"/>
      <c r="J621" s="23"/>
      <c r="K621" s="23"/>
      <c r="L621" s="23"/>
      <c r="M621" s="131"/>
      <c r="N621" s="131"/>
      <c r="O621" s="131"/>
    </row>
    <row r="622" spans="3:15" x14ac:dyDescent="0.3">
      <c r="C622" s="18"/>
      <c r="D622" s="33"/>
      <c r="E622" s="127"/>
      <c r="F622" s="128"/>
      <c r="G622" s="128"/>
      <c r="H622" s="129"/>
      <c r="I622" s="130"/>
      <c r="J622" s="23"/>
      <c r="K622" s="23"/>
      <c r="L622" s="23"/>
      <c r="M622" s="131"/>
      <c r="N622" s="131"/>
      <c r="O622" s="131"/>
    </row>
    <row r="623" spans="3:15" x14ac:dyDescent="0.3">
      <c r="C623" s="18"/>
      <c r="D623" s="33"/>
      <c r="E623" s="127"/>
      <c r="F623" s="128"/>
      <c r="G623" s="128"/>
      <c r="H623" s="129"/>
      <c r="I623" s="130"/>
      <c r="J623" s="23"/>
      <c r="K623" s="23"/>
      <c r="L623" s="23"/>
      <c r="M623" s="131"/>
      <c r="N623" s="131"/>
      <c r="O623" s="131"/>
    </row>
    <row r="624" spans="3:15" x14ac:dyDescent="0.3">
      <c r="C624" s="18"/>
      <c r="D624" s="33"/>
      <c r="E624" s="127"/>
      <c r="F624" s="128"/>
      <c r="G624" s="128"/>
      <c r="H624" s="129"/>
      <c r="I624" s="130"/>
      <c r="J624" s="23"/>
      <c r="K624" s="23"/>
      <c r="L624" s="23"/>
      <c r="M624" s="131"/>
      <c r="N624" s="131"/>
      <c r="O624" s="131"/>
    </row>
    <row r="625" spans="3:15" x14ac:dyDescent="0.3">
      <c r="C625" s="18"/>
      <c r="D625" s="33"/>
      <c r="E625" s="127"/>
      <c r="F625" s="128"/>
      <c r="G625" s="128"/>
      <c r="H625" s="129"/>
      <c r="I625" s="130"/>
      <c r="J625" s="23"/>
      <c r="K625" s="23"/>
      <c r="L625" s="23"/>
      <c r="M625" s="131"/>
      <c r="N625" s="131"/>
      <c r="O625" s="131"/>
    </row>
    <row r="626" spans="3:15" x14ac:dyDescent="0.3">
      <c r="C626" s="18"/>
      <c r="D626" s="33"/>
      <c r="E626" s="127"/>
      <c r="F626" s="128"/>
      <c r="G626" s="128"/>
      <c r="H626" s="129"/>
      <c r="I626" s="130"/>
      <c r="J626" s="23"/>
      <c r="K626" s="23"/>
      <c r="L626" s="23"/>
      <c r="M626" s="131"/>
      <c r="N626" s="131"/>
      <c r="O626" s="131"/>
    </row>
    <row r="627" spans="3:15" x14ac:dyDescent="0.3">
      <c r="C627" s="18"/>
      <c r="D627" s="33"/>
      <c r="E627" s="127"/>
      <c r="F627" s="128"/>
      <c r="G627" s="128"/>
      <c r="H627" s="129"/>
      <c r="I627" s="130"/>
      <c r="J627" s="23"/>
      <c r="K627" s="23"/>
      <c r="L627" s="23"/>
      <c r="M627" s="131"/>
      <c r="N627" s="131"/>
      <c r="O627" s="131"/>
    </row>
    <row r="628" spans="3:15" x14ac:dyDescent="0.3">
      <c r="C628" s="18"/>
      <c r="D628" s="33"/>
      <c r="E628" s="127"/>
      <c r="F628" s="128"/>
      <c r="G628" s="128"/>
      <c r="H628" s="129"/>
      <c r="I628" s="130"/>
      <c r="J628" s="23"/>
      <c r="K628" s="23"/>
      <c r="L628" s="23"/>
      <c r="M628" s="131"/>
      <c r="N628" s="131"/>
      <c r="O628" s="131"/>
    </row>
    <row r="629" spans="3:15" x14ac:dyDescent="0.3">
      <c r="C629" s="18"/>
      <c r="D629" s="33"/>
      <c r="E629" s="127"/>
      <c r="F629" s="128"/>
      <c r="G629" s="128"/>
      <c r="H629" s="129"/>
      <c r="I629" s="130"/>
      <c r="J629" s="23"/>
      <c r="K629" s="23"/>
      <c r="L629" s="23"/>
      <c r="M629" s="131"/>
      <c r="N629" s="131"/>
      <c r="O629" s="131"/>
    </row>
    <row r="630" spans="3:15" x14ac:dyDescent="0.3">
      <c r="C630" s="18"/>
      <c r="D630" s="33"/>
      <c r="E630" s="127"/>
      <c r="F630" s="128"/>
      <c r="G630" s="128"/>
      <c r="H630" s="129"/>
      <c r="I630" s="130"/>
      <c r="J630" s="23"/>
      <c r="K630" s="23"/>
      <c r="L630" s="23"/>
      <c r="M630" s="131"/>
      <c r="N630" s="131"/>
      <c r="O630" s="131"/>
    </row>
    <row r="631" spans="3:15" x14ac:dyDescent="0.3">
      <c r="C631" s="18"/>
      <c r="D631" s="33"/>
      <c r="E631" s="127"/>
      <c r="F631" s="128"/>
      <c r="G631" s="128"/>
      <c r="H631" s="129"/>
      <c r="I631" s="130"/>
      <c r="J631" s="23"/>
      <c r="K631" s="23"/>
      <c r="L631" s="23"/>
      <c r="M631" s="131"/>
      <c r="N631" s="131"/>
      <c r="O631" s="131"/>
    </row>
    <row r="632" spans="3:15" x14ac:dyDescent="0.3">
      <c r="C632" s="18"/>
      <c r="D632" s="33"/>
      <c r="E632" s="127"/>
      <c r="F632" s="128"/>
      <c r="G632" s="128"/>
      <c r="H632" s="129"/>
      <c r="I632" s="130"/>
      <c r="J632" s="23"/>
      <c r="K632" s="23"/>
      <c r="L632" s="23"/>
      <c r="M632" s="131"/>
      <c r="N632" s="131"/>
      <c r="O632" s="131"/>
    </row>
    <row r="633" spans="3:15" x14ac:dyDescent="0.3">
      <c r="C633" s="18"/>
      <c r="D633" s="33"/>
      <c r="E633" s="127"/>
      <c r="F633" s="128"/>
      <c r="G633" s="128"/>
      <c r="H633" s="129"/>
      <c r="I633" s="130"/>
      <c r="J633" s="23"/>
      <c r="K633" s="23"/>
      <c r="L633" s="23"/>
      <c r="M633" s="131"/>
      <c r="N633" s="131"/>
      <c r="O633" s="131"/>
    </row>
    <row r="634" spans="3:15" x14ac:dyDescent="0.3">
      <c r="C634" s="18"/>
      <c r="D634" s="33"/>
      <c r="E634" s="127"/>
      <c r="F634" s="128"/>
      <c r="G634" s="128"/>
      <c r="H634" s="129"/>
      <c r="I634" s="130"/>
      <c r="J634" s="23"/>
      <c r="K634" s="23"/>
      <c r="L634" s="23"/>
      <c r="M634" s="131"/>
      <c r="N634" s="131"/>
      <c r="O634" s="131"/>
    </row>
    <row r="635" spans="3:15" x14ac:dyDescent="0.3">
      <c r="C635" s="18"/>
      <c r="D635" s="33"/>
      <c r="E635" s="127"/>
      <c r="F635" s="128"/>
      <c r="G635" s="128"/>
      <c r="H635" s="129"/>
      <c r="I635" s="130"/>
      <c r="J635" s="23"/>
      <c r="K635" s="23"/>
      <c r="L635" s="23"/>
      <c r="M635" s="131"/>
      <c r="N635" s="131"/>
      <c r="O635" s="131"/>
    </row>
    <row r="636" spans="3:15" x14ac:dyDescent="0.3">
      <c r="C636" s="18"/>
      <c r="D636" s="33"/>
      <c r="E636" s="127"/>
      <c r="F636" s="128"/>
      <c r="G636" s="128"/>
      <c r="H636" s="129"/>
      <c r="I636" s="130"/>
      <c r="J636" s="23"/>
      <c r="K636" s="23"/>
      <c r="L636" s="23"/>
      <c r="M636" s="131"/>
      <c r="N636" s="131"/>
      <c r="O636" s="131"/>
    </row>
    <row r="637" spans="3:15" x14ac:dyDescent="0.3">
      <c r="C637" s="18"/>
      <c r="D637" s="33"/>
      <c r="E637" s="127"/>
      <c r="F637" s="128"/>
      <c r="G637" s="128"/>
      <c r="H637" s="129"/>
      <c r="I637" s="130"/>
      <c r="J637" s="23"/>
      <c r="K637" s="23"/>
      <c r="L637" s="23"/>
      <c r="M637" s="131"/>
      <c r="N637" s="131"/>
      <c r="O637" s="131"/>
    </row>
    <row r="638" spans="3:15" x14ac:dyDescent="0.3">
      <c r="C638" s="18"/>
      <c r="D638" s="33"/>
      <c r="E638" s="127"/>
      <c r="F638" s="128"/>
      <c r="G638" s="128"/>
      <c r="H638" s="129"/>
      <c r="I638" s="130"/>
      <c r="J638" s="23"/>
      <c r="K638" s="23"/>
      <c r="L638" s="23"/>
      <c r="M638" s="131"/>
      <c r="N638" s="131"/>
      <c r="O638" s="131"/>
    </row>
    <row r="639" spans="3:15" x14ac:dyDescent="0.3">
      <c r="C639" s="18"/>
      <c r="D639" s="33"/>
      <c r="E639" s="127"/>
      <c r="F639" s="128"/>
      <c r="G639" s="128"/>
      <c r="H639" s="129"/>
      <c r="I639" s="130"/>
      <c r="J639" s="23"/>
      <c r="K639" s="23"/>
      <c r="L639" s="23"/>
      <c r="M639" s="131"/>
      <c r="N639" s="131"/>
      <c r="O639" s="131"/>
    </row>
    <row r="640" spans="3:15" x14ac:dyDescent="0.3">
      <c r="C640" s="18"/>
      <c r="D640" s="33"/>
      <c r="E640" s="127"/>
      <c r="F640" s="128"/>
      <c r="G640" s="128"/>
      <c r="H640" s="129"/>
      <c r="I640" s="130"/>
      <c r="J640" s="23"/>
      <c r="K640" s="23"/>
      <c r="L640" s="23"/>
      <c r="M640" s="131"/>
      <c r="N640" s="131"/>
      <c r="O640" s="131"/>
    </row>
    <row r="641" spans="3:15" x14ac:dyDescent="0.3">
      <c r="C641" s="18"/>
      <c r="D641" s="33"/>
      <c r="E641" s="127"/>
      <c r="F641" s="128"/>
      <c r="G641" s="128"/>
      <c r="H641" s="129"/>
      <c r="I641" s="130"/>
      <c r="J641" s="23"/>
      <c r="K641" s="23"/>
      <c r="L641" s="23"/>
      <c r="M641" s="131"/>
      <c r="N641" s="131"/>
      <c r="O641" s="131"/>
    </row>
    <row r="642" spans="3:15" x14ac:dyDescent="0.3">
      <c r="C642" s="18"/>
      <c r="D642" s="33"/>
      <c r="E642" s="127"/>
      <c r="F642" s="128"/>
      <c r="G642" s="128"/>
      <c r="H642" s="129"/>
      <c r="I642" s="130"/>
      <c r="J642" s="23"/>
      <c r="K642" s="23"/>
      <c r="L642" s="23"/>
      <c r="M642" s="131"/>
      <c r="N642" s="131"/>
      <c r="O642" s="131"/>
    </row>
    <row r="643" spans="3:15" x14ac:dyDescent="0.3">
      <c r="C643" s="18"/>
      <c r="D643" s="33"/>
      <c r="E643" s="127"/>
      <c r="F643" s="128"/>
      <c r="G643" s="128"/>
      <c r="H643" s="129"/>
      <c r="I643" s="130"/>
      <c r="J643" s="23"/>
      <c r="K643" s="23"/>
      <c r="L643" s="23"/>
      <c r="M643" s="131"/>
      <c r="N643" s="131"/>
      <c r="O643" s="131"/>
    </row>
    <row r="644" spans="3:15" x14ac:dyDescent="0.3">
      <c r="C644" s="18"/>
      <c r="D644" s="33"/>
      <c r="E644" s="127"/>
      <c r="F644" s="128"/>
      <c r="G644" s="128"/>
      <c r="H644" s="129"/>
      <c r="I644" s="130"/>
      <c r="J644" s="23"/>
      <c r="K644" s="23"/>
      <c r="L644" s="23"/>
      <c r="M644" s="131"/>
      <c r="N644" s="131"/>
      <c r="O644" s="131"/>
    </row>
    <row r="645" spans="3:15" x14ac:dyDescent="0.3">
      <c r="C645" s="18"/>
      <c r="D645" s="33"/>
      <c r="E645" s="127"/>
      <c r="F645" s="128"/>
      <c r="G645" s="128"/>
      <c r="H645" s="129"/>
      <c r="I645" s="130"/>
      <c r="J645" s="23"/>
      <c r="K645" s="23"/>
      <c r="L645" s="23"/>
      <c r="M645" s="131"/>
      <c r="N645" s="131"/>
      <c r="O645" s="131"/>
    </row>
    <row r="646" spans="3:15" x14ac:dyDescent="0.3">
      <c r="C646" s="18"/>
      <c r="D646" s="33"/>
      <c r="E646" s="127"/>
      <c r="F646" s="128"/>
      <c r="G646" s="128"/>
      <c r="H646" s="129"/>
      <c r="I646" s="130"/>
      <c r="J646" s="23"/>
      <c r="K646" s="23"/>
      <c r="L646" s="23"/>
      <c r="M646" s="131"/>
      <c r="N646" s="131"/>
      <c r="O646" s="131"/>
    </row>
    <row r="647" spans="3:15" x14ac:dyDescent="0.3">
      <c r="C647" s="18"/>
      <c r="D647" s="33"/>
      <c r="E647" s="127"/>
      <c r="F647" s="128"/>
      <c r="G647" s="128"/>
      <c r="H647" s="129"/>
      <c r="I647" s="130"/>
      <c r="J647" s="23"/>
      <c r="K647" s="23"/>
      <c r="L647" s="23"/>
      <c r="M647" s="131"/>
      <c r="N647" s="131"/>
      <c r="O647" s="131"/>
    </row>
    <row r="648" spans="3:15" x14ac:dyDescent="0.3">
      <c r="C648" s="18"/>
      <c r="D648" s="33"/>
      <c r="E648" s="127"/>
      <c r="F648" s="128"/>
      <c r="G648" s="128"/>
      <c r="H648" s="129"/>
      <c r="I648" s="130"/>
      <c r="J648" s="23"/>
      <c r="K648" s="23"/>
      <c r="L648" s="23"/>
      <c r="M648" s="131"/>
      <c r="N648" s="131"/>
      <c r="O648" s="131"/>
    </row>
    <row r="649" spans="3:15" x14ac:dyDescent="0.3">
      <c r="C649" s="18"/>
      <c r="D649" s="33"/>
      <c r="E649" s="127"/>
      <c r="F649" s="128"/>
      <c r="G649" s="128"/>
      <c r="H649" s="129"/>
      <c r="I649" s="130"/>
      <c r="J649" s="23"/>
      <c r="K649" s="23"/>
      <c r="L649" s="23"/>
      <c r="M649" s="131"/>
      <c r="N649" s="131"/>
      <c r="O649" s="131"/>
    </row>
    <row r="650" spans="3:15" x14ac:dyDescent="0.3">
      <c r="C650" s="18"/>
      <c r="D650" s="33"/>
      <c r="E650" s="127"/>
      <c r="F650" s="128"/>
      <c r="G650" s="128"/>
      <c r="H650" s="129"/>
      <c r="I650" s="130"/>
      <c r="J650" s="23"/>
      <c r="K650" s="23"/>
      <c r="L650" s="23"/>
      <c r="M650" s="131"/>
      <c r="N650" s="131"/>
      <c r="O650" s="131"/>
    </row>
    <row r="651" spans="3:15" x14ac:dyDescent="0.3">
      <c r="C651" s="18"/>
      <c r="D651" s="33"/>
      <c r="E651" s="127"/>
      <c r="F651" s="128"/>
      <c r="G651" s="128"/>
      <c r="H651" s="129"/>
      <c r="I651" s="130"/>
      <c r="J651" s="23"/>
      <c r="K651" s="23"/>
      <c r="L651" s="23"/>
      <c r="M651" s="131"/>
      <c r="N651" s="131"/>
      <c r="O651" s="131"/>
    </row>
    <row r="652" spans="3:15" x14ac:dyDescent="0.3">
      <c r="C652" s="18"/>
      <c r="D652" s="33"/>
      <c r="E652" s="127"/>
      <c r="F652" s="128"/>
      <c r="G652" s="128"/>
      <c r="H652" s="129"/>
      <c r="I652" s="130"/>
      <c r="J652" s="23"/>
      <c r="K652" s="23"/>
      <c r="L652" s="23"/>
      <c r="M652" s="131"/>
      <c r="N652" s="131"/>
      <c r="O652" s="131"/>
    </row>
    <row r="653" spans="3:15" x14ac:dyDescent="0.3">
      <c r="C653" s="18"/>
      <c r="D653" s="33"/>
      <c r="E653" s="127"/>
      <c r="F653" s="128"/>
      <c r="G653" s="128"/>
      <c r="H653" s="129"/>
      <c r="I653" s="130"/>
      <c r="J653" s="23"/>
      <c r="K653" s="23"/>
      <c r="L653" s="23"/>
      <c r="M653" s="131"/>
      <c r="N653" s="131"/>
      <c r="O653" s="131"/>
    </row>
    <row r="654" spans="3:15" x14ac:dyDescent="0.3">
      <c r="C654" s="18"/>
      <c r="D654" s="33"/>
      <c r="E654" s="127"/>
      <c r="F654" s="128"/>
      <c r="G654" s="128"/>
      <c r="H654" s="129"/>
      <c r="I654" s="130"/>
      <c r="J654" s="23"/>
      <c r="K654" s="23"/>
      <c r="L654" s="23"/>
      <c r="M654" s="131"/>
      <c r="N654" s="131"/>
      <c r="O654" s="131"/>
    </row>
    <row r="655" spans="3:15" x14ac:dyDescent="0.3">
      <c r="C655" s="18"/>
      <c r="D655" s="33"/>
      <c r="E655" s="127"/>
      <c r="F655" s="128"/>
      <c r="G655" s="128"/>
      <c r="H655" s="129"/>
      <c r="I655" s="130"/>
      <c r="J655" s="23"/>
      <c r="K655" s="23"/>
      <c r="L655" s="23"/>
      <c r="M655" s="131"/>
      <c r="N655" s="131"/>
      <c r="O655" s="131"/>
    </row>
    <row r="656" spans="3:15" x14ac:dyDescent="0.3">
      <c r="C656" s="18"/>
      <c r="D656" s="33"/>
      <c r="E656" s="127"/>
      <c r="F656" s="128"/>
      <c r="G656" s="128"/>
      <c r="H656" s="129"/>
      <c r="I656" s="130"/>
      <c r="J656" s="23"/>
      <c r="K656" s="23"/>
      <c r="L656" s="23"/>
      <c r="M656" s="131"/>
      <c r="N656" s="131"/>
      <c r="O656" s="131"/>
    </row>
    <row r="657" spans="3:15" x14ac:dyDescent="0.3">
      <c r="C657" s="18"/>
      <c r="D657" s="33"/>
      <c r="E657" s="127"/>
      <c r="F657" s="128"/>
      <c r="G657" s="128"/>
      <c r="H657" s="129"/>
      <c r="I657" s="130"/>
      <c r="J657" s="23"/>
      <c r="K657" s="23"/>
      <c r="L657" s="23"/>
      <c r="M657" s="131"/>
      <c r="N657" s="131"/>
      <c r="O657" s="131"/>
    </row>
    <row r="658" spans="3:15" x14ac:dyDescent="0.3">
      <c r="C658" s="18"/>
      <c r="D658" s="33"/>
      <c r="E658" s="127"/>
      <c r="F658" s="128"/>
      <c r="G658" s="128"/>
      <c r="H658" s="129"/>
      <c r="I658" s="130"/>
      <c r="J658" s="23"/>
      <c r="K658" s="23"/>
      <c r="L658" s="23"/>
      <c r="M658" s="131"/>
      <c r="N658" s="131"/>
      <c r="O658" s="131"/>
    </row>
    <row r="659" spans="3:15" x14ac:dyDescent="0.3">
      <c r="C659" s="18"/>
      <c r="D659" s="33"/>
      <c r="E659" s="127"/>
      <c r="F659" s="128"/>
      <c r="G659" s="128"/>
      <c r="H659" s="129"/>
      <c r="I659" s="130"/>
      <c r="J659" s="23"/>
      <c r="K659" s="23"/>
      <c r="L659" s="23"/>
      <c r="M659" s="131"/>
      <c r="N659" s="131"/>
      <c r="O659" s="131"/>
    </row>
    <row r="660" spans="3:15" x14ac:dyDescent="0.3">
      <c r="C660" s="18"/>
      <c r="D660" s="33"/>
      <c r="E660" s="127"/>
      <c r="F660" s="128"/>
      <c r="G660" s="128"/>
      <c r="H660" s="129"/>
      <c r="I660" s="130"/>
      <c r="J660" s="23"/>
      <c r="K660" s="23"/>
      <c r="L660" s="23"/>
      <c r="M660" s="131"/>
      <c r="N660" s="131"/>
      <c r="O660" s="131"/>
    </row>
    <row r="661" spans="3:15" x14ac:dyDescent="0.3">
      <c r="C661" s="18"/>
      <c r="D661" s="33"/>
      <c r="E661" s="127"/>
      <c r="F661" s="128"/>
      <c r="G661" s="128"/>
      <c r="H661" s="129"/>
      <c r="I661" s="130"/>
      <c r="J661" s="23"/>
      <c r="K661" s="23"/>
      <c r="L661" s="23"/>
      <c r="M661" s="131"/>
      <c r="N661" s="131"/>
      <c r="O661" s="131"/>
    </row>
    <row r="662" spans="3:15" x14ac:dyDescent="0.3">
      <c r="C662" s="18"/>
      <c r="D662" s="33"/>
      <c r="E662" s="127"/>
      <c r="F662" s="128"/>
      <c r="G662" s="128"/>
      <c r="H662" s="129"/>
      <c r="I662" s="130"/>
      <c r="J662" s="23"/>
      <c r="K662" s="23"/>
      <c r="L662" s="23"/>
      <c r="M662" s="131"/>
      <c r="N662" s="131"/>
      <c r="O662" s="131"/>
    </row>
    <row r="663" spans="3:15" x14ac:dyDescent="0.3">
      <c r="C663" s="18"/>
      <c r="D663" s="33"/>
      <c r="E663" s="127"/>
      <c r="F663" s="128"/>
      <c r="G663" s="128"/>
      <c r="H663" s="129"/>
      <c r="I663" s="130"/>
      <c r="J663" s="23"/>
      <c r="K663" s="23"/>
      <c r="L663" s="23"/>
      <c r="M663" s="131"/>
      <c r="N663" s="131"/>
      <c r="O663" s="131"/>
    </row>
    <row r="664" spans="3:15" x14ac:dyDescent="0.3">
      <c r="C664" s="18"/>
      <c r="D664" s="33"/>
      <c r="E664" s="127"/>
      <c r="F664" s="128"/>
      <c r="G664" s="128"/>
      <c r="H664" s="129"/>
      <c r="I664" s="130"/>
      <c r="J664" s="23"/>
      <c r="K664" s="23"/>
      <c r="L664" s="23"/>
      <c r="M664" s="131"/>
      <c r="N664" s="131"/>
      <c r="O664" s="131"/>
    </row>
    <row r="665" spans="3:15" x14ac:dyDescent="0.3">
      <c r="C665" s="18"/>
      <c r="D665" s="33"/>
      <c r="E665" s="127"/>
      <c r="F665" s="128"/>
      <c r="G665" s="128"/>
      <c r="H665" s="129"/>
      <c r="I665" s="130"/>
      <c r="J665" s="23"/>
      <c r="K665" s="23"/>
      <c r="L665" s="23"/>
      <c r="M665" s="131"/>
      <c r="N665" s="131"/>
      <c r="O665" s="131"/>
    </row>
    <row r="666" spans="3:15" x14ac:dyDescent="0.3">
      <c r="C666" s="18"/>
      <c r="D666" s="33"/>
      <c r="E666" s="127"/>
      <c r="F666" s="128"/>
      <c r="G666" s="128"/>
      <c r="H666" s="129"/>
      <c r="I666" s="130"/>
      <c r="J666" s="23"/>
      <c r="K666" s="23"/>
      <c r="L666" s="23"/>
      <c r="M666" s="131"/>
      <c r="N666" s="131"/>
      <c r="O666" s="131"/>
    </row>
    <row r="667" spans="3:15" x14ac:dyDescent="0.3">
      <c r="C667" s="18"/>
      <c r="D667" s="33"/>
      <c r="E667" s="127"/>
      <c r="F667" s="128"/>
      <c r="G667" s="128"/>
      <c r="H667" s="129"/>
      <c r="I667" s="130"/>
      <c r="J667" s="23"/>
      <c r="K667" s="23"/>
      <c r="L667" s="23"/>
      <c r="M667" s="131"/>
      <c r="N667" s="131"/>
      <c r="O667" s="131"/>
    </row>
    <row r="668" spans="3:15" x14ac:dyDescent="0.3">
      <c r="C668" s="18"/>
      <c r="D668" s="33"/>
      <c r="E668" s="127"/>
      <c r="F668" s="128"/>
      <c r="G668" s="128"/>
      <c r="H668" s="129"/>
      <c r="I668" s="130"/>
      <c r="J668" s="23"/>
      <c r="K668" s="23"/>
      <c r="L668" s="23"/>
      <c r="M668" s="131"/>
      <c r="N668" s="131"/>
      <c r="O668" s="131"/>
    </row>
    <row r="669" spans="3:15" x14ac:dyDescent="0.3">
      <c r="C669" s="18"/>
      <c r="D669" s="33"/>
      <c r="E669" s="127"/>
      <c r="F669" s="128"/>
      <c r="G669" s="128"/>
      <c r="H669" s="129"/>
      <c r="I669" s="130"/>
      <c r="J669" s="23"/>
      <c r="K669" s="23"/>
      <c r="L669" s="23"/>
      <c r="M669" s="131"/>
      <c r="N669" s="131"/>
      <c r="O669" s="131"/>
    </row>
    <row r="670" spans="3:15" x14ac:dyDescent="0.3">
      <c r="C670" s="18"/>
      <c r="D670" s="33"/>
      <c r="E670" s="127"/>
      <c r="F670" s="128"/>
      <c r="G670" s="128"/>
      <c r="H670" s="129"/>
      <c r="I670" s="130"/>
      <c r="J670" s="23"/>
      <c r="K670" s="23"/>
      <c r="L670" s="23"/>
      <c r="M670" s="131"/>
      <c r="N670" s="131"/>
      <c r="O670" s="131"/>
    </row>
    <row r="671" spans="3:15" x14ac:dyDescent="0.3">
      <c r="C671" s="18"/>
      <c r="D671" s="33"/>
      <c r="E671" s="127"/>
      <c r="F671" s="128"/>
      <c r="G671" s="128"/>
      <c r="H671" s="129"/>
      <c r="I671" s="130"/>
      <c r="J671" s="23"/>
      <c r="K671" s="23"/>
      <c r="L671" s="23"/>
      <c r="M671" s="131"/>
      <c r="N671" s="131"/>
      <c r="O671" s="131"/>
    </row>
    <row r="672" spans="3:15" x14ac:dyDescent="0.3">
      <c r="C672" s="18"/>
      <c r="D672" s="33"/>
      <c r="E672" s="127"/>
      <c r="F672" s="128"/>
      <c r="G672" s="128"/>
      <c r="H672" s="129"/>
      <c r="I672" s="130"/>
      <c r="J672" s="23"/>
      <c r="K672" s="23"/>
      <c r="L672" s="23"/>
      <c r="M672" s="131"/>
      <c r="N672" s="131"/>
      <c r="O672" s="131"/>
    </row>
    <row r="673" spans="3:15" x14ac:dyDescent="0.3">
      <c r="C673" s="18"/>
      <c r="D673" s="33"/>
      <c r="E673" s="127"/>
      <c r="F673" s="128"/>
      <c r="G673" s="128"/>
      <c r="H673" s="129"/>
      <c r="I673" s="130"/>
      <c r="J673" s="23"/>
      <c r="K673" s="23"/>
      <c r="L673" s="23"/>
      <c r="M673" s="131"/>
      <c r="N673" s="131"/>
      <c r="O673" s="131"/>
    </row>
    <row r="674" spans="3:15" x14ac:dyDescent="0.3">
      <c r="C674" s="18"/>
      <c r="D674" s="33"/>
      <c r="E674" s="127"/>
      <c r="F674" s="128"/>
      <c r="G674" s="128"/>
      <c r="H674" s="129"/>
      <c r="I674" s="130"/>
      <c r="J674" s="23"/>
      <c r="K674" s="23"/>
      <c r="L674" s="23"/>
      <c r="M674" s="131"/>
      <c r="N674" s="131"/>
      <c r="O674" s="131"/>
    </row>
    <row r="675" spans="3:15" x14ac:dyDescent="0.3">
      <c r="C675" s="18"/>
      <c r="D675" s="33"/>
      <c r="E675" s="127"/>
      <c r="F675" s="128"/>
      <c r="G675" s="128"/>
      <c r="H675" s="129"/>
      <c r="I675" s="130"/>
      <c r="J675" s="23"/>
      <c r="K675" s="23"/>
      <c r="L675" s="23"/>
      <c r="M675" s="131"/>
      <c r="N675" s="131"/>
      <c r="O675" s="131"/>
    </row>
    <row r="676" spans="3:15" x14ac:dyDescent="0.3">
      <c r="C676" s="18"/>
      <c r="D676" s="33"/>
      <c r="E676" s="127"/>
      <c r="F676" s="128"/>
      <c r="G676" s="128"/>
      <c r="H676" s="129"/>
      <c r="I676" s="130"/>
      <c r="J676" s="23"/>
      <c r="K676" s="23"/>
      <c r="L676" s="23"/>
      <c r="M676" s="131"/>
      <c r="N676" s="131"/>
      <c r="O676" s="131"/>
    </row>
    <row r="677" spans="3:15" x14ac:dyDescent="0.3">
      <c r="C677" s="18"/>
      <c r="D677" s="33"/>
      <c r="E677" s="127"/>
      <c r="F677" s="128"/>
      <c r="G677" s="128"/>
      <c r="H677" s="129"/>
      <c r="I677" s="130"/>
      <c r="J677" s="23"/>
      <c r="K677" s="23"/>
      <c r="L677" s="23"/>
      <c r="M677" s="131"/>
      <c r="N677" s="131"/>
      <c r="O677" s="131"/>
    </row>
    <row r="678" spans="3:15" x14ac:dyDescent="0.3">
      <c r="C678" s="18"/>
      <c r="D678" s="33"/>
      <c r="E678" s="127"/>
      <c r="F678" s="128"/>
      <c r="G678" s="128"/>
      <c r="H678" s="129"/>
      <c r="I678" s="130"/>
      <c r="J678" s="23"/>
      <c r="K678" s="23"/>
      <c r="L678" s="23"/>
      <c r="M678" s="131"/>
      <c r="N678" s="131"/>
      <c r="O678" s="131"/>
    </row>
    <row r="679" spans="3:15" x14ac:dyDescent="0.3">
      <c r="C679" s="18"/>
      <c r="D679" s="33"/>
      <c r="E679" s="127"/>
      <c r="F679" s="128"/>
      <c r="G679" s="128"/>
      <c r="H679" s="129"/>
      <c r="I679" s="130"/>
      <c r="J679" s="23"/>
      <c r="K679" s="23"/>
      <c r="L679" s="23"/>
      <c r="M679" s="131"/>
      <c r="N679" s="131"/>
      <c r="O679" s="131"/>
    </row>
    <row r="680" spans="3:15" x14ac:dyDescent="0.3">
      <c r="C680" s="18"/>
      <c r="D680" s="33"/>
      <c r="E680" s="127"/>
      <c r="F680" s="128"/>
      <c r="G680" s="128"/>
      <c r="H680" s="129"/>
      <c r="I680" s="130"/>
      <c r="J680" s="23"/>
      <c r="K680" s="23"/>
      <c r="L680" s="23"/>
      <c r="M680" s="131"/>
      <c r="N680" s="131"/>
      <c r="O680" s="131"/>
    </row>
    <row r="681" spans="3:15" x14ac:dyDescent="0.3">
      <c r="C681" s="18"/>
      <c r="D681" s="33"/>
      <c r="E681" s="127"/>
      <c r="F681" s="128"/>
      <c r="G681" s="128"/>
      <c r="H681" s="129"/>
      <c r="I681" s="130"/>
      <c r="J681" s="23"/>
      <c r="K681" s="23"/>
      <c r="L681" s="23"/>
      <c r="M681" s="131"/>
      <c r="N681" s="131"/>
      <c r="O681" s="131"/>
    </row>
    <row r="682" spans="3:15" x14ac:dyDescent="0.3">
      <c r="C682" s="18"/>
      <c r="D682" s="33"/>
      <c r="E682" s="127"/>
      <c r="F682" s="128"/>
      <c r="G682" s="128"/>
      <c r="H682" s="129"/>
      <c r="I682" s="130"/>
      <c r="J682" s="23"/>
      <c r="K682" s="23"/>
      <c r="L682" s="23"/>
      <c r="M682" s="131"/>
      <c r="N682" s="131"/>
      <c r="O682" s="131"/>
    </row>
    <row r="683" spans="3:15" x14ac:dyDescent="0.3">
      <c r="C683" s="18"/>
      <c r="D683" s="33"/>
      <c r="E683" s="127"/>
      <c r="F683" s="128"/>
      <c r="G683" s="128"/>
      <c r="H683" s="129"/>
      <c r="I683" s="130"/>
      <c r="J683" s="23"/>
      <c r="K683" s="23"/>
      <c r="L683" s="23"/>
      <c r="M683" s="131"/>
      <c r="N683" s="131"/>
      <c r="O683" s="131"/>
    </row>
    <row r="684" spans="3:15" x14ac:dyDescent="0.3">
      <c r="C684" s="18"/>
      <c r="D684" s="33"/>
      <c r="E684" s="127"/>
      <c r="F684" s="128"/>
      <c r="G684" s="128"/>
      <c r="H684" s="129"/>
      <c r="I684" s="130"/>
      <c r="J684" s="23"/>
      <c r="K684" s="23"/>
      <c r="L684" s="23"/>
      <c r="M684" s="131"/>
      <c r="N684" s="131"/>
      <c r="O684" s="131"/>
    </row>
    <row r="685" spans="3:15" x14ac:dyDescent="0.3">
      <c r="C685" s="18"/>
      <c r="D685" s="33"/>
      <c r="E685" s="127"/>
      <c r="F685" s="128"/>
      <c r="G685" s="128"/>
      <c r="H685" s="129"/>
      <c r="I685" s="130"/>
      <c r="J685" s="23"/>
      <c r="K685" s="23"/>
      <c r="L685" s="23"/>
      <c r="M685" s="131"/>
      <c r="N685" s="131"/>
      <c r="O685" s="131"/>
    </row>
    <row r="686" spans="3:15" x14ac:dyDescent="0.3">
      <c r="C686" s="18"/>
      <c r="D686" s="33"/>
      <c r="E686" s="127"/>
      <c r="F686" s="128"/>
      <c r="G686" s="128"/>
      <c r="H686" s="129"/>
      <c r="I686" s="130"/>
      <c r="J686" s="23"/>
      <c r="K686" s="23"/>
      <c r="L686" s="23"/>
      <c r="M686" s="131"/>
      <c r="N686" s="131"/>
      <c r="O686" s="131"/>
    </row>
    <row r="687" spans="3:15" x14ac:dyDescent="0.3">
      <c r="C687" s="18"/>
      <c r="D687" s="33"/>
      <c r="E687" s="127"/>
      <c r="F687" s="128"/>
      <c r="G687" s="128"/>
      <c r="H687" s="129"/>
      <c r="I687" s="130"/>
      <c r="J687" s="23"/>
      <c r="K687" s="23"/>
      <c r="L687" s="23"/>
      <c r="M687" s="131"/>
      <c r="N687" s="131"/>
      <c r="O687" s="131"/>
    </row>
    <row r="688" spans="3:15" x14ac:dyDescent="0.3">
      <c r="C688" s="18"/>
      <c r="D688" s="33"/>
      <c r="E688" s="127"/>
      <c r="F688" s="128"/>
      <c r="G688" s="128"/>
      <c r="H688" s="129"/>
      <c r="I688" s="130"/>
      <c r="J688" s="23"/>
      <c r="K688" s="23"/>
      <c r="L688" s="23"/>
      <c r="M688" s="131"/>
      <c r="N688" s="131"/>
      <c r="O688" s="131"/>
    </row>
    <row r="689" spans="3:15" x14ac:dyDescent="0.3">
      <c r="C689" s="18"/>
      <c r="D689" s="33"/>
      <c r="E689" s="127"/>
      <c r="F689" s="128"/>
      <c r="G689" s="128"/>
      <c r="H689" s="129"/>
      <c r="I689" s="130"/>
      <c r="J689" s="23"/>
      <c r="K689" s="23"/>
      <c r="L689" s="23"/>
      <c r="M689" s="131"/>
      <c r="N689" s="131"/>
      <c r="O689" s="131"/>
    </row>
    <row r="690" spans="3:15" x14ac:dyDescent="0.3">
      <c r="C690" s="18"/>
      <c r="D690" s="33"/>
      <c r="E690" s="127"/>
      <c r="F690" s="128"/>
      <c r="G690" s="128"/>
      <c r="H690" s="129"/>
      <c r="I690" s="130"/>
      <c r="J690" s="23"/>
      <c r="K690" s="23"/>
      <c r="L690" s="23"/>
      <c r="M690" s="131"/>
      <c r="N690" s="131"/>
      <c r="O690" s="131"/>
    </row>
    <row r="691" spans="3:15" x14ac:dyDescent="0.3">
      <c r="C691" s="18"/>
      <c r="D691" s="33"/>
      <c r="E691" s="127"/>
      <c r="F691" s="128"/>
      <c r="G691" s="128"/>
      <c r="H691" s="129"/>
      <c r="I691" s="130"/>
      <c r="J691" s="23"/>
      <c r="K691" s="23"/>
      <c r="L691" s="23"/>
      <c r="M691" s="131"/>
      <c r="N691" s="131"/>
      <c r="O691" s="131"/>
    </row>
    <row r="692" spans="3:15" x14ac:dyDescent="0.3">
      <c r="C692" s="18"/>
      <c r="D692" s="33"/>
      <c r="E692" s="127"/>
      <c r="F692" s="128"/>
      <c r="G692" s="128"/>
      <c r="H692" s="129"/>
      <c r="I692" s="130"/>
      <c r="J692" s="23"/>
      <c r="K692" s="23"/>
      <c r="L692" s="23"/>
      <c r="M692" s="131"/>
      <c r="N692" s="131"/>
      <c r="O692" s="131"/>
    </row>
    <row r="693" spans="3:15" x14ac:dyDescent="0.3">
      <c r="C693" s="18"/>
      <c r="D693" s="33"/>
      <c r="E693" s="127"/>
      <c r="F693" s="128"/>
      <c r="G693" s="128"/>
      <c r="H693" s="129"/>
      <c r="I693" s="130"/>
      <c r="J693" s="23"/>
      <c r="K693" s="23"/>
      <c r="L693" s="23"/>
      <c r="M693" s="131"/>
      <c r="N693" s="131"/>
      <c r="O693" s="131"/>
    </row>
    <row r="694" spans="3:15" x14ac:dyDescent="0.3">
      <c r="C694" s="18"/>
      <c r="D694" s="33"/>
      <c r="E694" s="127"/>
      <c r="F694" s="128"/>
      <c r="G694" s="128"/>
      <c r="H694" s="129"/>
      <c r="I694" s="130"/>
      <c r="J694" s="23"/>
      <c r="K694" s="23"/>
      <c r="L694" s="23"/>
      <c r="M694" s="131"/>
      <c r="N694" s="131"/>
      <c r="O694" s="131"/>
    </row>
    <row r="695" spans="3:15" x14ac:dyDescent="0.3">
      <c r="C695" s="18"/>
      <c r="D695" s="33"/>
      <c r="E695" s="127"/>
      <c r="F695" s="128"/>
      <c r="G695" s="128"/>
      <c r="H695" s="129"/>
      <c r="I695" s="130"/>
      <c r="J695" s="23"/>
      <c r="K695" s="23"/>
      <c r="L695" s="23"/>
      <c r="M695" s="131"/>
      <c r="N695" s="131"/>
      <c r="O695" s="131"/>
    </row>
    <row r="696" spans="3:15" x14ac:dyDescent="0.3">
      <c r="C696" s="18"/>
      <c r="D696" s="33"/>
      <c r="E696" s="127"/>
      <c r="F696" s="128"/>
      <c r="G696" s="128"/>
      <c r="H696" s="129"/>
      <c r="I696" s="130"/>
      <c r="J696" s="23"/>
      <c r="K696" s="23"/>
      <c r="L696" s="23"/>
      <c r="M696" s="131"/>
      <c r="N696" s="131"/>
      <c r="O696" s="131"/>
    </row>
    <row r="697" spans="3:15" x14ac:dyDescent="0.3">
      <c r="C697" s="18"/>
      <c r="D697" s="33"/>
      <c r="E697" s="127"/>
      <c r="F697" s="128"/>
      <c r="G697" s="128"/>
      <c r="H697" s="129"/>
      <c r="I697" s="130"/>
      <c r="J697" s="23"/>
      <c r="K697" s="23"/>
      <c r="L697" s="23"/>
      <c r="M697" s="131"/>
      <c r="N697" s="131"/>
      <c r="O697" s="131"/>
    </row>
    <row r="698" spans="3:15" x14ac:dyDescent="0.3">
      <c r="C698" s="18"/>
      <c r="D698" s="33"/>
      <c r="E698" s="127"/>
      <c r="F698" s="128"/>
      <c r="G698" s="128"/>
      <c r="H698" s="129"/>
      <c r="I698" s="130"/>
      <c r="J698" s="23"/>
      <c r="K698" s="23"/>
      <c r="L698" s="23"/>
      <c r="M698" s="131"/>
      <c r="N698" s="131"/>
      <c r="O698" s="131"/>
    </row>
    <row r="699" spans="3:15" x14ac:dyDescent="0.3">
      <c r="C699" s="18"/>
      <c r="D699" s="33"/>
      <c r="E699" s="127"/>
      <c r="F699" s="128"/>
      <c r="G699" s="128"/>
      <c r="H699" s="129"/>
      <c r="I699" s="130"/>
      <c r="J699" s="23"/>
      <c r="K699" s="23"/>
      <c r="L699" s="23"/>
      <c r="M699" s="131"/>
      <c r="N699" s="131"/>
      <c r="O699" s="131"/>
    </row>
    <row r="700" spans="3:15" x14ac:dyDescent="0.3">
      <c r="C700" s="18"/>
      <c r="D700" s="33"/>
      <c r="E700" s="127"/>
      <c r="F700" s="128"/>
      <c r="G700" s="128"/>
      <c r="H700" s="129"/>
      <c r="I700" s="130"/>
      <c r="J700" s="23"/>
      <c r="K700" s="23"/>
      <c r="L700" s="23"/>
      <c r="M700" s="131"/>
      <c r="N700" s="131"/>
      <c r="O700" s="131"/>
    </row>
    <row r="701" spans="3:15" x14ac:dyDescent="0.3">
      <c r="C701" s="18"/>
      <c r="D701" s="33"/>
      <c r="E701" s="127"/>
      <c r="F701" s="128"/>
      <c r="G701" s="128"/>
      <c r="H701" s="129"/>
      <c r="I701" s="130"/>
      <c r="J701" s="23"/>
      <c r="K701" s="23"/>
      <c r="L701" s="23"/>
      <c r="M701" s="131"/>
      <c r="N701" s="131"/>
      <c r="O701" s="131"/>
    </row>
    <row r="702" spans="3:15" x14ac:dyDescent="0.3">
      <c r="C702" s="18"/>
      <c r="D702" s="33"/>
      <c r="E702" s="127"/>
      <c r="F702" s="128"/>
      <c r="G702" s="128"/>
      <c r="H702" s="129"/>
      <c r="I702" s="130"/>
      <c r="J702" s="23"/>
      <c r="K702" s="23"/>
      <c r="L702" s="23"/>
      <c r="M702" s="131"/>
      <c r="N702" s="131"/>
      <c r="O702" s="131"/>
    </row>
    <row r="703" spans="3:15" x14ac:dyDescent="0.3">
      <c r="C703" s="18"/>
      <c r="D703" s="33"/>
      <c r="E703" s="127"/>
      <c r="F703" s="128"/>
      <c r="G703" s="128"/>
      <c r="H703" s="129"/>
      <c r="I703" s="130"/>
      <c r="J703" s="23"/>
      <c r="K703" s="23"/>
      <c r="L703" s="23"/>
      <c r="M703" s="131"/>
      <c r="N703" s="131"/>
      <c r="O703" s="131"/>
    </row>
    <row r="704" spans="3:15" x14ac:dyDescent="0.3">
      <c r="C704" s="18"/>
      <c r="D704" s="33"/>
      <c r="E704" s="127"/>
      <c r="F704" s="128"/>
      <c r="G704" s="128"/>
      <c r="H704" s="129"/>
      <c r="I704" s="130"/>
      <c r="J704" s="23"/>
      <c r="K704" s="23"/>
      <c r="L704" s="23"/>
      <c r="M704" s="131"/>
      <c r="N704" s="131"/>
      <c r="O704" s="131"/>
    </row>
    <row r="705" spans="3:15" x14ac:dyDescent="0.3">
      <c r="C705" s="18"/>
      <c r="D705" s="33"/>
      <c r="E705" s="127"/>
      <c r="F705" s="128"/>
      <c r="G705" s="128"/>
      <c r="H705" s="129"/>
      <c r="I705" s="130"/>
      <c r="J705" s="23"/>
      <c r="K705" s="23"/>
      <c r="L705" s="23"/>
      <c r="M705" s="131"/>
      <c r="N705" s="131"/>
      <c r="O705" s="131"/>
    </row>
    <row r="706" spans="3:15" x14ac:dyDescent="0.3">
      <c r="C706" s="18"/>
      <c r="D706" s="33"/>
      <c r="E706" s="127"/>
      <c r="F706" s="128"/>
      <c r="G706" s="128"/>
      <c r="H706" s="129"/>
      <c r="I706" s="130"/>
      <c r="J706" s="23"/>
      <c r="K706" s="23"/>
      <c r="L706" s="23"/>
      <c r="M706" s="131"/>
      <c r="N706" s="131"/>
      <c r="O706" s="131"/>
    </row>
    <row r="707" spans="3:15" x14ac:dyDescent="0.3">
      <c r="C707" s="18"/>
      <c r="D707" s="33"/>
      <c r="E707" s="127"/>
      <c r="F707" s="128"/>
      <c r="G707" s="128"/>
      <c r="H707" s="129"/>
      <c r="I707" s="130"/>
      <c r="J707" s="23"/>
      <c r="K707" s="23"/>
      <c r="L707" s="23"/>
      <c r="M707" s="131"/>
      <c r="N707" s="131"/>
      <c r="O707" s="131"/>
    </row>
    <row r="708" spans="3:15" x14ac:dyDescent="0.3">
      <c r="C708" s="18"/>
      <c r="D708" s="33"/>
      <c r="E708" s="127"/>
      <c r="F708" s="128"/>
      <c r="G708" s="128"/>
      <c r="H708" s="129"/>
      <c r="I708" s="130"/>
      <c r="J708" s="23"/>
      <c r="K708" s="23"/>
      <c r="L708" s="23"/>
      <c r="M708" s="131"/>
      <c r="N708" s="131"/>
      <c r="O708" s="131"/>
    </row>
    <row r="709" spans="3:15" x14ac:dyDescent="0.3">
      <c r="C709" s="18"/>
      <c r="D709" s="33"/>
      <c r="E709" s="127"/>
      <c r="F709" s="128"/>
      <c r="G709" s="128"/>
      <c r="H709" s="129"/>
      <c r="I709" s="130"/>
      <c r="J709" s="23"/>
      <c r="K709" s="23"/>
      <c r="L709" s="23"/>
      <c r="M709" s="131"/>
      <c r="N709" s="131"/>
      <c r="O709" s="131"/>
    </row>
    <row r="710" spans="3:15" x14ac:dyDescent="0.3">
      <c r="C710" s="18"/>
      <c r="D710" s="33"/>
      <c r="E710" s="127"/>
      <c r="F710" s="128"/>
      <c r="G710" s="128"/>
      <c r="H710" s="129"/>
      <c r="I710" s="130"/>
      <c r="J710" s="23"/>
      <c r="K710" s="23"/>
      <c r="L710" s="23"/>
      <c r="M710" s="131"/>
      <c r="N710" s="131"/>
      <c r="O710" s="131"/>
    </row>
    <row r="711" spans="3:15" x14ac:dyDescent="0.3">
      <c r="C711" s="18"/>
      <c r="D711" s="33"/>
      <c r="E711" s="127"/>
      <c r="F711" s="128"/>
      <c r="G711" s="128"/>
      <c r="H711" s="129"/>
      <c r="I711" s="130"/>
      <c r="J711" s="23"/>
      <c r="K711" s="23"/>
      <c r="L711" s="23"/>
      <c r="M711" s="131"/>
      <c r="N711" s="131"/>
      <c r="O711" s="131"/>
    </row>
    <row r="712" spans="3:15" x14ac:dyDescent="0.3">
      <c r="C712" s="18"/>
      <c r="D712" s="33"/>
      <c r="E712" s="127"/>
      <c r="F712" s="128"/>
      <c r="G712" s="128"/>
      <c r="H712" s="129"/>
      <c r="I712" s="130"/>
      <c r="J712" s="23"/>
      <c r="K712" s="23"/>
      <c r="L712" s="23"/>
      <c r="M712" s="131"/>
      <c r="N712" s="131"/>
      <c r="O712" s="131"/>
    </row>
    <row r="713" spans="3:15" x14ac:dyDescent="0.3">
      <c r="C713" s="18"/>
      <c r="D713" s="33"/>
      <c r="E713" s="127"/>
      <c r="F713" s="128"/>
      <c r="G713" s="128"/>
      <c r="H713" s="129"/>
      <c r="I713" s="130"/>
      <c r="J713" s="23"/>
      <c r="K713" s="23"/>
      <c r="L713" s="23"/>
      <c r="M713" s="131"/>
      <c r="N713" s="131"/>
      <c r="O713" s="131"/>
    </row>
    <row r="714" spans="3:15" x14ac:dyDescent="0.3">
      <c r="C714" s="18"/>
      <c r="D714" s="33"/>
      <c r="E714" s="127"/>
      <c r="F714" s="128"/>
      <c r="G714" s="128"/>
      <c r="H714" s="129"/>
      <c r="I714" s="130"/>
      <c r="J714" s="23"/>
      <c r="K714" s="23"/>
      <c r="L714" s="23"/>
      <c r="M714" s="131"/>
      <c r="N714" s="131"/>
      <c r="O714" s="131"/>
    </row>
    <row r="715" spans="3:15" x14ac:dyDescent="0.3">
      <c r="C715" s="18"/>
      <c r="D715" s="33"/>
      <c r="E715" s="127"/>
      <c r="F715" s="128"/>
      <c r="G715" s="128"/>
      <c r="H715" s="129"/>
      <c r="I715" s="130"/>
      <c r="J715" s="23"/>
      <c r="K715" s="23"/>
      <c r="L715" s="23"/>
      <c r="M715" s="131"/>
      <c r="N715" s="131"/>
      <c r="O715" s="131"/>
    </row>
    <row r="716" spans="3:15" x14ac:dyDescent="0.3">
      <c r="C716" s="18"/>
      <c r="D716" s="33"/>
      <c r="E716" s="127"/>
      <c r="F716" s="128"/>
      <c r="G716" s="128"/>
      <c r="H716" s="129"/>
      <c r="I716" s="130"/>
      <c r="J716" s="23"/>
      <c r="K716" s="23"/>
      <c r="L716" s="23"/>
      <c r="M716" s="131"/>
      <c r="N716" s="131"/>
      <c r="O716" s="131"/>
    </row>
    <row r="717" spans="3:15" x14ac:dyDescent="0.3">
      <c r="C717" s="18"/>
      <c r="D717" s="33"/>
      <c r="E717" s="127"/>
      <c r="F717" s="128"/>
      <c r="G717" s="128"/>
      <c r="H717" s="129"/>
      <c r="I717" s="130"/>
      <c r="J717" s="23"/>
      <c r="K717" s="23"/>
      <c r="L717" s="23"/>
      <c r="M717" s="131"/>
      <c r="N717" s="131"/>
      <c r="O717" s="131"/>
    </row>
    <row r="718" spans="3:15" x14ac:dyDescent="0.3">
      <c r="C718" s="18"/>
      <c r="D718" s="33"/>
      <c r="E718" s="127"/>
      <c r="F718" s="128"/>
      <c r="G718" s="128"/>
      <c r="H718" s="129"/>
      <c r="I718" s="130"/>
      <c r="J718" s="23"/>
      <c r="K718" s="23"/>
      <c r="L718" s="23"/>
      <c r="M718" s="131"/>
      <c r="N718" s="131"/>
      <c r="O718" s="131"/>
    </row>
    <row r="719" spans="3:15" x14ac:dyDescent="0.3">
      <c r="C719" s="18"/>
      <c r="D719" s="33"/>
      <c r="E719" s="127"/>
      <c r="F719" s="128"/>
      <c r="G719" s="128"/>
      <c r="H719" s="129"/>
      <c r="I719" s="130"/>
      <c r="J719" s="23"/>
      <c r="K719" s="23"/>
      <c r="L719" s="23"/>
      <c r="M719" s="131"/>
      <c r="N719" s="131"/>
      <c r="O719" s="131"/>
    </row>
    <row r="720" spans="3:15" x14ac:dyDescent="0.3">
      <c r="C720" s="18"/>
      <c r="D720" s="33"/>
      <c r="E720" s="127"/>
      <c r="F720" s="128"/>
      <c r="G720" s="128"/>
      <c r="H720" s="129"/>
      <c r="I720" s="130"/>
      <c r="J720" s="23"/>
      <c r="K720" s="23"/>
      <c r="L720" s="23"/>
      <c r="M720" s="131"/>
      <c r="N720" s="131"/>
      <c r="O720" s="131"/>
    </row>
    <row r="721" spans="3:15" x14ac:dyDescent="0.3">
      <c r="C721" s="18"/>
      <c r="D721" s="33"/>
      <c r="E721" s="127"/>
      <c r="F721" s="128"/>
      <c r="G721" s="128"/>
      <c r="H721" s="129"/>
      <c r="I721" s="130"/>
      <c r="J721" s="23"/>
      <c r="K721" s="23"/>
      <c r="L721" s="23"/>
      <c r="M721" s="131"/>
      <c r="N721" s="131"/>
      <c r="O721" s="131"/>
    </row>
    <row r="722" spans="3:15" x14ac:dyDescent="0.3">
      <c r="C722" s="18"/>
      <c r="D722" s="33"/>
      <c r="E722" s="127"/>
      <c r="F722" s="128"/>
      <c r="G722" s="128"/>
      <c r="H722" s="129"/>
      <c r="I722" s="130"/>
      <c r="J722" s="23"/>
      <c r="K722" s="23"/>
      <c r="L722" s="23"/>
      <c r="M722" s="131"/>
      <c r="N722" s="131"/>
      <c r="O722" s="131"/>
    </row>
    <row r="723" spans="3:15" x14ac:dyDescent="0.3">
      <c r="C723" s="18"/>
      <c r="D723" s="33"/>
      <c r="E723" s="127"/>
      <c r="F723" s="128"/>
      <c r="G723" s="128"/>
      <c r="H723" s="129"/>
      <c r="I723" s="130"/>
      <c r="J723" s="23"/>
      <c r="K723" s="23"/>
      <c r="L723" s="23"/>
      <c r="M723" s="131"/>
      <c r="N723" s="131"/>
      <c r="O723" s="131"/>
    </row>
    <row r="724" spans="3:15" x14ac:dyDescent="0.3">
      <c r="C724" s="18"/>
      <c r="D724" s="33"/>
      <c r="E724" s="127"/>
      <c r="F724" s="128"/>
      <c r="G724" s="128"/>
      <c r="H724" s="129"/>
      <c r="I724" s="130"/>
      <c r="J724" s="23"/>
      <c r="K724" s="23"/>
      <c r="L724" s="23"/>
      <c r="M724" s="131"/>
      <c r="N724" s="131"/>
      <c r="O724" s="131"/>
    </row>
    <row r="725" spans="3:15" x14ac:dyDescent="0.3">
      <c r="C725" s="18"/>
      <c r="D725" s="33"/>
      <c r="E725" s="127"/>
      <c r="F725" s="128"/>
      <c r="G725" s="128"/>
      <c r="H725" s="129"/>
      <c r="I725" s="130"/>
      <c r="J725" s="23"/>
      <c r="K725" s="23"/>
      <c r="L725" s="23"/>
      <c r="M725" s="131"/>
      <c r="N725" s="131"/>
      <c r="O725" s="131"/>
    </row>
    <row r="726" spans="3:15" x14ac:dyDescent="0.3">
      <c r="C726" s="18"/>
      <c r="D726" s="33"/>
      <c r="E726" s="127"/>
      <c r="F726" s="128"/>
      <c r="G726" s="128"/>
      <c r="H726" s="129"/>
      <c r="I726" s="130"/>
      <c r="J726" s="23"/>
      <c r="K726" s="23"/>
      <c r="L726" s="23"/>
      <c r="M726" s="131"/>
      <c r="N726" s="131"/>
      <c r="O726" s="131"/>
    </row>
    <row r="727" spans="3:15" x14ac:dyDescent="0.3">
      <c r="C727" s="18"/>
      <c r="D727" s="33"/>
      <c r="E727" s="127"/>
      <c r="F727" s="128"/>
      <c r="G727" s="128"/>
      <c r="H727" s="129"/>
      <c r="I727" s="130"/>
      <c r="J727" s="23"/>
      <c r="K727" s="23"/>
      <c r="L727" s="23"/>
      <c r="M727" s="131"/>
      <c r="N727" s="131"/>
      <c r="O727" s="131"/>
    </row>
    <row r="728" spans="3:15" x14ac:dyDescent="0.3">
      <c r="C728" s="18"/>
      <c r="D728" s="33"/>
      <c r="E728" s="127"/>
      <c r="F728" s="128"/>
      <c r="G728" s="128"/>
      <c r="H728" s="129"/>
      <c r="I728" s="130"/>
      <c r="J728" s="23"/>
      <c r="K728" s="23"/>
      <c r="L728" s="23"/>
      <c r="M728" s="131"/>
      <c r="N728" s="131"/>
      <c r="O728" s="131"/>
    </row>
    <row r="729" spans="3:15" x14ac:dyDescent="0.3">
      <c r="C729" s="18"/>
      <c r="D729" s="33"/>
      <c r="E729" s="127"/>
      <c r="F729" s="128"/>
      <c r="G729" s="128"/>
      <c r="H729" s="129"/>
      <c r="I729" s="130"/>
      <c r="J729" s="23"/>
      <c r="K729" s="23"/>
      <c r="L729" s="23"/>
      <c r="M729" s="131"/>
      <c r="N729" s="131"/>
      <c r="O729" s="131"/>
    </row>
    <row r="730" spans="3:15" x14ac:dyDescent="0.3">
      <c r="C730" s="18"/>
      <c r="D730" s="33"/>
      <c r="E730" s="127"/>
      <c r="F730" s="128"/>
      <c r="G730" s="128"/>
      <c r="H730" s="129"/>
      <c r="I730" s="130"/>
      <c r="J730" s="23"/>
      <c r="K730" s="23"/>
      <c r="L730" s="23"/>
      <c r="M730" s="131"/>
      <c r="N730" s="131"/>
      <c r="O730" s="131"/>
    </row>
    <row r="731" spans="3:15" x14ac:dyDescent="0.3">
      <c r="C731" s="18"/>
      <c r="D731" s="33"/>
      <c r="E731" s="127"/>
      <c r="F731" s="128"/>
      <c r="G731" s="128"/>
      <c r="H731" s="129"/>
      <c r="I731" s="130"/>
      <c r="J731" s="23"/>
      <c r="K731" s="23"/>
      <c r="L731" s="23"/>
      <c r="M731" s="131"/>
      <c r="N731" s="131"/>
      <c r="O731" s="131"/>
    </row>
    <row r="732" spans="3:15" x14ac:dyDescent="0.3">
      <c r="C732" s="18"/>
      <c r="D732" s="33"/>
      <c r="E732" s="127"/>
      <c r="F732" s="128"/>
      <c r="G732" s="128"/>
      <c r="H732" s="129"/>
      <c r="I732" s="130"/>
      <c r="J732" s="23"/>
      <c r="K732" s="23"/>
      <c r="L732" s="23"/>
      <c r="M732" s="131"/>
      <c r="N732" s="131"/>
      <c r="O732" s="131"/>
    </row>
    <row r="733" spans="3:15" x14ac:dyDescent="0.3">
      <c r="C733" s="18"/>
      <c r="D733" s="33"/>
      <c r="E733" s="127"/>
      <c r="F733" s="128"/>
      <c r="G733" s="128"/>
      <c r="H733" s="129"/>
      <c r="I733" s="130"/>
      <c r="J733" s="23"/>
      <c r="K733" s="23"/>
      <c r="L733" s="23"/>
      <c r="M733" s="131"/>
      <c r="N733" s="131"/>
      <c r="O733" s="131"/>
    </row>
    <row r="734" spans="3:15" x14ac:dyDescent="0.3">
      <c r="C734" s="18"/>
      <c r="D734" s="33"/>
      <c r="E734" s="127"/>
      <c r="F734" s="128"/>
      <c r="G734" s="128"/>
      <c r="H734" s="129"/>
      <c r="I734" s="130"/>
      <c r="J734" s="23"/>
      <c r="K734" s="23"/>
      <c r="L734" s="23"/>
      <c r="M734" s="131"/>
      <c r="N734" s="131"/>
      <c r="O734" s="131"/>
    </row>
    <row r="735" spans="3:15" x14ac:dyDescent="0.3">
      <c r="C735" s="18"/>
      <c r="D735" s="33"/>
      <c r="E735" s="127"/>
      <c r="F735" s="128"/>
      <c r="G735" s="128"/>
      <c r="H735" s="129"/>
      <c r="I735" s="130"/>
      <c r="J735" s="23"/>
      <c r="K735" s="23"/>
      <c r="L735" s="23"/>
      <c r="M735" s="131"/>
      <c r="N735" s="131"/>
      <c r="O735" s="131"/>
    </row>
    <row r="736" spans="3:15" x14ac:dyDescent="0.3">
      <c r="C736" s="18"/>
      <c r="D736" s="33"/>
      <c r="E736" s="127"/>
      <c r="F736" s="128"/>
      <c r="G736" s="128"/>
      <c r="H736" s="129"/>
      <c r="I736" s="130"/>
      <c r="J736" s="23"/>
      <c r="K736" s="23"/>
      <c r="L736" s="23"/>
      <c r="M736" s="131"/>
      <c r="N736" s="131"/>
      <c r="O736" s="131"/>
    </row>
    <row r="737" spans="3:15" x14ac:dyDescent="0.3">
      <c r="C737" s="18"/>
      <c r="D737" s="33"/>
      <c r="E737" s="127"/>
      <c r="F737" s="128"/>
      <c r="G737" s="128"/>
      <c r="H737" s="129"/>
      <c r="I737" s="130"/>
      <c r="J737" s="23"/>
      <c r="K737" s="23"/>
      <c r="L737" s="23"/>
      <c r="M737" s="131"/>
      <c r="N737" s="131"/>
      <c r="O737" s="131"/>
    </row>
    <row r="738" spans="3:15" x14ac:dyDescent="0.3">
      <c r="C738" s="18"/>
      <c r="D738" s="33"/>
      <c r="E738" s="127"/>
      <c r="F738" s="128"/>
      <c r="G738" s="128"/>
      <c r="H738" s="129"/>
      <c r="I738" s="130"/>
      <c r="J738" s="23"/>
      <c r="K738" s="23"/>
      <c r="L738" s="23"/>
      <c r="M738" s="131"/>
      <c r="N738" s="131"/>
      <c r="O738" s="131"/>
    </row>
    <row r="739" spans="3:15" x14ac:dyDescent="0.3">
      <c r="C739" s="18"/>
      <c r="D739" s="33"/>
      <c r="E739" s="127"/>
      <c r="F739" s="128"/>
      <c r="G739" s="128"/>
      <c r="H739" s="129"/>
      <c r="I739" s="130"/>
      <c r="J739" s="23"/>
      <c r="K739" s="23"/>
      <c r="L739" s="23"/>
      <c r="M739" s="131"/>
      <c r="N739" s="131"/>
      <c r="O739" s="131"/>
    </row>
    <row r="740" spans="3:15" x14ac:dyDescent="0.3">
      <c r="C740" s="18"/>
      <c r="D740" s="33"/>
      <c r="E740" s="127"/>
      <c r="F740" s="128"/>
      <c r="G740" s="128"/>
      <c r="H740" s="129"/>
      <c r="I740" s="130"/>
      <c r="J740" s="23"/>
      <c r="K740" s="23"/>
      <c r="L740" s="23"/>
      <c r="M740" s="131"/>
      <c r="N740" s="131"/>
      <c r="O740" s="131"/>
    </row>
    <row r="741" spans="3:15" x14ac:dyDescent="0.3">
      <c r="C741" s="18"/>
      <c r="D741" s="33"/>
      <c r="E741" s="127"/>
      <c r="F741" s="128"/>
      <c r="G741" s="128"/>
      <c r="H741" s="129"/>
      <c r="I741" s="130"/>
      <c r="J741" s="23"/>
      <c r="K741" s="23"/>
      <c r="L741" s="23"/>
      <c r="M741" s="131"/>
      <c r="N741" s="131"/>
      <c r="O741" s="131"/>
    </row>
    <row r="742" spans="3:15" x14ac:dyDescent="0.3">
      <c r="C742" s="18"/>
      <c r="D742" s="33"/>
      <c r="E742" s="127"/>
      <c r="F742" s="128"/>
      <c r="G742" s="128"/>
      <c r="H742" s="129"/>
      <c r="I742" s="130"/>
      <c r="J742" s="23"/>
      <c r="K742" s="23"/>
      <c r="L742" s="23"/>
      <c r="M742" s="131"/>
      <c r="N742" s="131"/>
      <c r="O742" s="131"/>
    </row>
    <row r="743" spans="3:15" x14ac:dyDescent="0.3">
      <c r="C743" s="18"/>
      <c r="D743" s="33"/>
      <c r="E743" s="127"/>
      <c r="F743" s="128"/>
      <c r="G743" s="128"/>
      <c r="H743" s="129"/>
      <c r="I743" s="130"/>
      <c r="J743" s="23"/>
      <c r="K743" s="23"/>
      <c r="L743" s="23"/>
      <c r="M743" s="131"/>
      <c r="N743" s="131"/>
      <c r="O743" s="131"/>
    </row>
    <row r="744" spans="3:15" x14ac:dyDescent="0.3">
      <c r="C744" s="18"/>
      <c r="D744" s="33"/>
      <c r="E744" s="127"/>
      <c r="F744" s="128"/>
      <c r="G744" s="128"/>
      <c r="H744" s="129"/>
      <c r="I744" s="130"/>
      <c r="J744" s="23"/>
      <c r="K744" s="23"/>
      <c r="L744" s="23"/>
      <c r="M744" s="131"/>
      <c r="N744" s="131"/>
      <c r="O744" s="131"/>
    </row>
    <row r="745" spans="3:15" x14ac:dyDescent="0.3">
      <c r="C745" s="18"/>
      <c r="D745" s="33"/>
      <c r="E745" s="127"/>
      <c r="F745" s="128"/>
      <c r="G745" s="128"/>
      <c r="H745" s="129"/>
      <c r="I745" s="130"/>
      <c r="J745" s="23"/>
      <c r="K745" s="23"/>
      <c r="L745" s="23"/>
      <c r="M745" s="131"/>
      <c r="N745" s="131"/>
      <c r="O745" s="131"/>
    </row>
    <row r="746" spans="3:15" x14ac:dyDescent="0.3">
      <c r="C746" s="18"/>
      <c r="D746" s="33"/>
      <c r="E746" s="127"/>
      <c r="F746" s="128"/>
      <c r="G746" s="128"/>
      <c r="H746" s="129"/>
      <c r="I746" s="130"/>
      <c r="J746" s="23"/>
      <c r="K746" s="23"/>
      <c r="L746" s="23"/>
      <c r="M746" s="131"/>
      <c r="N746" s="131"/>
      <c r="O746" s="131"/>
    </row>
    <row r="747" spans="3:15" x14ac:dyDescent="0.3">
      <c r="C747" s="18"/>
      <c r="D747" s="33"/>
      <c r="E747" s="127"/>
      <c r="F747" s="128"/>
      <c r="G747" s="128"/>
      <c r="H747" s="129"/>
      <c r="I747" s="130"/>
      <c r="J747" s="23"/>
      <c r="K747" s="23"/>
      <c r="L747" s="23"/>
      <c r="M747" s="131"/>
      <c r="N747" s="131"/>
      <c r="O747" s="131"/>
    </row>
    <row r="748" spans="3:15" x14ac:dyDescent="0.3">
      <c r="C748" s="18"/>
      <c r="D748" s="33"/>
      <c r="E748" s="127"/>
      <c r="F748" s="128"/>
      <c r="G748" s="128"/>
      <c r="H748" s="129"/>
      <c r="I748" s="130"/>
      <c r="J748" s="23"/>
      <c r="K748" s="23"/>
      <c r="L748" s="23"/>
      <c r="M748" s="131"/>
      <c r="N748" s="131"/>
      <c r="O748" s="131"/>
    </row>
    <row r="749" spans="3:15" x14ac:dyDescent="0.3">
      <c r="C749" s="18"/>
      <c r="D749" s="33"/>
      <c r="E749" s="127"/>
      <c r="F749" s="128"/>
      <c r="G749" s="128"/>
      <c r="H749" s="129"/>
      <c r="I749" s="130"/>
      <c r="J749" s="23"/>
      <c r="K749" s="23"/>
      <c r="L749" s="23"/>
      <c r="M749" s="131"/>
      <c r="N749" s="131"/>
      <c r="O749" s="131"/>
    </row>
    <row r="750" spans="3:15" x14ac:dyDescent="0.3">
      <c r="C750" s="18"/>
      <c r="D750" s="33"/>
      <c r="E750" s="127"/>
      <c r="F750" s="128"/>
      <c r="G750" s="128"/>
      <c r="H750" s="129"/>
      <c r="I750" s="130"/>
      <c r="J750" s="23"/>
      <c r="K750" s="23"/>
      <c r="L750" s="23"/>
      <c r="M750" s="131"/>
      <c r="N750" s="131"/>
      <c r="O750" s="131"/>
    </row>
    <row r="751" spans="3:15" x14ac:dyDescent="0.3">
      <c r="C751" s="18"/>
      <c r="D751" s="33"/>
      <c r="E751" s="127"/>
      <c r="F751" s="128"/>
      <c r="G751" s="128"/>
      <c r="H751" s="129"/>
      <c r="I751" s="130"/>
      <c r="J751" s="23"/>
      <c r="K751" s="23"/>
      <c r="L751" s="23"/>
      <c r="M751" s="131"/>
      <c r="N751" s="131"/>
      <c r="O751" s="131"/>
    </row>
    <row r="752" spans="3:15" x14ac:dyDescent="0.3">
      <c r="C752" s="18"/>
      <c r="D752" s="33"/>
      <c r="E752" s="127"/>
      <c r="F752" s="128"/>
      <c r="G752" s="128"/>
      <c r="H752" s="129"/>
      <c r="I752" s="130"/>
      <c r="J752" s="23"/>
      <c r="K752" s="23"/>
      <c r="L752" s="23"/>
      <c r="M752" s="131"/>
      <c r="N752" s="131"/>
      <c r="O752" s="131"/>
    </row>
    <row r="753" spans="3:15" x14ac:dyDescent="0.3">
      <c r="C753" s="18"/>
      <c r="D753" s="33"/>
      <c r="E753" s="127"/>
      <c r="F753" s="128"/>
      <c r="G753" s="128"/>
      <c r="H753" s="129"/>
      <c r="I753" s="130"/>
      <c r="J753" s="23"/>
      <c r="K753" s="23"/>
      <c r="L753" s="23"/>
      <c r="M753" s="131"/>
      <c r="N753" s="131"/>
      <c r="O753" s="131"/>
    </row>
    <row r="754" spans="3:15" x14ac:dyDescent="0.3">
      <c r="C754" s="18"/>
      <c r="D754" s="33"/>
      <c r="E754" s="127"/>
      <c r="F754" s="128"/>
      <c r="G754" s="128"/>
      <c r="H754" s="129"/>
      <c r="I754" s="130"/>
      <c r="J754" s="23"/>
      <c r="K754" s="23"/>
      <c r="L754" s="23"/>
      <c r="M754" s="131"/>
      <c r="N754" s="131"/>
      <c r="O754" s="131"/>
    </row>
    <row r="755" spans="3:15" x14ac:dyDescent="0.3">
      <c r="C755" s="18"/>
      <c r="D755" s="33"/>
      <c r="E755" s="127"/>
      <c r="F755" s="128"/>
      <c r="G755" s="128"/>
      <c r="H755" s="129"/>
      <c r="I755" s="130"/>
      <c r="J755" s="23"/>
      <c r="K755" s="23"/>
      <c r="L755" s="23"/>
      <c r="M755" s="131"/>
      <c r="N755" s="131"/>
      <c r="O755" s="131"/>
    </row>
    <row r="756" spans="3:15" x14ac:dyDescent="0.3">
      <c r="C756" s="18"/>
      <c r="D756" s="33"/>
      <c r="E756" s="127"/>
      <c r="F756" s="128"/>
      <c r="G756" s="128"/>
      <c r="H756" s="129"/>
      <c r="I756" s="130"/>
      <c r="J756" s="23"/>
      <c r="K756" s="23"/>
      <c r="L756" s="23"/>
      <c r="M756" s="131"/>
      <c r="N756" s="131"/>
      <c r="O756" s="131"/>
    </row>
    <row r="757" spans="3:15" x14ac:dyDescent="0.3">
      <c r="C757" s="18"/>
      <c r="D757" s="33"/>
      <c r="E757" s="127"/>
      <c r="F757" s="128"/>
      <c r="G757" s="128"/>
      <c r="H757" s="129"/>
      <c r="I757" s="130"/>
      <c r="J757" s="23"/>
      <c r="K757" s="23"/>
      <c r="L757" s="23"/>
      <c r="M757" s="131"/>
      <c r="N757" s="131"/>
      <c r="O757" s="131"/>
    </row>
    <row r="758" spans="3:15" x14ac:dyDescent="0.3">
      <c r="C758" s="18"/>
      <c r="D758" s="33"/>
      <c r="E758" s="127"/>
      <c r="F758" s="128"/>
      <c r="G758" s="128"/>
      <c r="H758" s="129"/>
      <c r="I758" s="130"/>
      <c r="J758" s="23"/>
      <c r="K758" s="23"/>
      <c r="L758" s="23"/>
      <c r="M758" s="131"/>
      <c r="N758" s="131"/>
      <c r="O758" s="131"/>
    </row>
    <row r="759" spans="3:15" x14ac:dyDescent="0.3">
      <c r="C759" s="18"/>
      <c r="D759" s="33"/>
      <c r="E759" s="127"/>
      <c r="F759" s="128"/>
      <c r="G759" s="128"/>
      <c r="H759" s="129"/>
      <c r="I759" s="130"/>
      <c r="J759" s="23"/>
      <c r="K759" s="23"/>
      <c r="L759" s="23"/>
      <c r="M759" s="131"/>
      <c r="N759" s="131"/>
      <c r="O759" s="131"/>
    </row>
    <row r="760" spans="3:15" x14ac:dyDescent="0.3">
      <c r="C760" s="18"/>
      <c r="D760" s="33"/>
      <c r="E760" s="127"/>
      <c r="F760" s="128"/>
      <c r="G760" s="128"/>
      <c r="H760" s="129"/>
      <c r="I760" s="130"/>
      <c r="J760" s="23"/>
      <c r="K760" s="23"/>
      <c r="L760" s="23"/>
      <c r="M760" s="131"/>
      <c r="N760" s="131"/>
      <c r="O760" s="131"/>
    </row>
    <row r="761" spans="3:15" x14ac:dyDescent="0.3">
      <c r="C761" s="18"/>
      <c r="D761" s="33"/>
      <c r="E761" s="127"/>
      <c r="F761" s="128"/>
      <c r="G761" s="128"/>
      <c r="H761" s="129"/>
      <c r="I761" s="130"/>
      <c r="J761" s="23"/>
      <c r="K761" s="23"/>
      <c r="L761" s="23"/>
      <c r="M761" s="131"/>
      <c r="N761" s="131"/>
      <c r="O761" s="131"/>
    </row>
    <row r="762" spans="3:15" x14ac:dyDescent="0.3">
      <c r="C762" s="18"/>
      <c r="D762" s="33"/>
      <c r="E762" s="127"/>
      <c r="F762" s="128"/>
      <c r="G762" s="128"/>
      <c r="H762" s="129"/>
      <c r="I762" s="130"/>
      <c r="J762" s="23"/>
      <c r="K762" s="23"/>
      <c r="L762" s="23"/>
      <c r="M762" s="131"/>
      <c r="N762" s="131"/>
      <c r="O762" s="131"/>
    </row>
    <row r="763" spans="3:15" x14ac:dyDescent="0.3">
      <c r="C763" s="18"/>
      <c r="D763" s="33"/>
      <c r="E763" s="127"/>
      <c r="F763" s="128"/>
      <c r="G763" s="128"/>
      <c r="H763" s="129"/>
      <c r="I763" s="130"/>
      <c r="J763" s="23"/>
      <c r="K763" s="23"/>
      <c r="L763" s="23"/>
      <c r="M763" s="131"/>
      <c r="N763" s="131"/>
      <c r="O763" s="131"/>
    </row>
    <row r="764" spans="3:15" x14ac:dyDescent="0.3">
      <c r="C764" s="18"/>
      <c r="D764" s="33"/>
      <c r="E764" s="127"/>
      <c r="F764" s="128"/>
      <c r="G764" s="128"/>
      <c r="H764" s="129"/>
      <c r="I764" s="130"/>
      <c r="J764" s="23"/>
      <c r="K764" s="23"/>
      <c r="L764" s="23"/>
      <c r="M764" s="131"/>
      <c r="N764" s="131"/>
      <c r="O764" s="131"/>
    </row>
    <row r="765" spans="3:15" x14ac:dyDescent="0.3">
      <c r="C765" s="18"/>
      <c r="D765" s="33"/>
      <c r="E765" s="127"/>
      <c r="F765" s="128"/>
      <c r="G765" s="128"/>
      <c r="H765" s="129"/>
      <c r="I765" s="130"/>
      <c r="J765" s="23"/>
      <c r="K765" s="23"/>
      <c r="L765" s="23"/>
      <c r="M765" s="131"/>
      <c r="N765" s="131"/>
      <c r="O765" s="131"/>
    </row>
    <row r="766" spans="3:15" x14ac:dyDescent="0.3">
      <c r="C766" s="18"/>
      <c r="D766" s="33"/>
      <c r="E766" s="127"/>
      <c r="F766" s="128"/>
      <c r="G766" s="128"/>
      <c r="H766" s="129"/>
      <c r="I766" s="130"/>
      <c r="J766" s="23"/>
      <c r="K766" s="23"/>
      <c r="L766" s="23"/>
      <c r="M766" s="131"/>
      <c r="N766" s="131"/>
      <c r="O766" s="131"/>
    </row>
    <row r="767" spans="3:15" x14ac:dyDescent="0.3">
      <c r="C767" s="18"/>
      <c r="D767" s="33"/>
      <c r="E767" s="127"/>
      <c r="F767" s="128"/>
      <c r="G767" s="128"/>
      <c r="H767" s="129"/>
      <c r="I767" s="130"/>
      <c r="J767" s="23"/>
      <c r="K767" s="23"/>
      <c r="L767" s="23"/>
      <c r="M767" s="131"/>
      <c r="N767" s="131"/>
      <c r="O767" s="131"/>
    </row>
    <row r="768" spans="3:15" x14ac:dyDescent="0.3">
      <c r="C768" s="18"/>
      <c r="D768" s="33"/>
      <c r="E768" s="127"/>
      <c r="F768" s="128"/>
      <c r="G768" s="128"/>
      <c r="H768" s="129"/>
      <c r="I768" s="130"/>
      <c r="J768" s="23"/>
      <c r="K768" s="23"/>
      <c r="L768" s="23"/>
      <c r="M768" s="131"/>
      <c r="N768" s="131"/>
      <c r="O768" s="131"/>
    </row>
    <row r="769" spans="3:15" x14ac:dyDescent="0.3">
      <c r="C769" s="18"/>
      <c r="D769" s="33"/>
      <c r="E769" s="127"/>
      <c r="F769" s="128"/>
      <c r="G769" s="128"/>
      <c r="H769" s="129"/>
      <c r="I769" s="130"/>
      <c r="J769" s="23"/>
      <c r="K769" s="23"/>
      <c r="L769" s="23"/>
      <c r="M769" s="131"/>
      <c r="N769" s="131"/>
      <c r="O769" s="131"/>
    </row>
    <row r="770" spans="3:15" x14ac:dyDescent="0.3">
      <c r="C770" s="18"/>
      <c r="D770" s="33"/>
      <c r="E770" s="127"/>
      <c r="F770" s="128"/>
      <c r="G770" s="128"/>
      <c r="H770" s="129"/>
      <c r="I770" s="130"/>
      <c r="J770" s="23"/>
      <c r="K770" s="23"/>
      <c r="L770" s="23"/>
      <c r="M770" s="131"/>
      <c r="N770" s="131"/>
      <c r="O770" s="131"/>
    </row>
    <row r="771" spans="3:15" x14ac:dyDescent="0.3">
      <c r="C771" s="18"/>
      <c r="D771" s="33"/>
      <c r="E771" s="127"/>
      <c r="F771" s="128"/>
      <c r="G771" s="128"/>
      <c r="H771" s="129"/>
      <c r="I771" s="130"/>
      <c r="J771" s="23"/>
      <c r="K771" s="23"/>
      <c r="L771" s="23"/>
      <c r="M771" s="131"/>
      <c r="N771" s="131"/>
      <c r="O771" s="131"/>
    </row>
    <row r="772" spans="3:15" x14ac:dyDescent="0.3">
      <c r="C772" s="18"/>
      <c r="D772" s="33"/>
      <c r="E772" s="127"/>
      <c r="F772" s="128"/>
      <c r="G772" s="128"/>
      <c r="H772" s="129"/>
      <c r="I772" s="130"/>
      <c r="J772" s="23"/>
      <c r="K772" s="23"/>
      <c r="L772" s="23"/>
      <c r="M772" s="131"/>
      <c r="N772" s="131"/>
      <c r="O772" s="131"/>
    </row>
    <row r="773" spans="3:15" x14ac:dyDescent="0.3">
      <c r="C773" s="18"/>
      <c r="D773" s="33"/>
      <c r="E773" s="127"/>
      <c r="F773" s="128"/>
      <c r="G773" s="128"/>
      <c r="H773" s="129"/>
      <c r="I773" s="130"/>
      <c r="J773" s="23"/>
      <c r="K773" s="23"/>
      <c r="L773" s="23"/>
      <c r="M773" s="131"/>
      <c r="N773" s="131"/>
      <c r="O773" s="131"/>
    </row>
    <row r="774" spans="3:15" x14ac:dyDescent="0.3">
      <c r="C774" s="18"/>
      <c r="D774" s="33"/>
      <c r="E774" s="127"/>
      <c r="F774" s="128"/>
      <c r="G774" s="128"/>
      <c r="H774" s="129"/>
      <c r="I774" s="130"/>
      <c r="J774" s="23"/>
      <c r="K774" s="23"/>
      <c r="L774" s="23"/>
      <c r="M774" s="131"/>
      <c r="N774" s="131"/>
      <c r="O774" s="131"/>
    </row>
    <row r="775" spans="3:15" x14ac:dyDescent="0.3">
      <c r="C775" s="18"/>
      <c r="D775" s="33"/>
      <c r="E775" s="127"/>
      <c r="F775" s="128"/>
      <c r="G775" s="128"/>
      <c r="H775" s="129"/>
      <c r="I775" s="130"/>
      <c r="J775" s="23"/>
      <c r="K775" s="23"/>
      <c r="L775" s="23"/>
      <c r="M775" s="131"/>
      <c r="N775" s="131"/>
      <c r="O775" s="131"/>
    </row>
    <row r="776" spans="3:15" x14ac:dyDescent="0.3">
      <c r="C776" s="18"/>
      <c r="D776" s="33"/>
      <c r="E776" s="127"/>
      <c r="F776" s="128"/>
      <c r="G776" s="128"/>
      <c r="H776" s="129"/>
      <c r="I776" s="130"/>
      <c r="J776" s="23"/>
      <c r="K776" s="23"/>
      <c r="L776" s="23"/>
      <c r="M776" s="131"/>
      <c r="N776" s="131"/>
      <c r="O776" s="131"/>
    </row>
    <row r="777" spans="3:15" x14ac:dyDescent="0.3">
      <c r="C777" s="18"/>
      <c r="D777" s="33"/>
      <c r="E777" s="127"/>
      <c r="F777" s="128"/>
      <c r="G777" s="128"/>
      <c r="H777" s="129"/>
      <c r="I777" s="130"/>
      <c r="J777" s="23"/>
      <c r="K777" s="23"/>
      <c r="L777" s="23"/>
      <c r="M777" s="131"/>
      <c r="N777" s="131"/>
      <c r="O777" s="131"/>
    </row>
    <row r="778" spans="3:15" x14ac:dyDescent="0.3">
      <c r="C778" s="18"/>
      <c r="D778" s="33"/>
      <c r="E778" s="127"/>
      <c r="F778" s="128"/>
      <c r="G778" s="128"/>
      <c r="H778" s="129"/>
      <c r="I778" s="130"/>
      <c r="J778" s="23"/>
      <c r="K778" s="23"/>
      <c r="L778" s="23"/>
      <c r="M778" s="131"/>
      <c r="N778" s="131"/>
      <c r="O778" s="131"/>
    </row>
    <row r="779" spans="3:15" x14ac:dyDescent="0.3">
      <c r="C779" s="18"/>
      <c r="D779" s="33"/>
      <c r="E779" s="127"/>
      <c r="F779" s="128"/>
      <c r="G779" s="128"/>
      <c r="H779" s="129"/>
      <c r="I779" s="130"/>
      <c r="J779" s="23"/>
      <c r="K779" s="23"/>
      <c r="L779" s="23"/>
      <c r="M779" s="131"/>
      <c r="N779" s="131"/>
      <c r="O779" s="131"/>
    </row>
    <row r="780" spans="3:15" x14ac:dyDescent="0.3">
      <c r="C780" s="18"/>
      <c r="D780" s="33"/>
      <c r="E780" s="127"/>
      <c r="F780" s="128"/>
      <c r="G780" s="128"/>
      <c r="H780" s="129"/>
      <c r="I780" s="130"/>
      <c r="J780" s="23"/>
      <c r="K780" s="23"/>
      <c r="L780" s="23"/>
      <c r="M780" s="131"/>
      <c r="N780" s="131"/>
      <c r="O780" s="131"/>
    </row>
    <row r="781" spans="3:15" x14ac:dyDescent="0.3">
      <c r="C781" s="18"/>
      <c r="D781" s="33"/>
      <c r="E781" s="127"/>
      <c r="F781" s="128"/>
      <c r="G781" s="128"/>
      <c r="H781" s="129"/>
      <c r="I781" s="130"/>
      <c r="J781" s="23"/>
      <c r="K781" s="23"/>
      <c r="L781" s="23"/>
      <c r="M781" s="131"/>
      <c r="N781" s="131"/>
      <c r="O781" s="131"/>
    </row>
    <row r="782" spans="3:15" x14ac:dyDescent="0.3">
      <c r="C782" s="18"/>
      <c r="D782" s="33"/>
      <c r="E782" s="127"/>
      <c r="F782" s="128"/>
      <c r="G782" s="128"/>
      <c r="H782" s="129"/>
      <c r="I782" s="130"/>
      <c r="J782" s="23"/>
      <c r="K782" s="23"/>
      <c r="L782" s="23"/>
      <c r="M782" s="131"/>
      <c r="N782" s="131"/>
      <c r="O782" s="131"/>
    </row>
    <row r="783" spans="3:15" x14ac:dyDescent="0.3">
      <c r="C783" s="18"/>
      <c r="D783" s="33"/>
      <c r="E783" s="127"/>
      <c r="F783" s="128"/>
      <c r="G783" s="128"/>
      <c r="H783" s="129"/>
      <c r="I783" s="130"/>
      <c r="J783" s="23"/>
      <c r="K783" s="23"/>
      <c r="L783" s="23"/>
      <c r="M783" s="131"/>
      <c r="N783" s="131"/>
      <c r="O783" s="131"/>
    </row>
    <row r="784" spans="3:15" x14ac:dyDescent="0.3">
      <c r="C784" s="18"/>
      <c r="D784" s="33"/>
      <c r="E784" s="127"/>
      <c r="F784" s="128"/>
      <c r="G784" s="128"/>
      <c r="H784" s="129"/>
      <c r="I784" s="130"/>
      <c r="J784" s="23"/>
      <c r="K784" s="23"/>
      <c r="L784" s="23"/>
      <c r="M784" s="131"/>
      <c r="N784" s="131"/>
      <c r="O784" s="131"/>
    </row>
    <row r="785" spans="3:15" x14ac:dyDescent="0.3">
      <c r="C785" s="18"/>
      <c r="D785" s="33"/>
      <c r="E785" s="127"/>
      <c r="F785" s="128"/>
      <c r="G785" s="128"/>
      <c r="H785" s="129"/>
      <c r="I785" s="130"/>
      <c r="J785" s="23"/>
      <c r="K785" s="23"/>
      <c r="L785" s="23"/>
      <c r="M785" s="131"/>
      <c r="N785" s="131"/>
      <c r="O785" s="131"/>
    </row>
    <row r="786" spans="3:15" x14ac:dyDescent="0.3">
      <c r="C786" s="18"/>
      <c r="D786" s="33"/>
      <c r="E786" s="127"/>
      <c r="F786" s="128"/>
      <c r="G786" s="128"/>
      <c r="H786" s="129"/>
      <c r="I786" s="130"/>
      <c r="J786" s="23"/>
      <c r="K786" s="23"/>
      <c r="L786" s="23"/>
      <c r="M786" s="131"/>
      <c r="N786" s="131"/>
      <c r="O786" s="131"/>
    </row>
    <row r="787" spans="3:15" x14ac:dyDescent="0.3">
      <c r="C787" s="18"/>
      <c r="D787" s="33"/>
      <c r="E787" s="127"/>
      <c r="F787" s="128"/>
      <c r="G787" s="128"/>
      <c r="H787" s="129"/>
      <c r="I787" s="130"/>
      <c r="J787" s="23"/>
      <c r="K787" s="23"/>
      <c r="L787" s="23"/>
      <c r="M787" s="131"/>
      <c r="N787" s="131"/>
      <c r="O787" s="131"/>
    </row>
    <row r="788" spans="3:15" x14ac:dyDescent="0.3">
      <c r="C788" s="18"/>
      <c r="D788" s="33"/>
      <c r="E788" s="127"/>
      <c r="F788" s="128"/>
      <c r="G788" s="128"/>
      <c r="H788" s="129"/>
      <c r="I788" s="130"/>
      <c r="J788" s="23"/>
      <c r="K788" s="23"/>
      <c r="L788" s="23"/>
      <c r="M788" s="131"/>
      <c r="N788" s="131"/>
      <c r="O788" s="131"/>
    </row>
    <row r="789" spans="3:15" x14ac:dyDescent="0.3">
      <c r="C789" s="18"/>
      <c r="D789" s="33"/>
      <c r="E789" s="127"/>
      <c r="F789" s="128"/>
      <c r="G789" s="128"/>
      <c r="H789" s="129"/>
      <c r="I789" s="130"/>
      <c r="J789" s="23"/>
      <c r="K789" s="23"/>
      <c r="L789" s="23"/>
      <c r="M789" s="131"/>
      <c r="N789" s="131"/>
      <c r="O789" s="131"/>
    </row>
    <row r="790" spans="3:15" x14ac:dyDescent="0.3">
      <c r="C790" s="18"/>
      <c r="D790" s="33"/>
      <c r="E790" s="127"/>
      <c r="F790" s="128"/>
      <c r="G790" s="128"/>
      <c r="H790" s="129"/>
      <c r="I790" s="130"/>
      <c r="J790" s="23"/>
      <c r="K790" s="23"/>
      <c r="L790" s="23"/>
      <c r="M790" s="131"/>
      <c r="N790" s="131"/>
      <c r="O790" s="131"/>
    </row>
    <row r="791" spans="3:15" x14ac:dyDescent="0.3">
      <c r="C791" s="18"/>
      <c r="D791" s="33"/>
      <c r="E791" s="127"/>
      <c r="F791" s="128"/>
      <c r="G791" s="128"/>
      <c r="H791" s="129"/>
      <c r="I791" s="130"/>
      <c r="J791" s="23"/>
      <c r="K791" s="23"/>
      <c r="L791" s="23"/>
      <c r="M791" s="131"/>
      <c r="N791" s="131"/>
      <c r="O791" s="131"/>
    </row>
    <row r="792" spans="3:15" x14ac:dyDescent="0.3">
      <c r="C792" s="18"/>
      <c r="D792" s="33"/>
      <c r="E792" s="127"/>
      <c r="F792" s="128"/>
      <c r="G792" s="128"/>
      <c r="H792" s="129"/>
      <c r="I792" s="130"/>
      <c r="J792" s="23"/>
      <c r="K792" s="23"/>
      <c r="L792" s="23"/>
      <c r="M792" s="131"/>
      <c r="N792" s="131"/>
      <c r="O792" s="131"/>
    </row>
    <row r="793" spans="3:15" x14ac:dyDescent="0.3">
      <c r="C793" s="18"/>
      <c r="D793" s="33"/>
      <c r="E793" s="127"/>
      <c r="F793" s="128"/>
      <c r="G793" s="128"/>
      <c r="H793" s="129"/>
      <c r="I793" s="130"/>
      <c r="J793" s="23"/>
      <c r="K793" s="23"/>
      <c r="L793" s="23"/>
      <c r="M793" s="131"/>
      <c r="N793" s="131"/>
      <c r="O793" s="131"/>
    </row>
    <row r="794" spans="3:15" x14ac:dyDescent="0.3">
      <c r="C794" s="18"/>
      <c r="D794" s="33"/>
      <c r="E794" s="127"/>
      <c r="F794" s="128"/>
      <c r="G794" s="128"/>
      <c r="H794" s="129"/>
      <c r="I794" s="130"/>
      <c r="J794" s="23"/>
      <c r="K794" s="23"/>
      <c r="L794" s="23"/>
      <c r="M794" s="131"/>
      <c r="N794" s="131"/>
      <c r="O794" s="131"/>
    </row>
    <row r="795" spans="3:15" x14ac:dyDescent="0.3">
      <c r="C795" s="18"/>
      <c r="D795" s="33"/>
      <c r="E795" s="127"/>
      <c r="F795" s="128"/>
      <c r="G795" s="128"/>
      <c r="H795" s="129"/>
      <c r="I795" s="130"/>
      <c r="J795" s="23"/>
      <c r="K795" s="23"/>
      <c r="L795" s="23"/>
      <c r="M795" s="131"/>
      <c r="N795" s="131"/>
      <c r="O795" s="131"/>
    </row>
    <row r="796" spans="3:15" x14ac:dyDescent="0.3">
      <c r="C796" s="18"/>
      <c r="D796" s="33"/>
      <c r="E796" s="127"/>
      <c r="F796" s="128"/>
      <c r="G796" s="128"/>
      <c r="H796" s="129"/>
      <c r="I796" s="130"/>
      <c r="J796" s="23"/>
      <c r="K796" s="23"/>
      <c r="L796" s="23"/>
      <c r="M796" s="131"/>
      <c r="N796" s="131"/>
      <c r="O796" s="131"/>
    </row>
    <row r="797" spans="3:15" x14ac:dyDescent="0.3">
      <c r="C797" s="18"/>
      <c r="D797" s="33"/>
      <c r="E797" s="127"/>
      <c r="F797" s="128"/>
      <c r="G797" s="128"/>
      <c r="H797" s="129"/>
      <c r="I797" s="130"/>
      <c r="J797" s="23"/>
      <c r="K797" s="23"/>
      <c r="L797" s="23"/>
      <c r="M797" s="131"/>
      <c r="N797" s="131"/>
      <c r="O797" s="131"/>
    </row>
    <row r="798" spans="3:15" x14ac:dyDescent="0.3">
      <c r="C798" s="18"/>
      <c r="D798" s="33"/>
      <c r="E798" s="127"/>
      <c r="F798" s="128"/>
      <c r="G798" s="128"/>
      <c r="H798" s="129"/>
      <c r="I798" s="130"/>
      <c r="J798" s="23"/>
      <c r="K798" s="23"/>
      <c r="L798" s="23"/>
      <c r="M798" s="131"/>
      <c r="N798" s="131"/>
      <c r="O798" s="131"/>
    </row>
    <row r="799" spans="3:15" x14ac:dyDescent="0.3">
      <c r="C799" s="18"/>
      <c r="D799" s="33"/>
      <c r="E799" s="127"/>
      <c r="F799" s="128"/>
      <c r="G799" s="128"/>
      <c r="H799" s="129"/>
      <c r="I799" s="130"/>
      <c r="J799" s="23"/>
      <c r="K799" s="23"/>
      <c r="L799" s="23"/>
      <c r="M799" s="131"/>
      <c r="N799" s="131"/>
      <c r="O799" s="131"/>
    </row>
    <row r="800" spans="3:15" x14ac:dyDescent="0.3">
      <c r="C800" s="18"/>
      <c r="D800" s="33"/>
      <c r="E800" s="127"/>
      <c r="F800" s="128"/>
      <c r="G800" s="128"/>
      <c r="H800" s="129"/>
      <c r="I800" s="130"/>
      <c r="J800" s="23"/>
      <c r="K800" s="23"/>
      <c r="L800" s="23"/>
      <c r="M800" s="131"/>
      <c r="N800" s="131"/>
      <c r="O800" s="131"/>
    </row>
    <row r="801" spans="3:15" x14ac:dyDescent="0.3">
      <c r="C801" s="18"/>
      <c r="D801" s="33"/>
      <c r="E801" s="127"/>
      <c r="F801" s="128"/>
      <c r="G801" s="128"/>
      <c r="H801" s="129"/>
      <c r="I801" s="130"/>
      <c r="J801" s="23"/>
      <c r="K801" s="23"/>
      <c r="L801" s="23"/>
      <c r="M801" s="131"/>
      <c r="N801" s="131"/>
      <c r="O801" s="131"/>
    </row>
    <row r="802" spans="3:15" x14ac:dyDescent="0.3">
      <c r="C802" s="18"/>
      <c r="D802" s="33"/>
      <c r="E802" s="127"/>
      <c r="F802" s="128"/>
      <c r="G802" s="128"/>
      <c r="H802" s="129"/>
      <c r="I802" s="130"/>
      <c r="J802" s="23"/>
      <c r="K802" s="23"/>
      <c r="L802" s="23"/>
      <c r="M802" s="131"/>
      <c r="N802" s="131"/>
      <c r="O802" s="131"/>
    </row>
    <row r="803" spans="3:15" x14ac:dyDescent="0.3">
      <c r="C803" s="18"/>
      <c r="D803" s="33"/>
      <c r="E803" s="127"/>
      <c r="F803" s="128"/>
      <c r="G803" s="128"/>
      <c r="H803" s="129"/>
      <c r="I803" s="130"/>
      <c r="J803" s="23"/>
      <c r="K803" s="23"/>
      <c r="L803" s="23"/>
      <c r="M803" s="131"/>
      <c r="N803" s="131"/>
      <c r="O803" s="131"/>
    </row>
    <row r="804" spans="3:15" x14ac:dyDescent="0.3">
      <c r="C804" s="18"/>
      <c r="D804" s="33"/>
      <c r="E804" s="127"/>
      <c r="F804" s="128"/>
      <c r="G804" s="128"/>
      <c r="H804" s="129"/>
      <c r="I804" s="130"/>
      <c r="J804" s="23"/>
      <c r="K804" s="23"/>
      <c r="L804" s="23"/>
      <c r="M804" s="131"/>
      <c r="N804" s="131"/>
      <c r="O804" s="131"/>
    </row>
    <row r="805" spans="3:15" x14ac:dyDescent="0.3">
      <c r="C805" s="18"/>
      <c r="D805" s="33"/>
      <c r="E805" s="127"/>
      <c r="F805" s="128"/>
      <c r="G805" s="128"/>
      <c r="H805" s="129"/>
      <c r="I805" s="130"/>
      <c r="J805" s="23"/>
      <c r="K805" s="23"/>
      <c r="L805" s="23"/>
      <c r="M805" s="131"/>
      <c r="N805" s="131"/>
      <c r="O805" s="131"/>
    </row>
    <row r="806" spans="3:15" x14ac:dyDescent="0.3">
      <c r="C806" s="18"/>
      <c r="D806" s="33"/>
      <c r="E806" s="127"/>
      <c r="F806" s="128"/>
      <c r="G806" s="128"/>
      <c r="H806" s="129"/>
      <c r="I806" s="130"/>
      <c r="J806" s="23"/>
      <c r="K806" s="23"/>
      <c r="L806" s="23"/>
      <c r="M806" s="131"/>
      <c r="N806" s="131"/>
      <c r="O806" s="131"/>
    </row>
    <row r="807" spans="3:15" x14ac:dyDescent="0.3">
      <c r="C807" s="18"/>
      <c r="D807" s="33"/>
      <c r="E807" s="127"/>
      <c r="F807" s="128"/>
      <c r="G807" s="128"/>
      <c r="H807" s="129"/>
      <c r="I807" s="130"/>
      <c r="J807" s="23"/>
      <c r="K807" s="23"/>
      <c r="L807" s="23"/>
      <c r="M807" s="131"/>
      <c r="N807" s="131"/>
      <c r="O807" s="131"/>
    </row>
    <row r="808" spans="3:15" x14ac:dyDescent="0.3">
      <c r="C808" s="18"/>
      <c r="D808" s="33"/>
      <c r="E808" s="127"/>
      <c r="F808" s="128"/>
      <c r="G808" s="128"/>
      <c r="H808" s="129"/>
      <c r="I808" s="130"/>
      <c r="J808" s="23"/>
      <c r="K808" s="23"/>
      <c r="L808" s="23"/>
      <c r="M808" s="131"/>
      <c r="N808" s="131"/>
      <c r="O808" s="131"/>
    </row>
    <row r="809" spans="3:15" x14ac:dyDescent="0.3">
      <c r="C809" s="18"/>
      <c r="D809" s="33"/>
      <c r="E809" s="127"/>
      <c r="F809" s="128"/>
      <c r="G809" s="128"/>
      <c r="H809" s="129"/>
      <c r="I809" s="130"/>
      <c r="J809" s="23"/>
      <c r="K809" s="23"/>
      <c r="L809" s="23"/>
      <c r="M809" s="131"/>
      <c r="N809" s="131"/>
      <c r="O809" s="131"/>
    </row>
    <row r="810" spans="3:15" x14ac:dyDescent="0.3">
      <c r="C810" s="18"/>
      <c r="D810" s="33"/>
      <c r="E810" s="127"/>
      <c r="F810" s="128"/>
      <c r="G810" s="128"/>
      <c r="H810" s="129"/>
      <c r="I810" s="130"/>
      <c r="J810" s="23"/>
      <c r="K810" s="23"/>
      <c r="L810" s="23"/>
      <c r="M810" s="131"/>
      <c r="N810" s="131"/>
      <c r="O810" s="131"/>
    </row>
    <row r="811" spans="3:15" x14ac:dyDescent="0.3">
      <c r="C811" s="18"/>
      <c r="D811" s="33"/>
      <c r="E811" s="127"/>
      <c r="F811" s="128"/>
      <c r="G811" s="128"/>
      <c r="H811" s="129"/>
      <c r="I811" s="130"/>
      <c r="J811" s="23"/>
      <c r="K811" s="23"/>
      <c r="L811" s="23"/>
      <c r="M811" s="131"/>
      <c r="N811" s="131"/>
      <c r="O811" s="131"/>
    </row>
    <row r="812" spans="3:15" x14ac:dyDescent="0.3">
      <c r="C812" s="18"/>
      <c r="D812" s="33"/>
      <c r="E812" s="127"/>
      <c r="F812" s="128"/>
      <c r="G812" s="128"/>
      <c r="H812" s="129"/>
      <c r="I812" s="130"/>
      <c r="J812" s="23"/>
      <c r="K812" s="23"/>
      <c r="L812" s="23"/>
      <c r="M812" s="131"/>
      <c r="N812" s="131"/>
      <c r="O812" s="131"/>
    </row>
    <row r="813" spans="3:15" x14ac:dyDescent="0.3">
      <c r="C813" s="18"/>
      <c r="D813" s="33"/>
      <c r="E813" s="127"/>
      <c r="F813" s="128"/>
      <c r="G813" s="128"/>
      <c r="H813" s="129"/>
      <c r="I813" s="130"/>
      <c r="J813" s="23"/>
      <c r="K813" s="23"/>
      <c r="L813" s="23"/>
      <c r="M813" s="131"/>
      <c r="N813" s="131"/>
      <c r="O813" s="131"/>
    </row>
    <row r="814" spans="3:15" x14ac:dyDescent="0.3">
      <c r="C814" s="18"/>
      <c r="D814" s="33"/>
      <c r="E814" s="127"/>
      <c r="F814" s="128"/>
      <c r="G814" s="128"/>
      <c r="H814" s="129"/>
      <c r="I814" s="130"/>
      <c r="J814" s="23"/>
      <c r="K814" s="23"/>
      <c r="L814" s="23"/>
      <c r="M814" s="131"/>
      <c r="N814" s="131"/>
      <c r="O814" s="131"/>
    </row>
    <row r="815" spans="3:15" x14ac:dyDescent="0.3">
      <c r="C815" s="18"/>
      <c r="D815" s="33"/>
      <c r="E815" s="127"/>
      <c r="F815" s="128"/>
      <c r="G815" s="128"/>
      <c r="H815" s="129"/>
      <c r="I815" s="130"/>
      <c r="J815" s="23"/>
      <c r="K815" s="23"/>
      <c r="L815" s="23"/>
      <c r="M815" s="131"/>
      <c r="N815" s="131"/>
      <c r="O815" s="131"/>
    </row>
    <row r="816" spans="3:15" x14ac:dyDescent="0.3">
      <c r="C816" s="18"/>
      <c r="D816" s="33"/>
      <c r="E816" s="127"/>
      <c r="F816" s="128"/>
      <c r="G816" s="128"/>
      <c r="H816" s="129"/>
      <c r="I816" s="130"/>
      <c r="J816" s="23"/>
      <c r="K816" s="23"/>
      <c r="L816" s="23"/>
      <c r="M816" s="131"/>
      <c r="N816" s="131"/>
      <c r="O816" s="131"/>
    </row>
    <row r="817" spans="3:15" x14ac:dyDescent="0.3">
      <c r="C817" s="18"/>
      <c r="D817" s="33"/>
      <c r="E817" s="127"/>
      <c r="F817" s="128"/>
      <c r="G817" s="128"/>
      <c r="H817" s="129"/>
      <c r="I817" s="130"/>
      <c r="J817" s="23"/>
      <c r="K817" s="23"/>
      <c r="L817" s="23"/>
      <c r="M817" s="131"/>
      <c r="N817" s="131"/>
      <c r="O817" s="131"/>
    </row>
    <row r="818" spans="3:15" x14ac:dyDescent="0.3">
      <c r="C818" s="18"/>
      <c r="D818" s="33"/>
      <c r="E818" s="127"/>
      <c r="F818" s="128"/>
      <c r="G818" s="128"/>
      <c r="H818" s="129"/>
      <c r="I818" s="130"/>
      <c r="J818" s="23"/>
      <c r="K818" s="23"/>
      <c r="L818" s="23"/>
      <c r="M818" s="131"/>
      <c r="N818" s="131"/>
      <c r="O818" s="131"/>
    </row>
    <row r="819" spans="3:15" x14ac:dyDescent="0.3">
      <c r="C819" s="18"/>
      <c r="D819" s="33"/>
      <c r="E819" s="127"/>
      <c r="F819" s="128"/>
      <c r="G819" s="128"/>
      <c r="H819" s="129"/>
      <c r="I819" s="130"/>
      <c r="J819" s="23"/>
      <c r="K819" s="23"/>
      <c r="L819" s="23"/>
      <c r="M819" s="131"/>
      <c r="N819" s="131"/>
      <c r="O819" s="131"/>
    </row>
    <row r="820" spans="3:15" x14ac:dyDescent="0.3">
      <c r="C820" s="18"/>
      <c r="D820" s="33"/>
      <c r="E820" s="127"/>
      <c r="F820" s="128"/>
      <c r="G820" s="128"/>
      <c r="H820" s="129"/>
      <c r="I820" s="130"/>
      <c r="J820" s="23"/>
      <c r="K820" s="23"/>
      <c r="L820" s="23"/>
      <c r="M820" s="131"/>
      <c r="N820" s="131"/>
      <c r="O820" s="131"/>
    </row>
    <row r="821" spans="3:15" x14ac:dyDescent="0.3">
      <c r="C821" s="18"/>
      <c r="D821" s="33"/>
      <c r="E821" s="127"/>
      <c r="F821" s="128"/>
      <c r="G821" s="128"/>
      <c r="H821" s="129"/>
      <c r="I821" s="130"/>
      <c r="J821" s="23"/>
      <c r="K821" s="23"/>
      <c r="L821" s="23"/>
      <c r="M821" s="131"/>
      <c r="N821" s="131"/>
      <c r="O821" s="131"/>
    </row>
    <row r="822" spans="3:15" x14ac:dyDescent="0.3">
      <c r="C822" s="18"/>
      <c r="D822" s="33"/>
      <c r="E822" s="127"/>
      <c r="F822" s="128"/>
      <c r="G822" s="128"/>
      <c r="H822" s="129"/>
      <c r="I822" s="130"/>
      <c r="J822" s="23"/>
      <c r="K822" s="23"/>
      <c r="L822" s="23"/>
      <c r="M822" s="131"/>
      <c r="N822" s="131"/>
      <c r="O822" s="131"/>
    </row>
    <row r="823" spans="3:15" x14ac:dyDescent="0.3">
      <c r="C823" s="18"/>
      <c r="D823" s="33"/>
      <c r="E823" s="127"/>
      <c r="F823" s="128"/>
      <c r="G823" s="128"/>
      <c r="H823" s="129"/>
      <c r="I823" s="130"/>
      <c r="J823" s="23"/>
      <c r="K823" s="23"/>
      <c r="L823" s="23"/>
      <c r="M823" s="131"/>
      <c r="N823" s="131"/>
      <c r="O823" s="131"/>
    </row>
    <row r="824" spans="3:15" x14ac:dyDescent="0.3">
      <c r="C824" s="18"/>
      <c r="D824" s="33"/>
      <c r="E824" s="127"/>
      <c r="F824" s="128"/>
      <c r="G824" s="128"/>
      <c r="H824" s="129"/>
      <c r="I824" s="130"/>
      <c r="J824" s="23"/>
      <c r="K824" s="23"/>
      <c r="L824" s="23"/>
      <c r="M824" s="131"/>
      <c r="N824" s="131"/>
      <c r="O824" s="131"/>
    </row>
    <row r="825" spans="3:15" x14ac:dyDescent="0.3">
      <c r="C825" s="18"/>
      <c r="D825" s="33"/>
      <c r="E825" s="127"/>
      <c r="F825" s="128"/>
      <c r="G825" s="128"/>
      <c r="H825" s="129"/>
      <c r="I825" s="130"/>
      <c r="J825" s="23"/>
      <c r="K825" s="23"/>
      <c r="L825" s="23"/>
      <c r="M825" s="131"/>
      <c r="N825" s="131"/>
      <c r="O825" s="131"/>
    </row>
    <row r="826" spans="3:15" x14ac:dyDescent="0.3">
      <c r="C826" s="18"/>
      <c r="D826" s="33"/>
      <c r="E826" s="127"/>
      <c r="F826" s="128"/>
      <c r="G826" s="128"/>
      <c r="H826" s="129"/>
      <c r="I826" s="130"/>
      <c r="J826" s="23"/>
      <c r="K826" s="23"/>
      <c r="L826" s="23"/>
      <c r="M826" s="131"/>
      <c r="N826" s="131"/>
      <c r="O826" s="131"/>
    </row>
    <row r="827" spans="3:15" x14ac:dyDescent="0.3">
      <c r="C827" s="18"/>
      <c r="D827" s="33"/>
      <c r="E827" s="127"/>
      <c r="F827" s="128"/>
      <c r="G827" s="128"/>
      <c r="H827" s="129"/>
      <c r="I827" s="130"/>
      <c r="J827" s="23"/>
      <c r="K827" s="23"/>
      <c r="L827" s="23"/>
      <c r="M827" s="131"/>
      <c r="N827" s="131"/>
      <c r="O827" s="131"/>
    </row>
    <row r="828" spans="3:15" x14ac:dyDescent="0.3">
      <c r="C828" s="18"/>
      <c r="D828" s="33"/>
      <c r="E828" s="127"/>
      <c r="F828" s="128"/>
      <c r="G828" s="128"/>
      <c r="H828" s="129"/>
      <c r="I828" s="130"/>
      <c r="J828" s="23"/>
      <c r="K828" s="23"/>
      <c r="L828" s="23"/>
      <c r="M828" s="131"/>
      <c r="N828" s="131"/>
      <c r="O828" s="131"/>
    </row>
    <row r="829" spans="3:15" x14ac:dyDescent="0.3">
      <c r="C829" s="18"/>
      <c r="D829" s="33"/>
      <c r="E829" s="127"/>
      <c r="F829" s="128"/>
      <c r="G829" s="128"/>
      <c r="H829" s="129"/>
      <c r="I829" s="130"/>
      <c r="J829" s="23"/>
      <c r="K829" s="23"/>
      <c r="L829" s="23"/>
      <c r="M829" s="131"/>
      <c r="N829" s="131"/>
      <c r="O829" s="131"/>
    </row>
    <row r="830" spans="3:15" x14ac:dyDescent="0.3">
      <c r="C830" s="18"/>
      <c r="D830" s="33"/>
      <c r="E830" s="127"/>
      <c r="F830" s="128"/>
      <c r="G830" s="128"/>
      <c r="H830" s="129"/>
      <c r="I830" s="130"/>
      <c r="J830" s="23"/>
      <c r="K830" s="23"/>
      <c r="L830" s="23"/>
      <c r="M830" s="131"/>
      <c r="N830" s="131"/>
      <c r="O830" s="131"/>
    </row>
    <row r="831" spans="3:15" x14ac:dyDescent="0.3">
      <c r="C831" s="18"/>
      <c r="D831" s="33"/>
      <c r="E831" s="127"/>
      <c r="F831" s="128"/>
      <c r="G831" s="128"/>
      <c r="H831" s="129"/>
      <c r="I831" s="130"/>
      <c r="J831" s="23"/>
      <c r="K831" s="23"/>
      <c r="L831" s="23"/>
      <c r="M831" s="131"/>
      <c r="N831" s="131"/>
      <c r="O831" s="131"/>
    </row>
    <row r="832" spans="3:15" x14ac:dyDescent="0.3">
      <c r="C832" s="18"/>
      <c r="D832" s="33"/>
      <c r="E832" s="127"/>
      <c r="F832" s="128"/>
      <c r="G832" s="128"/>
      <c r="H832" s="129"/>
      <c r="I832" s="130"/>
      <c r="J832" s="23"/>
      <c r="K832" s="23"/>
      <c r="L832" s="23"/>
      <c r="M832" s="131"/>
      <c r="N832" s="131"/>
      <c r="O832" s="131"/>
    </row>
    <row r="833" spans="3:15" x14ac:dyDescent="0.3">
      <c r="C833" s="18"/>
      <c r="D833" s="33"/>
      <c r="E833" s="127"/>
      <c r="F833" s="128"/>
      <c r="G833" s="128"/>
      <c r="H833" s="129"/>
      <c r="I833" s="130"/>
      <c r="J833" s="23"/>
      <c r="K833" s="23"/>
      <c r="L833" s="23"/>
      <c r="M833" s="131"/>
      <c r="N833" s="131"/>
      <c r="O833" s="131"/>
    </row>
    <row r="834" spans="3:15" x14ac:dyDescent="0.3">
      <c r="C834" s="18"/>
      <c r="D834" s="33"/>
      <c r="E834" s="127"/>
      <c r="F834" s="128"/>
      <c r="G834" s="128"/>
      <c r="H834" s="129"/>
      <c r="I834" s="130"/>
      <c r="J834" s="23"/>
      <c r="K834" s="23"/>
      <c r="L834" s="23"/>
      <c r="M834" s="131"/>
      <c r="N834" s="131"/>
      <c r="O834" s="131"/>
    </row>
    <row r="835" spans="3:15" x14ac:dyDescent="0.3">
      <c r="C835" s="18"/>
      <c r="D835" s="33"/>
      <c r="E835" s="127"/>
      <c r="F835" s="128"/>
      <c r="G835" s="128"/>
      <c r="H835" s="129"/>
      <c r="I835" s="130"/>
      <c r="J835" s="23"/>
      <c r="K835" s="23"/>
      <c r="L835" s="23"/>
      <c r="M835" s="131"/>
      <c r="N835" s="131"/>
      <c r="O835" s="131"/>
    </row>
    <row r="836" spans="3:15" x14ac:dyDescent="0.3">
      <c r="C836" s="18"/>
      <c r="D836" s="33"/>
      <c r="E836" s="127"/>
      <c r="F836" s="128"/>
      <c r="G836" s="128"/>
      <c r="H836" s="129"/>
      <c r="I836" s="130"/>
      <c r="J836" s="23"/>
      <c r="K836" s="23"/>
      <c r="L836" s="23"/>
      <c r="M836" s="131"/>
      <c r="N836" s="131"/>
      <c r="O836" s="131"/>
    </row>
    <row r="837" spans="3:15" x14ac:dyDescent="0.3">
      <c r="C837" s="18"/>
      <c r="D837" s="33"/>
      <c r="E837" s="127"/>
      <c r="F837" s="128"/>
      <c r="G837" s="128"/>
      <c r="H837" s="129"/>
      <c r="I837" s="130"/>
      <c r="J837" s="23"/>
      <c r="K837" s="23"/>
      <c r="L837" s="23"/>
      <c r="M837" s="131"/>
      <c r="N837" s="131"/>
      <c r="O837" s="131"/>
    </row>
    <row r="838" spans="3:15" x14ac:dyDescent="0.3">
      <c r="C838" s="18"/>
      <c r="D838" s="33"/>
      <c r="E838" s="127"/>
      <c r="F838" s="128"/>
      <c r="G838" s="128"/>
      <c r="H838" s="129"/>
      <c r="I838" s="130"/>
      <c r="J838" s="23"/>
      <c r="K838" s="23"/>
      <c r="L838" s="23"/>
      <c r="M838" s="131"/>
      <c r="N838" s="131"/>
      <c r="O838" s="131"/>
    </row>
    <row r="839" spans="3:15" x14ac:dyDescent="0.3">
      <c r="C839" s="18"/>
      <c r="D839" s="33"/>
      <c r="E839" s="127"/>
      <c r="F839" s="128"/>
      <c r="G839" s="128"/>
      <c r="H839" s="129"/>
      <c r="I839" s="130"/>
      <c r="J839" s="23"/>
      <c r="K839" s="23"/>
      <c r="L839" s="23"/>
      <c r="M839" s="131"/>
      <c r="N839" s="131"/>
      <c r="O839" s="131"/>
    </row>
    <row r="840" spans="3:15" x14ac:dyDescent="0.3">
      <c r="C840" s="18"/>
      <c r="D840" s="33"/>
      <c r="E840" s="127"/>
      <c r="F840" s="128"/>
      <c r="G840" s="128"/>
      <c r="H840" s="129"/>
      <c r="I840" s="130"/>
      <c r="J840" s="23"/>
      <c r="K840" s="23"/>
      <c r="L840" s="23"/>
      <c r="M840" s="131"/>
      <c r="N840" s="131"/>
      <c r="O840" s="131"/>
    </row>
    <row r="841" spans="3:15" x14ac:dyDescent="0.3">
      <c r="C841" s="18"/>
      <c r="D841" s="33"/>
      <c r="E841" s="127"/>
      <c r="F841" s="128"/>
      <c r="G841" s="128"/>
      <c r="H841" s="129"/>
      <c r="I841" s="130"/>
      <c r="J841" s="23"/>
      <c r="K841" s="23"/>
      <c r="L841" s="23"/>
      <c r="M841" s="131"/>
      <c r="N841" s="131"/>
      <c r="O841" s="131"/>
    </row>
    <row r="842" spans="3:15" x14ac:dyDescent="0.3">
      <c r="C842" s="18"/>
      <c r="D842" s="33"/>
      <c r="E842" s="127"/>
      <c r="F842" s="128"/>
      <c r="G842" s="128"/>
      <c r="H842" s="129"/>
      <c r="I842" s="130"/>
      <c r="J842" s="23"/>
      <c r="K842" s="23"/>
      <c r="L842" s="23"/>
      <c r="M842" s="131"/>
      <c r="N842" s="131"/>
      <c r="O842" s="131"/>
    </row>
    <row r="843" spans="3:15" x14ac:dyDescent="0.3">
      <c r="C843" s="18"/>
      <c r="D843" s="33"/>
      <c r="E843" s="127"/>
      <c r="F843" s="128"/>
      <c r="G843" s="128"/>
      <c r="H843" s="129"/>
      <c r="I843" s="130"/>
      <c r="J843" s="23"/>
      <c r="K843" s="23"/>
      <c r="L843" s="23"/>
      <c r="M843" s="131"/>
      <c r="N843" s="131"/>
      <c r="O843" s="131"/>
    </row>
    <row r="844" spans="3:15" x14ac:dyDescent="0.3">
      <c r="C844" s="18"/>
      <c r="D844" s="33"/>
      <c r="E844" s="127"/>
      <c r="F844" s="128"/>
      <c r="G844" s="128"/>
      <c r="H844" s="129"/>
      <c r="I844" s="130"/>
      <c r="J844" s="23"/>
      <c r="K844" s="23"/>
      <c r="L844" s="23"/>
      <c r="M844" s="131"/>
      <c r="N844" s="131"/>
      <c r="O844" s="131"/>
    </row>
    <row r="845" spans="3:15" x14ac:dyDescent="0.3">
      <c r="C845" s="18"/>
      <c r="D845" s="33"/>
      <c r="E845" s="127"/>
      <c r="F845" s="128"/>
      <c r="G845" s="128"/>
      <c r="H845" s="129"/>
      <c r="I845" s="130"/>
      <c r="J845" s="23"/>
      <c r="K845" s="23"/>
      <c r="L845" s="23"/>
      <c r="M845" s="131"/>
      <c r="N845" s="131"/>
      <c r="O845" s="131"/>
    </row>
    <row r="846" spans="3:15" x14ac:dyDescent="0.3">
      <c r="C846" s="18"/>
      <c r="D846" s="33"/>
      <c r="E846" s="127"/>
      <c r="F846" s="128"/>
      <c r="G846" s="128"/>
      <c r="H846" s="129"/>
      <c r="I846" s="130"/>
      <c r="J846" s="23"/>
      <c r="K846" s="23"/>
      <c r="L846" s="23"/>
      <c r="M846" s="131"/>
      <c r="N846" s="131"/>
      <c r="O846" s="131"/>
    </row>
    <row r="847" spans="3:15" x14ac:dyDescent="0.3">
      <c r="C847" s="18"/>
      <c r="D847" s="33"/>
      <c r="E847" s="127"/>
      <c r="F847" s="128"/>
      <c r="G847" s="128"/>
      <c r="H847" s="129"/>
      <c r="I847" s="130"/>
      <c r="J847" s="23"/>
      <c r="K847" s="23"/>
      <c r="L847" s="23"/>
      <c r="M847" s="131"/>
      <c r="N847" s="131"/>
      <c r="O847" s="131"/>
    </row>
    <row r="848" spans="3:15" x14ac:dyDescent="0.3">
      <c r="C848" s="18"/>
      <c r="D848" s="33"/>
      <c r="E848" s="127"/>
      <c r="F848" s="128"/>
      <c r="G848" s="128"/>
      <c r="H848" s="129"/>
      <c r="I848" s="130"/>
      <c r="J848" s="23"/>
      <c r="K848" s="23"/>
      <c r="L848" s="23"/>
      <c r="M848" s="131"/>
      <c r="N848" s="131"/>
      <c r="O848" s="131"/>
    </row>
    <row r="849" spans="3:15" x14ac:dyDescent="0.3">
      <c r="C849" s="18"/>
      <c r="D849" s="33"/>
      <c r="E849" s="127"/>
      <c r="F849" s="128"/>
      <c r="G849" s="128"/>
      <c r="H849" s="129"/>
      <c r="I849" s="130"/>
      <c r="J849" s="23"/>
      <c r="K849" s="23"/>
      <c r="L849" s="23"/>
      <c r="M849" s="131"/>
      <c r="N849" s="131"/>
      <c r="O849" s="131"/>
    </row>
    <row r="850" spans="3:15" x14ac:dyDescent="0.3">
      <c r="C850" s="18"/>
      <c r="D850" s="33"/>
      <c r="E850" s="127"/>
      <c r="F850" s="128"/>
      <c r="G850" s="128"/>
      <c r="H850" s="129"/>
      <c r="I850" s="130"/>
      <c r="J850" s="23"/>
      <c r="K850" s="23"/>
      <c r="L850" s="23"/>
      <c r="M850" s="131"/>
      <c r="N850" s="131"/>
      <c r="O850" s="131"/>
    </row>
    <row r="851" spans="3:15" x14ac:dyDescent="0.3">
      <c r="C851" s="18"/>
      <c r="D851" s="33"/>
      <c r="E851" s="127"/>
      <c r="F851" s="128"/>
      <c r="G851" s="128"/>
      <c r="H851" s="129"/>
      <c r="I851" s="130"/>
      <c r="J851" s="23"/>
      <c r="K851" s="23"/>
      <c r="L851" s="23"/>
      <c r="M851" s="131"/>
      <c r="N851" s="131"/>
      <c r="O851" s="131"/>
    </row>
    <row r="852" spans="3:15" x14ac:dyDescent="0.3">
      <c r="C852" s="18"/>
      <c r="D852" s="33"/>
      <c r="E852" s="127"/>
      <c r="F852" s="128"/>
      <c r="G852" s="128"/>
      <c r="H852" s="129"/>
      <c r="I852" s="130"/>
      <c r="J852" s="23"/>
      <c r="K852" s="23"/>
      <c r="L852" s="23"/>
      <c r="M852" s="131"/>
      <c r="N852" s="131"/>
      <c r="O852" s="131"/>
    </row>
    <row r="853" spans="3:15" x14ac:dyDescent="0.3">
      <c r="C853" s="18"/>
      <c r="D853" s="33"/>
      <c r="E853" s="127"/>
      <c r="F853" s="128"/>
      <c r="G853" s="128"/>
      <c r="H853" s="129"/>
      <c r="I853" s="130"/>
      <c r="J853" s="23"/>
      <c r="K853" s="23"/>
      <c r="L853" s="23"/>
      <c r="M853" s="131"/>
      <c r="N853" s="131"/>
      <c r="O853" s="131"/>
    </row>
    <row r="854" spans="3:15" x14ac:dyDescent="0.3">
      <c r="C854" s="18"/>
      <c r="D854" s="33"/>
      <c r="E854" s="127"/>
      <c r="F854" s="128"/>
      <c r="G854" s="128"/>
      <c r="H854" s="129"/>
      <c r="I854" s="130"/>
      <c r="J854" s="23"/>
      <c r="K854" s="23"/>
      <c r="L854" s="23"/>
      <c r="M854" s="131"/>
      <c r="N854" s="131"/>
      <c r="O854" s="131"/>
    </row>
    <row r="855" spans="3:15" x14ac:dyDescent="0.3">
      <c r="C855" s="18"/>
      <c r="D855" s="33"/>
      <c r="E855" s="127"/>
      <c r="F855" s="128"/>
      <c r="G855" s="128"/>
      <c r="H855" s="129"/>
      <c r="I855" s="130"/>
      <c r="J855" s="23"/>
      <c r="K855" s="23"/>
      <c r="L855" s="23"/>
      <c r="M855" s="131"/>
      <c r="N855" s="131"/>
      <c r="O855" s="131"/>
    </row>
    <row r="856" spans="3:15" x14ac:dyDescent="0.3">
      <c r="C856" s="18"/>
      <c r="D856" s="33"/>
      <c r="E856" s="127"/>
      <c r="F856" s="128"/>
      <c r="G856" s="128"/>
      <c r="H856" s="129"/>
      <c r="I856" s="130"/>
      <c r="J856" s="23"/>
      <c r="K856" s="23"/>
      <c r="L856" s="23"/>
      <c r="M856" s="131"/>
      <c r="N856" s="131"/>
      <c r="O856" s="131"/>
    </row>
    <row r="857" spans="3:15" x14ac:dyDescent="0.3">
      <c r="C857" s="18"/>
      <c r="D857" s="33"/>
      <c r="E857" s="127"/>
      <c r="F857" s="128"/>
      <c r="G857" s="128"/>
      <c r="H857" s="129"/>
      <c r="I857" s="130"/>
      <c r="J857" s="23"/>
      <c r="K857" s="23"/>
      <c r="L857" s="23"/>
      <c r="M857" s="131"/>
      <c r="N857" s="131"/>
      <c r="O857" s="131"/>
    </row>
    <row r="858" spans="3:15" x14ac:dyDescent="0.3">
      <c r="C858" s="18"/>
      <c r="D858" s="33"/>
      <c r="E858" s="127"/>
      <c r="F858" s="128"/>
      <c r="G858" s="128"/>
      <c r="H858" s="129"/>
      <c r="I858" s="130"/>
      <c r="J858" s="23"/>
      <c r="K858" s="23"/>
      <c r="L858" s="23"/>
      <c r="M858" s="131"/>
      <c r="N858" s="131"/>
      <c r="O858" s="131"/>
    </row>
    <row r="859" spans="3:15" x14ac:dyDescent="0.3">
      <c r="C859" s="18"/>
      <c r="D859" s="33"/>
      <c r="E859" s="127"/>
      <c r="F859" s="128"/>
      <c r="G859" s="128"/>
      <c r="H859" s="129"/>
      <c r="I859" s="130"/>
      <c r="J859" s="23"/>
      <c r="K859" s="23"/>
      <c r="L859" s="23"/>
      <c r="M859" s="131"/>
      <c r="N859" s="131"/>
      <c r="O859" s="131"/>
    </row>
    <row r="860" spans="3:15" x14ac:dyDescent="0.3">
      <c r="C860" s="18"/>
      <c r="D860" s="33"/>
      <c r="E860" s="127"/>
      <c r="F860" s="128"/>
      <c r="G860" s="128"/>
      <c r="H860" s="129"/>
      <c r="I860" s="130"/>
      <c r="J860" s="23"/>
      <c r="K860" s="23"/>
      <c r="L860" s="23"/>
      <c r="M860" s="131"/>
      <c r="N860" s="131"/>
      <c r="O860" s="131"/>
    </row>
    <row r="861" spans="3:15" x14ac:dyDescent="0.3">
      <c r="C861" s="18"/>
      <c r="D861" s="33"/>
      <c r="E861" s="127"/>
      <c r="F861" s="128"/>
      <c r="G861" s="128"/>
      <c r="H861" s="129"/>
      <c r="I861" s="130"/>
      <c r="J861" s="23"/>
      <c r="K861" s="23"/>
      <c r="L861" s="23"/>
      <c r="M861" s="131"/>
      <c r="N861" s="131"/>
      <c r="O861" s="131"/>
    </row>
    <row r="862" spans="3:15" x14ac:dyDescent="0.3">
      <c r="C862" s="18"/>
      <c r="D862" s="33"/>
      <c r="E862" s="127"/>
      <c r="F862" s="128"/>
      <c r="G862" s="128"/>
      <c r="H862" s="129"/>
      <c r="I862" s="130"/>
      <c r="J862" s="23"/>
      <c r="K862" s="23"/>
      <c r="L862" s="23"/>
      <c r="M862" s="131"/>
      <c r="N862" s="131"/>
      <c r="O862" s="131"/>
    </row>
    <row r="863" spans="3:15" x14ac:dyDescent="0.3">
      <c r="C863" s="18"/>
      <c r="D863" s="33"/>
      <c r="E863" s="127"/>
      <c r="F863" s="128"/>
      <c r="G863" s="128"/>
      <c r="H863" s="129"/>
      <c r="I863" s="130"/>
      <c r="J863" s="23"/>
      <c r="K863" s="23"/>
      <c r="L863" s="23"/>
      <c r="M863" s="131"/>
      <c r="N863" s="131"/>
      <c r="O863" s="131"/>
    </row>
    <row r="864" spans="3:15" x14ac:dyDescent="0.3">
      <c r="C864" s="18"/>
      <c r="D864" s="33"/>
      <c r="E864" s="127"/>
      <c r="F864" s="128"/>
      <c r="G864" s="128"/>
      <c r="H864" s="129"/>
      <c r="I864" s="130"/>
      <c r="J864" s="23"/>
      <c r="K864" s="23"/>
      <c r="L864" s="23"/>
      <c r="M864" s="131"/>
      <c r="N864" s="131"/>
      <c r="O864" s="131"/>
    </row>
    <row r="865" spans="3:15" x14ac:dyDescent="0.3">
      <c r="C865" s="18"/>
      <c r="D865" s="33"/>
      <c r="E865" s="127"/>
      <c r="F865" s="128"/>
      <c r="G865" s="128"/>
      <c r="H865" s="129"/>
      <c r="I865" s="130"/>
      <c r="J865" s="23"/>
      <c r="K865" s="23"/>
      <c r="L865" s="23"/>
      <c r="M865" s="131"/>
      <c r="N865" s="131"/>
      <c r="O865" s="131"/>
    </row>
    <row r="866" spans="3:15" x14ac:dyDescent="0.3">
      <c r="C866" s="18"/>
      <c r="D866" s="33"/>
      <c r="E866" s="127"/>
      <c r="F866" s="128"/>
      <c r="G866" s="128"/>
      <c r="H866" s="129"/>
      <c r="I866" s="130"/>
      <c r="J866" s="23"/>
      <c r="K866" s="23"/>
      <c r="L866" s="23"/>
      <c r="M866" s="131"/>
      <c r="N866" s="131"/>
      <c r="O866" s="131"/>
    </row>
    <row r="867" spans="3:15" x14ac:dyDescent="0.3">
      <c r="C867" s="18"/>
      <c r="D867" s="33"/>
      <c r="E867" s="127"/>
      <c r="F867" s="128"/>
      <c r="G867" s="128"/>
      <c r="H867" s="129"/>
      <c r="I867" s="130"/>
      <c r="J867" s="23"/>
      <c r="K867" s="23"/>
      <c r="L867" s="23"/>
      <c r="M867" s="131"/>
      <c r="N867" s="131"/>
      <c r="O867" s="131"/>
    </row>
    <row r="868" spans="3:15" x14ac:dyDescent="0.3">
      <c r="C868" s="18"/>
      <c r="D868" s="33"/>
      <c r="E868" s="127"/>
      <c r="F868" s="128"/>
      <c r="G868" s="128"/>
      <c r="H868" s="129"/>
      <c r="I868" s="130"/>
      <c r="J868" s="23"/>
      <c r="K868" s="23"/>
      <c r="L868" s="23"/>
      <c r="M868" s="131"/>
      <c r="N868" s="131"/>
      <c r="O868" s="131"/>
    </row>
    <row r="869" spans="3:15" x14ac:dyDescent="0.3">
      <c r="C869" s="18"/>
      <c r="D869" s="33"/>
      <c r="E869" s="127"/>
      <c r="F869" s="128"/>
      <c r="G869" s="128"/>
      <c r="H869" s="129"/>
      <c r="I869" s="130"/>
      <c r="J869" s="23"/>
      <c r="K869" s="23"/>
      <c r="L869" s="23"/>
      <c r="M869" s="131"/>
      <c r="N869" s="131"/>
      <c r="O869" s="131"/>
    </row>
    <row r="870" spans="3:15" x14ac:dyDescent="0.3">
      <c r="C870" s="18"/>
      <c r="D870" s="33"/>
      <c r="E870" s="127"/>
      <c r="F870" s="128"/>
      <c r="G870" s="128"/>
      <c r="H870" s="129"/>
      <c r="I870" s="130"/>
      <c r="J870" s="23"/>
      <c r="K870" s="23"/>
      <c r="L870" s="23"/>
      <c r="M870" s="131"/>
      <c r="N870" s="131"/>
      <c r="O870" s="131"/>
    </row>
    <row r="871" spans="3:15" x14ac:dyDescent="0.3">
      <c r="C871" s="18"/>
      <c r="D871" s="33"/>
      <c r="E871" s="127"/>
      <c r="F871" s="128"/>
      <c r="G871" s="128"/>
      <c r="H871" s="129"/>
      <c r="I871" s="130"/>
      <c r="J871" s="23"/>
      <c r="K871" s="23"/>
      <c r="L871" s="23"/>
      <c r="M871" s="131"/>
      <c r="N871" s="131"/>
      <c r="O871" s="131"/>
    </row>
    <row r="872" spans="3:15" x14ac:dyDescent="0.3">
      <c r="C872" s="18"/>
      <c r="D872" s="33"/>
      <c r="E872" s="127"/>
      <c r="F872" s="128"/>
      <c r="G872" s="128"/>
      <c r="H872" s="129"/>
      <c r="I872" s="130"/>
      <c r="J872" s="23"/>
      <c r="K872" s="23"/>
      <c r="L872" s="23"/>
      <c r="M872" s="131"/>
      <c r="N872" s="131"/>
      <c r="O872" s="131"/>
    </row>
    <row r="873" spans="3:15" x14ac:dyDescent="0.3">
      <c r="C873" s="18"/>
      <c r="D873" s="33"/>
      <c r="E873" s="127"/>
      <c r="F873" s="128"/>
      <c r="G873" s="128"/>
      <c r="H873" s="129"/>
      <c r="I873" s="130"/>
      <c r="J873" s="23"/>
      <c r="K873" s="23"/>
      <c r="L873" s="23"/>
      <c r="M873" s="131"/>
      <c r="N873" s="131"/>
      <c r="O873" s="131"/>
    </row>
    <row r="874" spans="3:15" x14ac:dyDescent="0.3">
      <c r="C874" s="18"/>
      <c r="D874" s="33"/>
      <c r="E874" s="127"/>
      <c r="F874" s="128"/>
      <c r="G874" s="128"/>
      <c r="H874" s="129"/>
      <c r="I874" s="130"/>
      <c r="J874" s="23"/>
      <c r="K874" s="23"/>
      <c r="L874" s="23"/>
      <c r="M874" s="131"/>
      <c r="N874" s="131"/>
      <c r="O874" s="131"/>
    </row>
    <row r="875" spans="3:15" x14ac:dyDescent="0.3">
      <c r="C875" s="18"/>
      <c r="D875" s="33"/>
      <c r="E875" s="127"/>
      <c r="F875" s="128"/>
      <c r="G875" s="128"/>
      <c r="H875" s="129"/>
      <c r="I875" s="130"/>
      <c r="J875" s="23"/>
      <c r="K875" s="23"/>
      <c r="L875" s="23"/>
      <c r="M875" s="131"/>
      <c r="N875" s="131"/>
      <c r="O875" s="131"/>
    </row>
    <row r="876" spans="3:15" x14ac:dyDescent="0.3">
      <c r="C876" s="18"/>
      <c r="D876" s="33"/>
      <c r="E876" s="127"/>
      <c r="F876" s="128"/>
      <c r="G876" s="128"/>
      <c r="H876" s="129"/>
      <c r="I876" s="130"/>
      <c r="J876" s="23"/>
      <c r="K876" s="23"/>
      <c r="L876" s="23"/>
      <c r="M876" s="131"/>
      <c r="N876" s="131"/>
      <c r="O876" s="131"/>
    </row>
    <row r="877" spans="3:15" x14ac:dyDescent="0.3">
      <c r="C877" s="18"/>
      <c r="D877" s="33"/>
      <c r="E877" s="127"/>
      <c r="F877" s="128"/>
      <c r="G877" s="128"/>
      <c r="H877" s="129"/>
      <c r="I877" s="130"/>
      <c r="J877" s="23"/>
      <c r="K877" s="23"/>
      <c r="L877" s="23"/>
      <c r="M877" s="131"/>
      <c r="N877" s="131"/>
      <c r="O877" s="131"/>
    </row>
    <row r="878" spans="3:15" x14ac:dyDescent="0.3">
      <c r="C878" s="18"/>
      <c r="D878" s="33"/>
      <c r="E878" s="127"/>
      <c r="F878" s="128"/>
      <c r="G878" s="128"/>
      <c r="H878" s="129"/>
      <c r="I878" s="130"/>
      <c r="J878" s="23"/>
      <c r="K878" s="23"/>
      <c r="L878" s="23"/>
      <c r="M878" s="131"/>
      <c r="N878" s="131"/>
      <c r="O878" s="131"/>
    </row>
    <row r="879" spans="3:15" x14ac:dyDescent="0.3">
      <c r="C879" s="18"/>
      <c r="D879" s="33"/>
      <c r="E879" s="127"/>
      <c r="F879" s="128"/>
      <c r="G879" s="128"/>
      <c r="H879" s="129"/>
      <c r="I879" s="130"/>
      <c r="J879" s="23"/>
      <c r="K879" s="23"/>
      <c r="L879" s="23"/>
      <c r="M879" s="131"/>
      <c r="N879" s="131"/>
      <c r="O879" s="131"/>
    </row>
    <row r="880" spans="3:15" x14ac:dyDescent="0.3">
      <c r="C880" s="18"/>
      <c r="D880" s="33"/>
      <c r="E880" s="127"/>
      <c r="F880" s="128"/>
      <c r="G880" s="128"/>
      <c r="H880" s="129"/>
      <c r="I880" s="130"/>
      <c r="J880" s="23"/>
      <c r="K880" s="23"/>
      <c r="L880" s="23"/>
      <c r="M880" s="131"/>
      <c r="N880" s="131"/>
      <c r="O880" s="131"/>
    </row>
    <row r="881" spans="3:15" x14ac:dyDescent="0.3">
      <c r="C881" s="18"/>
      <c r="D881" s="33"/>
      <c r="E881" s="127"/>
      <c r="F881" s="128"/>
      <c r="G881" s="128"/>
      <c r="H881" s="129"/>
      <c r="I881" s="130"/>
      <c r="J881" s="23"/>
      <c r="K881" s="23"/>
      <c r="L881" s="23"/>
      <c r="M881" s="131"/>
      <c r="N881" s="131"/>
      <c r="O881" s="131"/>
    </row>
    <row r="882" spans="3:15" x14ac:dyDescent="0.3">
      <c r="C882" s="18"/>
      <c r="D882" s="33"/>
      <c r="E882" s="127"/>
      <c r="F882" s="128"/>
      <c r="G882" s="128"/>
      <c r="H882" s="129"/>
      <c r="I882" s="130"/>
      <c r="J882" s="23"/>
      <c r="K882" s="23"/>
      <c r="L882" s="23"/>
      <c r="M882" s="131"/>
      <c r="N882" s="131"/>
      <c r="O882" s="131"/>
    </row>
    <row r="883" spans="3:15" x14ac:dyDescent="0.3">
      <c r="C883" s="18"/>
      <c r="D883" s="33"/>
      <c r="E883" s="127"/>
      <c r="F883" s="128"/>
      <c r="G883" s="128"/>
      <c r="H883" s="129"/>
      <c r="I883" s="130"/>
      <c r="J883" s="23"/>
      <c r="K883" s="23"/>
      <c r="L883" s="23"/>
      <c r="M883" s="131"/>
      <c r="N883" s="131"/>
      <c r="O883" s="131"/>
    </row>
    <row r="884" spans="3:15" x14ac:dyDescent="0.3">
      <c r="C884" s="18"/>
      <c r="D884" s="33"/>
      <c r="E884" s="127"/>
      <c r="F884" s="128"/>
      <c r="G884" s="128"/>
      <c r="H884" s="129"/>
      <c r="I884" s="130"/>
      <c r="J884" s="23"/>
      <c r="K884" s="23"/>
      <c r="L884" s="23"/>
      <c r="M884" s="131"/>
      <c r="N884" s="131"/>
      <c r="O884" s="131"/>
    </row>
    <row r="885" spans="3:15" x14ac:dyDescent="0.3">
      <c r="C885" s="18"/>
      <c r="D885" s="33"/>
      <c r="E885" s="127"/>
      <c r="F885" s="128"/>
      <c r="G885" s="128"/>
      <c r="H885" s="129"/>
      <c r="I885" s="130"/>
      <c r="J885" s="23"/>
      <c r="K885" s="23"/>
      <c r="L885" s="23"/>
      <c r="M885" s="131"/>
      <c r="N885" s="131"/>
      <c r="O885" s="131"/>
    </row>
    <row r="886" spans="3:15" x14ac:dyDescent="0.3">
      <c r="C886" s="18"/>
      <c r="D886" s="33"/>
      <c r="E886" s="127"/>
      <c r="F886" s="128"/>
      <c r="G886" s="128"/>
      <c r="H886" s="129"/>
      <c r="I886" s="130"/>
      <c r="J886" s="23"/>
      <c r="K886" s="23"/>
      <c r="L886" s="23"/>
      <c r="M886" s="131"/>
      <c r="N886" s="131"/>
      <c r="O886" s="131"/>
    </row>
    <row r="887" spans="3:15" x14ac:dyDescent="0.3">
      <c r="C887" s="18"/>
      <c r="D887" s="33"/>
      <c r="E887" s="127"/>
      <c r="F887" s="128"/>
      <c r="G887" s="128"/>
      <c r="H887" s="129"/>
      <c r="I887" s="130"/>
      <c r="J887" s="23"/>
      <c r="K887" s="23"/>
      <c r="L887" s="23"/>
      <c r="M887" s="131"/>
      <c r="N887" s="131"/>
      <c r="O887" s="131"/>
    </row>
    <row r="888" spans="3:15" x14ac:dyDescent="0.3">
      <c r="C888" s="18"/>
      <c r="D888" s="33"/>
      <c r="E888" s="127"/>
      <c r="F888" s="128"/>
      <c r="G888" s="128"/>
      <c r="H888" s="129"/>
      <c r="I888" s="130"/>
      <c r="J888" s="23"/>
      <c r="K888" s="23"/>
      <c r="L888" s="23"/>
      <c r="M888" s="131"/>
      <c r="N888" s="131"/>
      <c r="O888" s="131"/>
    </row>
    <row r="889" spans="3:15" x14ac:dyDescent="0.3">
      <c r="C889" s="18"/>
      <c r="D889" s="33"/>
      <c r="E889" s="127"/>
      <c r="F889" s="128"/>
      <c r="G889" s="128"/>
      <c r="H889" s="129"/>
      <c r="I889" s="130"/>
      <c r="J889" s="23"/>
      <c r="K889" s="23"/>
      <c r="L889" s="23"/>
      <c r="M889" s="131"/>
      <c r="N889" s="131"/>
      <c r="O889" s="131"/>
    </row>
    <row r="890" spans="3:15" x14ac:dyDescent="0.3">
      <c r="C890" s="18"/>
      <c r="D890" s="33"/>
      <c r="E890" s="127"/>
      <c r="F890" s="128"/>
      <c r="G890" s="128"/>
      <c r="H890" s="129"/>
      <c r="I890" s="130"/>
      <c r="J890" s="23"/>
      <c r="K890" s="23"/>
      <c r="L890" s="23"/>
      <c r="M890" s="131"/>
      <c r="N890" s="131"/>
      <c r="O890" s="131"/>
    </row>
    <row r="891" spans="3:15" x14ac:dyDescent="0.3">
      <c r="C891" s="18"/>
      <c r="D891" s="33"/>
      <c r="E891" s="127"/>
      <c r="F891" s="128"/>
      <c r="G891" s="128"/>
      <c r="H891" s="129"/>
      <c r="I891" s="130"/>
      <c r="J891" s="23"/>
      <c r="K891" s="23"/>
      <c r="L891" s="23"/>
      <c r="M891" s="131"/>
      <c r="N891" s="131"/>
      <c r="O891" s="131"/>
    </row>
    <row r="892" spans="3:15" x14ac:dyDescent="0.3">
      <c r="C892" s="18"/>
      <c r="D892" s="33"/>
      <c r="E892" s="127"/>
      <c r="F892" s="128"/>
      <c r="G892" s="128"/>
      <c r="H892" s="129"/>
      <c r="I892" s="130"/>
      <c r="J892" s="23"/>
      <c r="K892" s="23"/>
      <c r="L892" s="23"/>
      <c r="M892" s="131"/>
      <c r="N892" s="131"/>
      <c r="O892" s="131"/>
    </row>
    <row r="893" spans="3:15" x14ac:dyDescent="0.3">
      <c r="C893" s="18"/>
      <c r="D893" s="33"/>
      <c r="E893" s="127"/>
      <c r="F893" s="128"/>
      <c r="G893" s="128"/>
      <c r="H893" s="129"/>
      <c r="I893" s="130"/>
      <c r="J893" s="23"/>
      <c r="K893" s="23"/>
      <c r="L893" s="23"/>
      <c r="M893" s="131"/>
      <c r="N893" s="131"/>
      <c r="O893" s="131"/>
    </row>
    <row r="894" spans="3:15" x14ac:dyDescent="0.3">
      <c r="C894" s="18"/>
      <c r="D894" s="33"/>
      <c r="E894" s="127"/>
      <c r="F894" s="128"/>
      <c r="G894" s="128"/>
      <c r="H894" s="129"/>
      <c r="I894" s="130"/>
      <c r="J894" s="23"/>
      <c r="K894" s="23"/>
      <c r="L894" s="23"/>
      <c r="M894" s="131"/>
      <c r="N894" s="131"/>
      <c r="O894" s="131"/>
    </row>
    <row r="895" spans="3:15" x14ac:dyDescent="0.3">
      <c r="C895" s="18"/>
      <c r="D895" s="33"/>
      <c r="E895" s="127"/>
      <c r="F895" s="128"/>
      <c r="G895" s="128"/>
      <c r="H895" s="129"/>
      <c r="I895" s="130"/>
      <c r="J895" s="23"/>
      <c r="K895" s="23"/>
      <c r="L895" s="23"/>
      <c r="M895" s="131"/>
      <c r="N895" s="131"/>
      <c r="O895" s="131"/>
    </row>
    <row r="896" spans="3:15" x14ac:dyDescent="0.3">
      <c r="C896" s="18"/>
      <c r="D896" s="33"/>
      <c r="E896" s="127"/>
      <c r="F896" s="128"/>
      <c r="G896" s="128"/>
      <c r="H896" s="129"/>
      <c r="I896" s="130"/>
      <c r="J896" s="23"/>
      <c r="K896" s="23"/>
      <c r="L896" s="23"/>
      <c r="M896" s="131"/>
      <c r="N896" s="131"/>
      <c r="O896" s="131"/>
    </row>
    <row r="897" spans="3:15" x14ac:dyDescent="0.3">
      <c r="C897" s="18"/>
      <c r="D897" s="33"/>
      <c r="E897" s="127"/>
      <c r="F897" s="128"/>
      <c r="G897" s="128"/>
      <c r="H897" s="129"/>
      <c r="I897" s="130"/>
      <c r="J897" s="23"/>
      <c r="K897" s="23"/>
      <c r="L897" s="23"/>
      <c r="M897" s="131"/>
      <c r="N897" s="131"/>
      <c r="O897" s="131"/>
    </row>
    <row r="898" spans="3:15" x14ac:dyDescent="0.3">
      <c r="C898" s="18"/>
      <c r="D898" s="33"/>
      <c r="E898" s="127"/>
      <c r="F898" s="128"/>
      <c r="G898" s="128"/>
      <c r="H898" s="129"/>
      <c r="I898" s="130"/>
      <c r="J898" s="23"/>
      <c r="K898" s="23"/>
      <c r="L898" s="23"/>
      <c r="M898" s="131"/>
      <c r="N898" s="131"/>
      <c r="O898" s="131"/>
    </row>
    <row r="899" spans="3:15" x14ac:dyDescent="0.3">
      <c r="C899" s="18"/>
      <c r="D899" s="33"/>
      <c r="E899" s="127"/>
      <c r="F899" s="128"/>
      <c r="G899" s="128"/>
      <c r="H899" s="129"/>
      <c r="I899" s="130"/>
      <c r="J899" s="23"/>
      <c r="K899" s="23"/>
      <c r="L899" s="23"/>
      <c r="M899" s="131"/>
      <c r="N899" s="131"/>
      <c r="O899" s="131"/>
    </row>
    <row r="900" spans="3:15" x14ac:dyDescent="0.3">
      <c r="C900" s="18"/>
      <c r="D900" s="33"/>
      <c r="E900" s="127"/>
      <c r="F900" s="128"/>
      <c r="G900" s="128"/>
      <c r="H900" s="129"/>
      <c r="I900" s="130"/>
      <c r="J900" s="23"/>
      <c r="K900" s="23"/>
      <c r="L900" s="23"/>
      <c r="M900" s="131"/>
      <c r="N900" s="131"/>
      <c r="O900" s="131"/>
    </row>
    <row r="901" spans="3:15" x14ac:dyDescent="0.3">
      <c r="C901" s="18"/>
      <c r="D901" s="33"/>
      <c r="E901" s="127"/>
      <c r="F901" s="128"/>
      <c r="G901" s="128"/>
      <c r="H901" s="129"/>
      <c r="I901" s="130"/>
      <c r="J901" s="23"/>
      <c r="K901" s="23"/>
      <c r="L901" s="23"/>
      <c r="M901" s="131"/>
      <c r="N901" s="131"/>
      <c r="O901" s="131"/>
    </row>
    <row r="902" spans="3:15" x14ac:dyDescent="0.3">
      <c r="C902" s="18"/>
      <c r="D902" s="33"/>
      <c r="E902" s="127"/>
      <c r="F902" s="128"/>
      <c r="G902" s="128"/>
      <c r="H902" s="129"/>
      <c r="I902" s="130"/>
      <c r="J902" s="23"/>
      <c r="K902" s="23"/>
      <c r="L902" s="23"/>
      <c r="M902" s="131"/>
      <c r="N902" s="131"/>
      <c r="O902" s="131"/>
    </row>
    <row r="903" spans="3:15" x14ac:dyDescent="0.3">
      <c r="C903" s="18"/>
      <c r="D903" s="33"/>
      <c r="E903" s="127"/>
      <c r="F903" s="128"/>
      <c r="G903" s="128"/>
      <c r="H903" s="129"/>
      <c r="I903" s="130"/>
      <c r="J903" s="23"/>
      <c r="K903" s="23"/>
      <c r="L903" s="23"/>
      <c r="M903" s="131"/>
      <c r="N903" s="131"/>
      <c r="O903" s="131"/>
    </row>
    <row r="904" spans="3:15" x14ac:dyDescent="0.3">
      <c r="C904" s="18"/>
      <c r="D904" s="33"/>
      <c r="E904" s="127"/>
      <c r="F904" s="128"/>
      <c r="G904" s="128"/>
      <c r="H904" s="129"/>
      <c r="I904" s="130"/>
      <c r="J904" s="23"/>
      <c r="K904" s="23"/>
      <c r="L904" s="23"/>
      <c r="M904" s="131"/>
      <c r="N904" s="131"/>
      <c r="O904" s="131"/>
    </row>
    <row r="905" spans="3:15" x14ac:dyDescent="0.3">
      <c r="C905" s="18"/>
      <c r="D905" s="33"/>
      <c r="E905" s="127"/>
      <c r="F905" s="128"/>
      <c r="G905" s="128"/>
      <c r="H905" s="129"/>
      <c r="I905" s="130"/>
      <c r="J905" s="23"/>
      <c r="K905" s="23"/>
      <c r="L905" s="23"/>
      <c r="M905" s="131"/>
      <c r="N905" s="131"/>
      <c r="O905" s="131"/>
    </row>
    <row r="906" spans="3:15" x14ac:dyDescent="0.3">
      <c r="C906" s="18"/>
      <c r="D906" s="33"/>
      <c r="E906" s="127"/>
      <c r="F906" s="128"/>
      <c r="G906" s="128"/>
      <c r="H906" s="129"/>
      <c r="I906" s="130"/>
      <c r="J906" s="23"/>
      <c r="K906" s="23"/>
      <c r="L906" s="23"/>
      <c r="M906" s="131"/>
      <c r="N906" s="131"/>
      <c r="O906" s="131"/>
    </row>
    <row r="907" spans="3:15" x14ac:dyDescent="0.3">
      <c r="C907" s="18"/>
      <c r="D907" s="33"/>
      <c r="E907" s="127"/>
      <c r="F907" s="128"/>
      <c r="G907" s="128"/>
      <c r="H907" s="129"/>
      <c r="I907" s="130"/>
      <c r="J907" s="23"/>
      <c r="K907" s="23"/>
      <c r="L907" s="23"/>
      <c r="M907" s="131"/>
      <c r="N907" s="131"/>
      <c r="O907" s="131"/>
    </row>
    <row r="908" spans="3:15" x14ac:dyDescent="0.3">
      <c r="C908" s="18"/>
      <c r="D908" s="33"/>
      <c r="E908" s="127"/>
      <c r="F908" s="128"/>
      <c r="G908" s="128"/>
      <c r="H908" s="129"/>
      <c r="I908" s="130"/>
      <c r="J908" s="23"/>
      <c r="K908" s="23"/>
      <c r="L908" s="23"/>
      <c r="M908" s="131"/>
      <c r="N908" s="131"/>
      <c r="O908" s="131"/>
    </row>
    <row r="909" spans="3:15" x14ac:dyDescent="0.3">
      <c r="C909" s="18"/>
      <c r="D909" s="33"/>
      <c r="E909" s="127"/>
      <c r="F909" s="128"/>
      <c r="G909" s="128"/>
      <c r="H909" s="129"/>
      <c r="I909" s="130"/>
      <c r="J909" s="23"/>
      <c r="K909" s="23"/>
      <c r="L909" s="23"/>
      <c r="M909" s="131"/>
      <c r="N909" s="131"/>
      <c r="O909" s="131"/>
    </row>
    <row r="910" spans="3:15" x14ac:dyDescent="0.3">
      <c r="C910" s="18"/>
      <c r="D910" s="33"/>
      <c r="E910" s="127"/>
      <c r="F910" s="128"/>
      <c r="G910" s="128"/>
      <c r="H910" s="129"/>
      <c r="I910" s="130"/>
      <c r="J910" s="23"/>
      <c r="K910" s="23"/>
      <c r="L910" s="23"/>
      <c r="M910" s="131"/>
      <c r="N910" s="131"/>
      <c r="O910" s="131"/>
    </row>
    <row r="911" spans="3:15" x14ac:dyDescent="0.3">
      <c r="C911" s="18"/>
      <c r="D911" s="33"/>
      <c r="E911" s="127"/>
      <c r="F911" s="128"/>
      <c r="G911" s="128"/>
      <c r="H911" s="129"/>
      <c r="I911" s="130"/>
      <c r="J911" s="23"/>
      <c r="K911" s="23"/>
      <c r="L911" s="23"/>
      <c r="M911" s="131"/>
      <c r="N911" s="131"/>
      <c r="O911" s="131"/>
    </row>
    <row r="912" spans="3:15" x14ac:dyDescent="0.3">
      <c r="C912" s="18"/>
      <c r="D912" s="33"/>
      <c r="E912" s="127"/>
      <c r="F912" s="128"/>
      <c r="G912" s="128"/>
      <c r="H912" s="129"/>
      <c r="I912" s="130"/>
      <c r="J912" s="23"/>
      <c r="K912" s="23"/>
      <c r="L912" s="23"/>
      <c r="M912" s="131"/>
      <c r="N912" s="131"/>
      <c r="O912" s="131"/>
    </row>
    <row r="913" spans="3:15" x14ac:dyDescent="0.3">
      <c r="C913" s="18"/>
      <c r="D913" s="33"/>
      <c r="E913" s="127"/>
      <c r="F913" s="128"/>
      <c r="G913" s="128"/>
      <c r="H913" s="129"/>
      <c r="I913" s="130"/>
      <c r="J913" s="23"/>
      <c r="K913" s="23"/>
      <c r="L913" s="23"/>
      <c r="M913" s="131"/>
      <c r="N913" s="131"/>
      <c r="O913" s="131"/>
    </row>
    <row r="914" spans="3:15" x14ac:dyDescent="0.3">
      <c r="C914" s="18"/>
      <c r="D914" s="33"/>
      <c r="E914" s="127"/>
      <c r="F914" s="128"/>
      <c r="G914" s="128"/>
      <c r="H914" s="129"/>
      <c r="I914" s="130"/>
      <c r="J914" s="23"/>
      <c r="K914" s="23"/>
      <c r="L914" s="23"/>
      <c r="M914" s="131"/>
      <c r="N914" s="131"/>
      <c r="O914" s="131"/>
    </row>
    <row r="915" spans="3:15" x14ac:dyDescent="0.3">
      <c r="C915" s="18"/>
      <c r="D915" s="33"/>
      <c r="E915" s="127"/>
      <c r="F915" s="128"/>
      <c r="G915" s="128"/>
      <c r="H915" s="129"/>
      <c r="I915" s="130"/>
      <c r="J915" s="23"/>
      <c r="K915" s="23"/>
      <c r="L915" s="23"/>
      <c r="M915" s="131"/>
      <c r="N915" s="131"/>
      <c r="O915" s="131"/>
    </row>
    <row r="916" spans="3:15" x14ac:dyDescent="0.3">
      <c r="C916" s="18"/>
      <c r="D916" s="33"/>
      <c r="E916" s="127"/>
      <c r="F916" s="128"/>
      <c r="G916" s="128"/>
      <c r="H916" s="129"/>
      <c r="I916" s="130"/>
      <c r="J916" s="23"/>
      <c r="K916" s="23"/>
      <c r="L916" s="23"/>
      <c r="M916" s="131"/>
      <c r="N916" s="131"/>
      <c r="O916" s="131"/>
    </row>
    <row r="917" spans="3:15" x14ac:dyDescent="0.3">
      <c r="C917" s="18"/>
      <c r="D917" s="33"/>
      <c r="E917" s="127"/>
      <c r="F917" s="128"/>
      <c r="G917" s="128"/>
      <c r="H917" s="129"/>
      <c r="I917" s="130"/>
      <c r="J917" s="23"/>
      <c r="K917" s="23"/>
      <c r="L917" s="23"/>
      <c r="M917" s="131"/>
      <c r="N917" s="131"/>
      <c r="O917" s="131"/>
    </row>
    <row r="918" spans="3:15" x14ac:dyDescent="0.3">
      <c r="C918" s="18"/>
      <c r="D918" s="33"/>
      <c r="E918" s="127"/>
      <c r="F918" s="128"/>
      <c r="G918" s="128"/>
      <c r="H918" s="129"/>
      <c r="I918" s="130"/>
      <c r="J918" s="23"/>
      <c r="K918" s="23"/>
      <c r="L918" s="23"/>
      <c r="M918" s="131"/>
      <c r="N918" s="131"/>
      <c r="O918" s="131"/>
    </row>
    <row r="919" spans="3:15" x14ac:dyDescent="0.3">
      <c r="C919" s="18"/>
      <c r="D919" s="33"/>
      <c r="E919" s="127"/>
      <c r="F919" s="128"/>
      <c r="G919" s="128"/>
      <c r="H919" s="129"/>
      <c r="I919" s="130"/>
      <c r="J919" s="23"/>
      <c r="K919" s="23"/>
      <c r="L919" s="23"/>
      <c r="M919" s="131"/>
      <c r="N919" s="131"/>
      <c r="O919" s="131"/>
    </row>
    <row r="920" spans="3:15" x14ac:dyDescent="0.3">
      <c r="C920" s="18"/>
      <c r="D920" s="33"/>
      <c r="E920" s="127"/>
      <c r="F920" s="128"/>
      <c r="G920" s="128"/>
      <c r="H920" s="129"/>
      <c r="I920" s="130"/>
      <c r="J920" s="23"/>
      <c r="K920" s="23"/>
      <c r="L920" s="23"/>
      <c r="M920" s="131"/>
      <c r="N920" s="131"/>
      <c r="O920" s="131"/>
    </row>
    <row r="921" spans="3:15" x14ac:dyDescent="0.3">
      <c r="C921" s="18"/>
      <c r="D921" s="33"/>
      <c r="E921" s="127"/>
      <c r="F921" s="128"/>
      <c r="G921" s="128"/>
      <c r="H921" s="129"/>
      <c r="I921" s="130"/>
      <c r="J921" s="23"/>
      <c r="K921" s="23"/>
      <c r="L921" s="23"/>
      <c r="M921" s="131"/>
      <c r="N921" s="131"/>
      <c r="O921" s="131"/>
    </row>
    <row r="922" spans="3:15" x14ac:dyDescent="0.3">
      <c r="C922" s="18"/>
      <c r="D922" s="33"/>
      <c r="E922" s="127"/>
      <c r="F922" s="128"/>
      <c r="G922" s="128"/>
      <c r="H922" s="129"/>
      <c r="I922" s="130"/>
      <c r="J922" s="23"/>
      <c r="K922" s="23"/>
      <c r="L922" s="23"/>
      <c r="M922" s="131"/>
      <c r="N922" s="131"/>
      <c r="O922" s="131"/>
    </row>
    <row r="923" spans="3:15" x14ac:dyDescent="0.3">
      <c r="C923" s="18"/>
      <c r="D923" s="33"/>
      <c r="E923" s="127"/>
      <c r="F923" s="128"/>
      <c r="G923" s="128"/>
      <c r="H923" s="129"/>
      <c r="I923" s="130"/>
      <c r="J923" s="23"/>
      <c r="K923" s="23"/>
      <c r="L923" s="23"/>
      <c r="M923" s="131"/>
      <c r="N923" s="131"/>
      <c r="O923" s="131"/>
    </row>
    <row r="924" spans="3:15" x14ac:dyDescent="0.3">
      <c r="C924" s="18"/>
      <c r="D924" s="33"/>
      <c r="E924" s="127"/>
      <c r="F924" s="128"/>
      <c r="G924" s="128"/>
      <c r="H924" s="129"/>
      <c r="I924" s="130"/>
      <c r="J924" s="23"/>
      <c r="K924" s="23"/>
      <c r="L924" s="23"/>
      <c r="M924" s="131"/>
      <c r="N924" s="131"/>
      <c r="O924" s="131"/>
    </row>
    <row r="925" spans="3:15" x14ac:dyDescent="0.3">
      <c r="C925" s="18"/>
      <c r="D925" s="33"/>
      <c r="E925" s="127"/>
      <c r="F925" s="128"/>
      <c r="G925" s="128"/>
      <c r="H925" s="129"/>
      <c r="I925" s="130"/>
      <c r="J925" s="23"/>
      <c r="K925" s="23"/>
      <c r="L925" s="23"/>
      <c r="M925" s="131"/>
      <c r="N925" s="131"/>
      <c r="O925" s="131"/>
    </row>
    <row r="926" spans="3:15" x14ac:dyDescent="0.3">
      <c r="C926" s="18"/>
      <c r="D926" s="33"/>
      <c r="E926" s="127"/>
      <c r="F926" s="128"/>
      <c r="G926" s="128"/>
      <c r="H926" s="129"/>
      <c r="I926" s="130"/>
      <c r="J926" s="23"/>
      <c r="K926" s="23"/>
      <c r="L926" s="23"/>
      <c r="M926" s="131"/>
      <c r="N926" s="131"/>
      <c r="O926" s="131"/>
    </row>
    <row r="927" spans="3:15" x14ac:dyDescent="0.3">
      <c r="C927" s="18"/>
      <c r="D927" s="33"/>
      <c r="E927" s="127"/>
      <c r="F927" s="128"/>
      <c r="G927" s="128"/>
      <c r="H927" s="129"/>
      <c r="I927" s="130"/>
      <c r="J927" s="23"/>
      <c r="K927" s="23"/>
      <c r="L927" s="23"/>
      <c r="M927" s="131"/>
      <c r="N927" s="131"/>
      <c r="O927" s="131"/>
    </row>
    <row r="928" spans="3:15" x14ac:dyDescent="0.3">
      <c r="C928" s="18"/>
      <c r="D928" s="33"/>
      <c r="E928" s="127"/>
      <c r="F928" s="128"/>
      <c r="G928" s="128"/>
      <c r="H928" s="129"/>
      <c r="I928" s="130"/>
      <c r="J928" s="23"/>
      <c r="K928" s="23"/>
      <c r="L928" s="23"/>
      <c r="M928" s="131"/>
      <c r="N928" s="131"/>
      <c r="O928" s="131"/>
    </row>
    <row r="929" spans="3:15" x14ac:dyDescent="0.3">
      <c r="C929" s="18"/>
      <c r="D929" s="33"/>
      <c r="E929" s="127"/>
      <c r="F929" s="128"/>
      <c r="G929" s="128"/>
      <c r="H929" s="129"/>
      <c r="I929" s="130"/>
      <c r="J929" s="23"/>
      <c r="K929" s="23"/>
      <c r="L929" s="23"/>
      <c r="M929" s="131"/>
      <c r="N929" s="131"/>
      <c r="O929" s="131"/>
    </row>
    <row r="930" spans="3:15" x14ac:dyDescent="0.3">
      <c r="C930" s="18"/>
      <c r="D930" s="33"/>
      <c r="E930" s="127"/>
      <c r="F930" s="128"/>
      <c r="G930" s="128"/>
      <c r="H930" s="129"/>
      <c r="I930" s="130"/>
      <c r="J930" s="23"/>
      <c r="K930" s="23"/>
      <c r="L930" s="23"/>
      <c r="M930" s="131"/>
      <c r="N930" s="131"/>
      <c r="O930" s="131"/>
    </row>
    <row r="931" spans="3:15" x14ac:dyDescent="0.3">
      <c r="C931" s="18"/>
      <c r="D931" s="33"/>
      <c r="E931" s="127"/>
      <c r="F931" s="128"/>
      <c r="G931" s="128"/>
      <c r="H931" s="129"/>
      <c r="I931" s="130"/>
      <c r="J931" s="23"/>
      <c r="K931" s="23"/>
      <c r="L931" s="23"/>
      <c r="M931" s="131"/>
      <c r="N931" s="131"/>
      <c r="O931" s="131"/>
    </row>
    <row r="932" spans="3:15" x14ac:dyDescent="0.3">
      <c r="C932" s="18"/>
      <c r="D932" s="33"/>
      <c r="E932" s="127"/>
      <c r="F932" s="128"/>
      <c r="G932" s="128"/>
      <c r="H932" s="129"/>
      <c r="I932" s="130"/>
      <c r="J932" s="23"/>
      <c r="K932" s="23"/>
      <c r="L932" s="23"/>
      <c r="M932" s="131"/>
      <c r="N932" s="131"/>
      <c r="O932" s="131"/>
    </row>
    <row r="933" spans="3:15" x14ac:dyDescent="0.3">
      <c r="C933" s="18"/>
      <c r="D933" s="33"/>
      <c r="E933" s="127"/>
      <c r="F933" s="128"/>
      <c r="G933" s="128"/>
      <c r="H933" s="129"/>
      <c r="I933" s="130"/>
      <c r="J933" s="23"/>
      <c r="K933" s="23"/>
      <c r="L933" s="23"/>
      <c r="M933" s="131"/>
      <c r="N933" s="131"/>
      <c r="O933" s="131"/>
    </row>
    <row r="934" spans="3:15" x14ac:dyDescent="0.3">
      <c r="C934" s="18"/>
      <c r="D934" s="33"/>
      <c r="E934" s="127"/>
      <c r="F934" s="128"/>
      <c r="G934" s="128"/>
      <c r="H934" s="129"/>
      <c r="I934" s="130"/>
      <c r="J934" s="23"/>
      <c r="K934" s="23"/>
      <c r="L934" s="23"/>
      <c r="M934" s="131"/>
      <c r="N934" s="131"/>
      <c r="O934" s="131"/>
    </row>
    <row r="935" spans="3:15" x14ac:dyDescent="0.3">
      <c r="C935" s="18"/>
      <c r="D935" s="33"/>
      <c r="E935" s="127"/>
      <c r="F935" s="128"/>
      <c r="G935" s="128"/>
      <c r="H935" s="129"/>
      <c r="I935" s="130"/>
      <c r="J935" s="23"/>
      <c r="K935" s="23"/>
      <c r="L935" s="23"/>
      <c r="M935" s="131"/>
      <c r="N935" s="131"/>
      <c r="O935" s="131"/>
    </row>
    <row r="936" spans="3:15" x14ac:dyDescent="0.3">
      <c r="C936" s="18"/>
      <c r="D936" s="33"/>
      <c r="E936" s="127"/>
      <c r="F936" s="128"/>
      <c r="G936" s="128"/>
      <c r="H936" s="129"/>
      <c r="I936" s="130"/>
      <c r="J936" s="23"/>
      <c r="K936" s="23"/>
      <c r="L936" s="23"/>
      <c r="M936" s="131"/>
      <c r="N936" s="131"/>
      <c r="O936" s="131"/>
    </row>
    <row r="937" spans="3:15" x14ac:dyDescent="0.3">
      <c r="C937" s="18"/>
      <c r="D937" s="33"/>
      <c r="E937" s="127"/>
      <c r="F937" s="128"/>
      <c r="G937" s="128"/>
      <c r="H937" s="129"/>
      <c r="I937" s="130"/>
      <c r="J937" s="23"/>
      <c r="K937" s="23"/>
      <c r="L937" s="23"/>
      <c r="M937" s="131"/>
      <c r="N937" s="131"/>
      <c r="O937" s="131"/>
    </row>
    <row r="938" spans="3:15" x14ac:dyDescent="0.3">
      <c r="C938" s="18"/>
      <c r="D938" s="33"/>
      <c r="E938" s="127"/>
      <c r="F938" s="128"/>
      <c r="G938" s="128"/>
      <c r="H938" s="129"/>
      <c r="I938" s="130"/>
      <c r="J938" s="23"/>
      <c r="K938" s="23"/>
      <c r="L938" s="23"/>
      <c r="M938" s="131"/>
      <c r="N938" s="131"/>
      <c r="O938" s="131"/>
    </row>
    <row r="939" spans="3:15" x14ac:dyDescent="0.3">
      <c r="C939" s="18"/>
      <c r="D939" s="33"/>
      <c r="E939" s="127"/>
      <c r="F939" s="128"/>
      <c r="G939" s="128"/>
      <c r="H939" s="129"/>
      <c r="I939" s="130"/>
      <c r="J939" s="23"/>
      <c r="K939" s="23"/>
      <c r="L939" s="23"/>
      <c r="M939" s="131"/>
      <c r="N939" s="131"/>
      <c r="O939" s="131"/>
    </row>
    <row r="940" spans="3:15" x14ac:dyDescent="0.3">
      <c r="C940" s="18"/>
      <c r="D940" s="33"/>
      <c r="E940" s="127"/>
      <c r="F940" s="128"/>
      <c r="G940" s="128"/>
      <c r="H940" s="129"/>
      <c r="I940" s="130"/>
      <c r="J940" s="23"/>
      <c r="K940" s="23"/>
      <c r="L940" s="23"/>
      <c r="M940" s="131"/>
      <c r="N940" s="131"/>
      <c r="O940" s="131"/>
    </row>
    <row r="941" spans="3:15" x14ac:dyDescent="0.3">
      <c r="C941" s="18"/>
      <c r="D941" s="33"/>
      <c r="E941" s="127"/>
      <c r="F941" s="128"/>
      <c r="G941" s="128"/>
      <c r="H941" s="129"/>
      <c r="I941" s="130"/>
      <c r="J941" s="23"/>
      <c r="K941" s="23"/>
      <c r="L941" s="23"/>
      <c r="M941" s="131"/>
      <c r="N941" s="131"/>
      <c r="O941" s="131"/>
    </row>
    <row r="942" spans="3:15" x14ac:dyDescent="0.3">
      <c r="C942" s="18"/>
      <c r="D942" s="33"/>
      <c r="E942" s="127"/>
      <c r="F942" s="128"/>
      <c r="G942" s="128"/>
      <c r="H942" s="129"/>
      <c r="I942" s="130"/>
      <c r="J942" s="23"/>
      <c r="K942" s="23"/>
      <c r="L942" s="23"/>
      <c r="M942" s="131"/>
      <c r="N942" s="131"/>
      <c r="O942" s="131"/>
    </row>
    <row r="943" spans="3:15" x14ac:dyDescent="0.3">
      <c r="C943" s="18"/>
      <c r="D943" s="33"/>
      <c r="E943" s="127"/>
      <c r="F943" s="128"/>
      <c r="G943" s="128"/>
      <c r="H943" s="129"/>
      <c r="I943" s="130"/>
      <c r="J943" s="23"/>
      <c r="K943" s="23"/>
      <c r="L943" s="23"/>
      <c r="M943" s="131"/>
      <c r="N943" s="131"/>
      <c r="O943" s="131"/>
    </row>
    <row r="944" spans="3:15" x14ac:dyDescent="0.3">
      <c r="C944" s="18"/>
      <c r="D944" s="33"/>
      <c r="E944" s="127"/>
      <c r="F944" s="128"/>
      <c r="G944" s="128"/>
      <c r="H944" s="129"/>
      <c r="I944" s="130"/>
      <c r="J944" s="23"/>
      <c r="K944" s="23"/>
      <c r="L944" s="23"/>
      <c r="M944" s="131"/>
      <c r="N944" s="131"/>
      <c r="O944" s="131"/>
    </row>
    <row r="945" spans="3:15" x14ac:dyDescent="0.3">
      <c r="C945" s="18"/>
      <c r="D945" s="33"/>
      <c r="E945" s="127"/>
      <c r="F945" s="128"/>
      <c r="G945" s="128"/>
      <c r="H945" s="129"/>
      <c r="I945" s="130"/>
      <c r="J945" s="23"/>
      <c r="K945" s="23"/>
      <c r="L945" s="23"/>
      <c r="M945" s="131"/>
      <c r="N945" s="131"/>
      <c r="O945" s="131"/>
    </row>
    <row r="946" spans="3:15" x14ac:dyDescent="0.3">
      <c r="C946" s="18"/>
      <c r="D946" s="33"/>
      <c r="E946" s="127"/>
      <c r="F946" s="128"/>
      <c r="G946" s="128"/>
      <c r="H946" s="129"/>
      <c r="I946" s="130"/>
      <c r="J946" s="23"/>
      <c r="K946" s="23"/>
      <c r="L946" s="23"/>
      <c r="M946" s="131"/>
      <c r="N946" s="131"/>
      <c r="O946" s="131"/>
    </row>
    <row r="947" spans="3:15" x14ac:dyDescent="0.3">
      <c r="C947" s="18"/>
      <c r="D947" s="33"/>
      <c r="E947" s="127"/>
      <c r="F947" s="128"/>
      <c r="G947" s="128"/>
      <c r="H947" s="129"/>
      <c r="I947" s="130"/>
      <c r="J947" s="23"/>
      <c r="K947" s="23"/>
      <c r="L947" s="23"/>
      <c r="M947" s="131"/>
      <c r="N947" s="131"/>
      <c r="O947" s="131"/>
    </row>
    <row r="948" spans="3:15" x14ac:dyDescent="0.3">
      <c r="C948" s="18"/>
      <c r="D948" s="33"/>
      <c r="E948" s="127"/>
      <c r="F948" s="128"/>
      <c r="G948" s="128"/>
      <c r="H948" s="129"/>
      <c r="I948" s="130"/>
      <c r="J948" s="23"/>
      <c r="K948" s="23"/>
      <c r="L948" s="23"/>
      <c r="M948" s="131"/>
      <c r="N948" s="131"/>
      <c r="O948" s="131"/>
    </row>
    <row r="949" spans="3:15" x14ac:dyDescent="0.3">
      <c r="C949" s="18"/>
      <c r="D949" s="33"/>
      <c r="E949" s="127"/>
      <c r="F949" s="128"/>
      <c r="G949" s="128"/>
      <c r="H949" s="129"/>
      <c r="I949" s="130"/>
      <c r="J949" s="23"/>
      <c r="K949" s="23"/>
      <c r="L949" s="23"/>
      <c r="M949" s="131"/>
      <c r="N949" s="131"/>
      <c r="O949" s="131"/>
    </row>
    <row r="950" spans="3:15" x14ac:dyDescent="0.3">
      <c r="C950" s="18"/>
      <c r="D950" s="33"/>
      <c r="E950" s="127"/>
      <c r="F950" s="128"/>
      <c r="G950" s="128"/>
      <c r="H950" s="129"/>
      <c r="I950" s="130"/>
      <c r="J950" s="23"/>
      <c r="K950" s="23"/>
      <c r="L950" s="23"/>
      <c r="M950" s="131"/>
      <c r="N950" s="131"/>
      <c r="O950" s="131"/>
    </row>
    <row r="951" spans="3:15" x14ac:dyDescent="0.3">
      <c r="C951" s="18"/>
      <c r="D951" s="33"/>
      <c r="E951" s="127"/>
      <c r="F951" s="128"/>
      <c r="G951" s="128"/>
      <c r="H951" s="129"/>
      <c r="I951" s="130"/>
      <c r="J951" s="23"/>
      <c r="K951" s="23"/>
      <c r="L951" s="23"/>
      <c r="M951" s="131"/>
      <c r="N951" s="131"/>
      <c r="O951" s="131"/>
    </row>
    <row r="952" spans="3:15" x14ac:dyDescent="0.3">
      <c r="C952" s="18"/>
      <c r="D952" s="33"/>
      <c r="E952" s="127"/>
      <c r="F952" s="128"/>
      <c r="G952" s="128"/>
      <c r="H952" s="129"/>
      <c r="I952" s="130"/>
      <c r="J952" s="23"/>
      <c r="K952" s="23"/>
      <c r="L952" s="23"/>
      <c r="M952" s="131"/>
      <c r="N952" s="131"/>
      <c r="O952" s="131"/>
    </row>
    <row r="953" spans="3:15" x14ac:dyDescent="0.3">
      <c r="C953" s="18"/>
      <c r="D953" s="33"/>
      <c r="E953" s="127"/>
      <c r="F953" s="128"/>
      <c r="G953" s="128"/>
      <c r="H953" s="129"/>
      <c r="I953" s="130"/>
      <c r="J953" s="23"/>
      <c r="K953" s="23"/>
      <c r="L953" s="23"/>
      <c r="M953" s="131"/>
      <c r="N953" s="131"/>
      <c r="O953" s="131"/>
    </row>
    <row r="954" spans="3:15" x14ac:dyDescent="0.3">
      <c r="C954" s="18"/>
      <c r="D954" s="33"/>
      <c r="E954" s="127"/>
      <c r="F954" s="128"/>
      <c r="G954" s="128"/>
      <c r="H954" s="129"/>
      <c r="I954" s="130"/>
      <c r="J954" s="23"/>
      <c r="K954" s="23"/>
      <c r="L954" s="23"/>
      <c r="M954" s="131"/>
      <c r="N954" s="131"/>
      <c r="O954" s="131"/>
    </row>
    <row r="955" spans="3:15" x14ac:dyDescent="0.3">
      <c r="C955" s="18"/>
      <c r="D955" s="33"/>
      <c r="E955" s="127"/>
      <c r="F955" s="128"/>
      <c r="G955" s="128"/>
      <c r="H955" s="129"/>
      <c r="I955" s="130"/>
      <c r="J955" s="23"/>
      <c r="K955" s="23"/>
      <c r="L955" s="23"/>
      <c r="M955" s="131"/>
      <c r="N955" s="131"/>
      <c r="O955" s="131"/>
    </row>
    <row r="956" spans="3:15" x14ac:dyDescent="0.3">
      <c r="C956" s="18"/>
      <c r="D956" s="33"/>
      <c r="E956" s="127"/>
      <c r="F956" s="128"/>
      <c r="G956" s="128"/>
      <c r="H956" s="129"/>
      <c r="I956" s="130"/>
      <c r="J956" s="23"/>
      <c r="K956" s="23"/>
      <c r="L956" s="23"/>
      <c r="M956" s="131"/>
      <c r="N956" s="131"/>
      <c r="O956" s="131"/>
    </row>
    <row r="957" spans="3:15" x14ac:dyDescent="0.3">
      <c r="C957" s="18"/>
      <c r="D957" s="33"/>
      <c r="E957" s="127"/>
      <c r="F957" s="128"/>
      <c r="G957" s="128"/>
      <c r="H957" s="129"/>
      <c r="I957" s="130"/>
      <c r="J957" s="23"/>
      <c r="K957" s="23"/>
      <c r="L957" s="23"/>
      <c r="M957" s="131"/>
      <c r="N957" s="131"/>
      <c r="O957" s="131"/>
    </row>
    <row r="958" spans="3:15" x14ac:dyDescent="0.3">
      <c r="C958" s="18"/>
      <c r="D958" s="33"/>
      <c r="E958" s="127"/>
      <c r="F958" s="128"/>
      <c r="G958" s="128"/>
      <c r="H958" s="129"/>
      <c r="I958" s="130"/>
      <c r="J958" s="23"/>
      <c r="K958" s="23"/>
      <c r="L958" s="23"/>
      <c r="M958" s="131"/>
      <c r="N958" s="131"/>
      <c r="O958" s="131"/>
    </row>
    <row r="959" spans="3:15" x14ac:dyDescent="0.3">
      <c r="C959" s="18"/>
      <c r="D959" s="33"/>
      <c r="E959" s="127"/>
      <c r="F959" s="128"/>
      <c r="G959" s="128"/>
      <c r="H959" s="129"/>
      <c r="I959" s="130"/>
      <c r="J959" s="23"/>
      <c r="K959" s="23"/>
      <c r="L959" s="23"/>
      <c r="M959" s="131"/>
      <c r="N959" s="131"/>
      <c r="O959" s="131"/>
    </row>
    <row r="960" spans="3:15" x14ac:dyDescent="0.3">
      <c r="C960" s="18"/>
      <c r="D960" s="33"/>
      <c r="E960" s="127"/>
      <c r="F960" s="128"/>
      <c r="G960" s="128"/>
      <c r="H960" s="129"/>
      <c r="I960" s="130"/>
      <c r="J960" s="23"/>
      <c r="K960" s="23"/>
      <c r="L960" s="23"/>
      <c r="M960" s="131"/>
      <c r="N960" s="131"/>
      <c r="O960" s="131"/>
    </row>
    <row r="961" spans="3:15" x14ac:dyDescent="0.3">
      <c r="C961" s="18"/>
      <c r="D961" s="33"/>
      <c r="E961" s="127"/>
      <c r="F961" s="128"/>
      <c r="G961" s="128"/>
      <c r="H961" s="129"/>
      <c r="I961" s="130"/>
      <c r="J961" s="23"/>
      <c r="K961" s="23"/>
      <c r="L961" s="23"/>
      <c r="M961" s="131"/>
      <c r="N961" s="131"/>
      <c r="O961" s="131"/>
    </row>
    <row r="962" spans="3:15" x14ac:dyDescent="0.3">
      <c r="C962" s="18"/>
      <c r="D962" s="33"/>
      <c r="E962" s="127"/>
      <c r="F962" s="128"/>
      <c r="G962" s="128"/>
      <c r="H962" s="129"/>
      <c r="I962" s="130"/>
      <c r="J962" s="23"/>
      <c r="K962" s="23"/>
      <c r="L962" s="23"/>
      <c r="M962" s="131"/>
      <c r="N962" s="131"/>
      <c r="O962" s="131"/>
    </row>
    <row r="963" spans="3:15" x14ac:dyDescent="0.3">
      <c r="C963" s="18"/>
      <c r="D963" s="33"/>
      <c r="E963" s="127"/>
      <c r="F963" s="128"/>
      <c r="G963" s="128"/>
      <c r="H963" s="129"/>
      <c r="I963" s="130"/>
      <c r="J963" s="23"/>
      <c r="K963" s="23"/>
      <c r="L963" s="23"/>
      <c r="M963" s="131"/>
      <c r="N963" s="131"/>
      <c r="O963" s="131"/>
    </row>
    <row r="964" spans="3:15" x14ac:dyDescent="0.3">
      <c r="C964" s="18"/>
      <c r="D964" s="33"/>
      <c r="E964" s="127"/>
      <c r="F964" s="128"/>
      <c r="G964" s="128"/>
      <c r="H964" s="129"/>
      <c r="I964" s="130"/>
      <c r="J964" s="23"/>
      <c r="K964" s="23"/>
      <c r="L964" s="23"/>
      <c r="M964" s="131"/>
      <c r="N964" s="131"/>
      <c r="O964" s="131"/>
    </row>
    <row r="965" spans="3:15" x14ac:dyDescent="0.3">
      <c r="C965" s="18"/>
      <c r="D965" s="33"/>
      <c r="E965" s="127"/>
      <c r="F965" s="128"/>
      <c r="G965" s="128"/>
      <c r="H965" s="129"/>
      <c r="I965" s="130"/>
      <c r="J965" s="23"/>
      <c r="K965" s="23"/>
      <c r="L965" s="23"/>
      <c r="M965" s="131"/>
      <c r="N965" s="131"/>
      <c r="O965" s="131"/>
    </row>
    <row r="966" spans="3:15" x14ac:dyDescent="0.3">
      <c r="C966" s="18"/>
      <c r="D966" s="33"/>
      <c r="E966" s="127"/>
      <c r="F966" s="128"/>
      <c r="G966" s="128"/>
      <c r="H966" s="129"/>
      <c r="I966" s="130"/>
      <c r="J966" s="23"/>
      <c r="K966" s="23"/>
      <c r="L966" s="23"/>
      <c r="M966" s="131"/>
      <c r="N966" s="131"/>
      <c r="O966" s="131"/>
    </row>
    <row r="967" spans="3:15" x14ac:dyDescent="0.3">
      <c r="C967" s="18"/>
      <c r="D967" s="33"/>
      <c r="E967" s="127"/>
      <c r="F967" s="128"/>
      <c r="G967" s="128"/>
      <c r="H967" s="129"/>
      <c r="I967" s="130"/>
      <c r="J967" s="23"/>
      <c r="K967" s="23"/>
      <c r="L967" s="23"/>
      <c r="M967" s="131"/>
      <c r="N967" s="131"/>
      <c r="O967" s="131"/>
    </row>
    <row r="968" spans="3:15" x14ac:dyDescent="0.3">
      <c r="C968" s="18"/>
      <c r="D968" s="33"/>
      <c r="E968" s="127"/>
      <c r="F968" s="128"/>
      <c r="G968" s="128"/>
      <c r="H968" s="129"/>
      <c r="I968" s="130"/>
      <c r="J968" s="23"/>
      <c r="K968" s="23"/>
      <c r="L968" s="23"/>
      <c r="M968" s="131"/>
      <c r="N968" s="131"/>
      <c r="O968" s="131"/>
    </row>
    <row r="969" spans="3:15" x14ac:dyDescent="0.3">
      <c r="C969" s="18"/>
      <c r="D969" s="33"/>
      <c r="E969" s="127"/>
      <c r="F969" s="128"/>
      <c r="G969" s="128"/>
      <c r="H969" s="129"/>
      <c r="I969" s="130"/>
      <c r="J969" s="23"/>
      <c r="K969" s="23"/>
      <c r="L969" s="23"/>
      <c r="M969" s="131"/>
      <c r="N969" s="131"/>
      <c r="O969" s="131"/>
    </row>
    <row r="970" spans="3:15" x14ac:dyDescent="0.3">
      <c r="C970" s="18"/>
      <c r="D970" s="33"/>
      <c r="E970" s="127"/>
      <c r="F970" s="128"/>
      <c r="G970" s="128"/>
      <c r="H970" s="129"/>
      <c r="I970" s="130"/>
      <c r="J970" s="23"/>
      <c r="K970" s="23"/>
      <c r="L970" s="23"/>
      <c r="M970" s="131"/>
      <c r="N970" s="131"/>
      <c r="O970" s="131"/>
    </row>
    <row r="971" spans="3:15" x14ac:dyDescent="0.3">
      <c r="C971" s="18"/>
      <c r="D971" s="33"/>
      <c r="E971" s="127"/>
      <c r="F971" s="128"/>
      <c r="G971" s="128"/>
      <c r="H971" s="129"/>
      <c r="I971" s="130"/>
      <c r="J971" s="23"/>
      <c r="K971" s="23"/>
      <c r="L971" s="23"/>
      <c r="M971" s="131"/>
      <c r="N971" s="131"/>
      <c r="O971" s="131"/>
    </row>
    <row r="972" spans="3:15" x14ac:dyDescent="0.3">
      <c r="C972" s="18"/>
      <c r="D972" s="33"/>
      <c r="E972" s="127"/>
      <c r="F972" s="128"/>
      <c r="G972" s="128"/>
      <c r="H972" s="129"/>
      <c r="I972" s="130"/>
      <c r="J972" s="23"/>
      <c r="K972" s="23"/>
      <c r="L972" s="23"/>
      <c r="M972" s="131"/>
      <c r="N972" s="131"/>
      <c r="O972" s="131"/>
    </row>
    <row r="973" spans="3:15" x14ac:dyDescent="0.3">
      <c r="C973" s="18"/>
      <c r="D973" s="33"/>
      <c r="E973" s="127"/>
      <c r="F973" s="128"/>
      <c r="G973" s="128"/>
      <c r="H973" s="129"/>
      <c r="I973" s="130"/>
      <c r="J973" s="23"/>
      <c r="K973" s="23"/>
      <c r="L973" s="23"/>
      <c r="M973" s="131"/>
      <c r="N973" s="131"/>
      <c r="O973" s="131"/>
    </row>
    <row r="974" spans="3:15" x14ac:dyDescent="0.3">
      <c r="C974" s="18"/>
      <c r="D974" s="33"/>
      <c r="E974" s="127"/>
      <c r="F974" s="128"/>
      <c r="G974" s="128"/>
      <c r="H974" s="129"/>
      <c r="I974" s="130"/>
      <c r="J974" s="23"/>
      <c r="K974" s="23"/>
      <c r="L974" s="23"/>
      <c r="M974" s="131"/>
      <c r="N974" s="131"/>
      <c r="O974" s="131"/>
    </row>
    <row r="975" spans="3:15" x14ac:dyDescent="0.3">
      <c r="C975" s="18"/>
      <c r="D975" s="33"/>
      <c r="E975" s="127"/>
      <c r="F975" s="128"/>
      <c r="G975" s="128"/>
      <c r="H975" s="129"/>
      <c r="I975" s="130"/>
      <c r="J975" s="23"/>
      <c r="K975" s="23"/>
      <c r="L975" s="23"/>
      <c r="M975" s="131"/>
      <c r="N975" s="131"/>
      <c r="O975" s="131"/>
    </row>
    <row r="976" spans="3:15" x14ac:dyDescent="0.3">
      <c r="C976" s="18"/>
      <c r="D976" s="33"/>
      <c r="E976" s="127"/>
      <c r="F976" s="128"/>
      <c r="G976" s="128"/>
      <c r="H976" s="129"/>
      <c r="I976" s="130"/>
      <c r="J976" s="23"/>
      <c r="K976" s="23"/>
      <c r="L976" s="23"/>
      <c r="M976" s="131"/>
      <c r="N976" s="131"/>
      <c r="O976" s="131"/>
    </row>
    <row r="977" spans="3:15" x14ac:dyDescent="0.3">
      <c r="C977" s="18"/>
      <c r="D977" s="33"/>
      <c r="E977" s="127"/>
      <c r="F977" s="128"/>
      <c r="G977" s="128"/>
      <c r="H977" s="129"/>
      <c r="I977" s="130"/>
      <c r="J977" s="23"/>
      <c r="K977" s="23"/>
      <c r="L977" s="23"/>
      <c r="M977" s="131"/>
      <c r="N977" s="131"/>
      <c r="O977" s="131"/>
    </row>
    <row r="978" spans="3:15" x14ac:dyDescent="0.3">
      <c r="C978" s="18"/>
      <c r="D978" s="33"/>
      <c r="E978" s="127"/>
      <c r="F978" s="128"/>
      <c r="G978" s="128"/>
      <c r="H978" s="129"/>
      <c r="I978" s="130"/>
      <c r="J978" s="23"/>
      <c r="K978" s="23"/>
      <c r="L978" s="23"/>
      <c r="M978" s="131"/>
      <c r="N978" s="131"/>
      <c r="O978" s="131"/>
    </row>
    <row r="979" spans="3:15" x14ac:dyDescent="0.3">
      <c r="C979" s="18"/>
      <c r="D979" s="33"/>
      <c r="E979" s="127"/>
      <c r="F979" s="128"/>
      <c r="G979" s="128"/>
      <c r="H979" s="129"/>
      <c r="I979" s="130"/>
      <c r="J979" s="23"/>
      <c r="K979" s="23"/>
      <c r="L979" s="23"/>
      <c r="M979" s="131"/>
      <c r="N979" s="131"/>
      <c r="O979" s="131"/>
    </row>
    <row r="980" spans="3:15" x14ac:dyDescent="0.3">
      <c r="C980" s="18"/>
      <c r="D980" s="33"/>
      <c r="E980" s="127"/>
      <c r="F980" s="128"/>
      <c r="G980" s="128"/>
      <c r="H980" s="129"/>
      <c r="I980" s="130"/>
      <c r="J980" s="23"/>
      <c r="K980" s="23"/>
      <c r="L980" s="23"/>
      <c r="M980" s="131"/>
      <c r="N980" s="131"/>
      <c r="O980" s="131"/>
    </row>
    <row r="981" spans="3:15" x14ac:dyDescent="0.3">
      <c r="C981" s="18"/>
      <c r="D981" s="33"/>
      <c r="E981" s="127"/>
      <c r="F981" s="128"/>
      <c r="G981" s="128"/>
      <c r="H981" s="129"/>
      <c r="I981" s="130"/>
      <c r="J981" s="23"/>
      <c r="K981" s="23"/>
      <c r="L981" s="23"/>
      <c r="M981" s="131"/>
      <c r="N981" s="131"/>
      <c r="O981" s="131"/>
    </row>
    <row r="982" spans="3:15" x14ac:dyDescent="0.3">
      <c r="C982" s="18"/>
      <c r="D982" s="33"/>
      <c r="E982" s="127"/>
      <c r="F982" s="128"/>
      <c r="G982" s="128"/>
      <c r="H982" s="129"/>
      <c r="I982" s="130"/>
      <c r="J982" s="23"/>
      <c r="K982" s="23"/>
      <c r="L982" s="23"/>
      <c r="M982" s="131"/>
      <c r="N982" s="131"/>
      <c r="O982" s="131"/>
    </row>
    <row r="983" spans="3:15" x14ac:dyDescent="0.3">
      <c r="C983" s="18"/>
      <c r="D983" s="33"/>
      <c r="E983" s="127"/>
      <c r="F983" s="128"/>
      <c r="G983" s="128"/>
      <c r="H983" s="129"/>
      <c r="I983" s="130"/>
      <c r="J983" s="23"/>
      <c r="K983" s="23"/>
      <c r="L983" s="23"/>
      <c r="M983" s="131"/>
      <c r="N983" s="131"/>
      <c r="O983" s="131"/>
    </row>
    <row r="984" spans="3:15" x14ac:dyDescent="0.3">
      <c r="C984" s="18"/>
      <c r="D984" s="33"/>
      <c r="E984" s="127"/>
      <c r="F984" s="128"/>
      <c r="G984" s="128"/>
      <c r="H984" s="129"/>
      <c r="I984" s="130"/>
      <c r="J984" s="23"/>
      <c r="K984" s="23"/>
      <c r="L984" s="23"/>
      <c r="M984" s="131"/>
      <c r="N984" s="131"/>
      <c r="O984" s="131"/>
    </row>
    <row r="985" spans="3:15" x14ac:dyDescent="0.3">
      <c r="C985" s="18"/>
      <c r="D985" s="33"/>
      <c r="E985" s="127"/>
      <c r="F985" s="128"/>
      <c r="G985" s="128"/>
      <c r="H985" s="129"/>
      <c r="I985" s="130"/>
      <c r="J985" s="23"/>
      <c r="K985" s="23"/>
      <c r="L985" s="23"/>
      <c r="M985" s="131"/>
      <c r="N985" s="131"/>
      <c r="O985" s="131"/>
    </row>
    <row r="986" spans="3:15" x14ac:dyDescent="0.3">
      <c r="C986" s="18"/>
      <c r="D986" s="33"/>
      <c r="E986" s="127"/>
      <c r="F986" s="128"/>
      <c r="G986" s="128"/>
      <c r="H986" s="129"/>
      <c r="I986" s="130"/>
      <c r="J986" s="23"/>
      <c r="K986" s="23"/>
      <c r="L986" s="23"/>
      <c r="M986" s="131"/>
      <c r="N986" s="131"/>
      <c r="O986" s="131"/>
    </row>
    <row r="987" spans="3:15" x14ac:dyDescent="0.3">
      <c r="C987" s="18"/>
      <c r="D987" s="33"/>
      <c r="E987" s="127"/>
      <c r="F987" s="128"/>
      <c r="G987" s="128"/>
      <c r="H987" s="129"/>
      <c r="I987" s="130"/>
      <c r="J987" s="23"/>
      <c r="K987" s="23"/>
      <c r="L987" s="23"/>
      <c r="M987" s="131"/>
      <c r="N987" s="131"/>
      <c r="O987" s="131"/>
    </row>
    <row r="988" spans="3:15" x14ac:dyDescent="0.3">
      <c r="C988" s="18"/>
      <c r="D988" s="33"/>
      <c r="E988" s="127"/>
      <c r="F988" s="128"/>
      <c r="G988" s="128"/>
      <c r="H988" s="129"/>
      <c r="I988" s="130"/>
      <c r="J988" s="23"/>
      <c r="K988" s="23"/>
      <c r="L988" s="23"/>
      <c r="M988" s="131"/>
      <c r="N988" s="131"/>
      <c r="O988" s="131"/>
    </row>
    <row r="989" spans="3:15" x14ac:dyDescent="0.3">
      <c r="C989" s="18"/>
      <c r="D989" s="33"/>
      <c r="E989" s="127"/>
      <c r="F989" s="128"/>
      <c r="G989" s="128"/>
      <c r="H989" s="129"/>
      <c r="I989" s="130"/>
      <c r="J989" s="23"/>
      <c r="K989" s="23"/>
      <c r="L989" s="23"/>
      <c r="M989" s="131"/>
      <c r="N989" s="131"/>
      <c r="O989" s="131"/>
    </row>
    <row r="990" spans="3:15" x14ac:dyDescent="0.3">
      <c r="C990" s="18"/>
      <c r="D990" s="33"/>
      <c r="E990" s="127"/>
      <c r="F990" s="128"/>
      <c r="G990" s="128"/>
      <c r="H990" s="129"/>
      <c r="I990" s="130"/>
      <c r="J990" s="23"/>
      <c r="K990" s="23"/>
      <c r="L990" s="23"/>
      <c r="M990" s="131"/>
      <c r="N990" s="131"/>
      <c r="O990" s="131"/>
    </row>
    <row r="991" spans="3:15" x14ac:dyDescent="0.3">
      <c r="C991" s="18"/>
      <c r="D991" s="33"/>
      <c r="E991" s="127"/>
      <c r="F991" s="128"/>
      <c r="G991" s="128"/>
      <c r="H991" s="129"/>
      <c r="I991" s="130"/>
      <c r="J991" s="23"/>
      <c r="K991" s="23"/>
      <c r="L991" s="23"/>
      <c r="M991" s="131"/>
      <c r="N991" s="131"/>
      <c r="O991" s="131"/>
    </row>
    <row r="992" spans="3:15" x14ac:dyDescent="0.3">
      <c r="C992" s="18"/>
      <c r="D992" s="33"/>
      <c r="E992" s="127"/>
      <c r="F992" s="128"/>
      <c r="G992" s="128"/>
      <c r="H992" s="129"/>
      <c r="I992" s="130"/>
      <c r="J992" s="23"/>
      <c r="K992" s="23"/>
      <c r="L992" s="23"/>
      <c r="M992" s="131"/>
      <c r="N992" s="131"/>
      <c r="O992" s="131"/>
    </row>
    <row r="993" spans="3:15" x14ac:dyDescent="0.3">
      <c r="C993" s="18"/>
      <c r="D993" s="33"/>
      <c r="E993" s="127"/>
      <c r="F993" s="128"/>
      <c r="G993" s="128"/>
      <c r="H993" s="129"/>
      <c r="I993" s="130"/>
      <c r="J993" s="23"/>
      <c r="K993" s="23"/>
      <c r="L993" s="23"/>
      <c r="M993" s="131"/>
      <c r="N993" s="131"/>
      <c r="O993" s="131"/>
    </row>
    <row r="994" spans="3:15" x14ac:dyDescent="0.3">
      <c r="C994" s="18"/>
      <c r="D994" s="33"/>
      <c r="E994" s="127"/>
      <c r="F994" s="128"/>
      <c r="G994" s="128"/>
      <c r="H994" s="129"/>
      <c r="I994" s="130"/>
      <c r="J994" s="23"/>
      <c r="K994" s="23"/>
      <c r="L994" s="23"/>
      <c r="M994" s="131"/>
      <c r="N994" s="131"/>
      <c r="O994" s="131"/>
    </row>
    <row r="995" spans="3:15" x14ac:dyDescent="0.3">
      <c r="C995" s="18"/>
      <c r="D995" s="33"/>
      <c r="E995" s="127"/>
      <c r="F995" s="128"/>
      <c r="G995" s="128"/>
      <c r="H995" s="129"/>
      <c r="I995" s="130"/>
      <c r="J995" s="23"/>
      <c r="K995" s="23"/>
      <c r="L995" s="23"/>
      <c r="M995" s="131"/>
      <c r="N995" s="131"/>
      <c r="O995" s="131"/>
    </row>
    <row r="996" spans="3:15" x14ac:dyDescent="0.3">
      <c r="C996" s="18"/>
      <c r="D996" s="33"/>
      <c r="E996" s="127"/>
      <c r="F996" s="128"/>
      <c r="G996" s="128"/>
      <c r="H996" s="129"/>
      <c r="I996" s="130"/>
      <c r="J996" s="23"/>
      <c r="K996" s="23"/>
      <c r="L996" s="23"/>
      <c r="M996" s="131"/>
      <c r="N996" s="131"/>
      <c r="O996" s="131"/>
    </row>
    <row r="997" spans="3:15" x14ac:dyDescent="0.3">
      <c r="C997" s="18"/>
      <c r="D997" s="33"/>
      <c r="E997" s="127"/>
      <c r="F997" s="128"/>
      <c r="G997" s="128"/>
      <c r="H997" s="129"/>
      <c r="I997" s="130"/>
      <c r="J997" s="23"/>
      <c r="K997" s="23"/>
      <c r="L997" s="23"/>
      <c r="M997" s="131"/>
      <c r="N997" s="131"/>
      <c r="O997" s="131"/>
    </row>
    <row r="998" spans="3:15" x14ac:dyDescent="0.3">
      <c r="C998" s="18"/>
      <c r="D998" s="33"/>
      <c r="E998" s="127"/>
      <c r="F998" s="128"/>
      <c r="G998" s="128"/>
      <c r="H998" s="129"/>
      <c r="I998" s="130"/>
      <c r="J998" s="23"/>
      <c r="K998" s="23"/>
      <c r="L998" s="23"/>
      <c r="M998" s="131"/>
      <c r="N998" s="131"/>
      <c r="O998" s="131"/>
    </row>
    <row r="999" spans="3:15" x14ac:dyDescent="0.3">
      <c r="C999" s="18"/>
      <c r="D999" s="33"/>
      <c r="E999" s="127"/>
      <c r="F999" s="128"/>
      <c r="G999" s="128"/>
      <c r="H999" s="129"/>
      <c r="I999" s="130"/>
      <c r="J999" s="23"/>
      <c r="K999" s="23"/>
      <c r="L999" s="23"/>
      <c r="M999" s="131"/>
      <c r="N999" s="131"/>
      <c r="O999" s="131"/>
    </row>
    <row r="1000" spans="3:15" x14ac:dyDescent="0.3">
      <c r="C1000" s="18"/>
      <c r="D1000" s="33"/>
      <c r="E1000" s="127"/>
      <c r="F1000" s="128"/>
      <c r="G1000" s="128"/>
      <c r="H1000" s="129"/>
      <c r="I1000" s="130"/>
      <c r="J1000" s="23"/>
      <c r="K1000" s="23"/>
      <c r="L1000" s="23"/>
      <c r="M1000" s="131"/>
      <c r="N1000" s="131"/>
      <c r="O1000" s="131"/>
    </row>
    <row r="1001" spans="3:15" x14ac:dyDescent="0.3">
      <c r="C1001" s="18"/>
      <c r="D1001" s="33"/>
      <c r="E1001" s="127"/>
      <c r="F1001" s="128"/>
      <c r="G1001" s="128"/>
      <c r="H1001" s="129"/>
      <c r="I1001" s="130"/>
      <c r="J1001" s="23"/>
      <c r="K1001" s="23"/>
      <c r="L1001" s="23"/>
      <c r="M1001" s="131"/>
      <c r="N1001" s="131"/>
      <c r="O1001" s="131"/>
    </row>
    <row r="1002" spans="3:15" x14ac:dyDescent="0.3">
      <c r="C1002" s="18"/>
      <c r="D1002" s="33"/>
      <c r="E1002" s="127"/>
      <c r="F1002" s="128"/>
      <c r="G1002" s="128"/>
      <c r="H1002" s="129"/>
      <c r="I1002" s="130"/>
      <c r="J1002" s="23"/>
      <c r="K1002" s="23"/>
      <c r="L1002" s="23"/>
      <c r="M1002" s="131"/>
      <c r="N1002" s="131"/>
      <c r="O1002" s="131"/>
    </row>
    <row r="1003" spans="3:15" x14ac:dyDescent="0.3">
      <c r="C1003" s="18"/>
      <c r="D1003" s="33"/>
      <c r="E1003" s="127"/>
      <c r="F1003" s="128"/>
      <c r="G1003" s="128"/>
      <c r="H1003" s="129"/>
      <c r="I1003" s="130"/>
      <c r="J1003" s="23"/>
      <c r="K1003" s="23"/>
      <c r="L1003" s="23"/>
      <c r="M1003" s="131"/>
      <c r="N1003" s="131"/>
      <c r="O1003" s="131"/>
    </row>
    <row r="1004" spans="3:15" x14ac:dyDescent="0.3">
      <c r="C1004" s="18"/>
      <c r="D1004" s="33"/>
      <c r="E1004" s="127"/>
      <c r="F1004" s="128"/>
      <c r="G1004" s="128"/>
      <c r="H1004" s="129"/>
      <c r="I1004" s="130"/>
      <c r="J1004" s="23"/>
      <c r="K1004" s="23"/>
      <c r="L1004" s="23"/>
      <c r="M1004" s="131"/>
      <c r="N1004" s="131"/>
      <c r="O1004" s="131"/>
    </row>
    <row r="1005" spans="3:15" x14ac:dyDescent="0.3">
      <c r="C1005" s="18"/>
      <c r="D1005" s="33"/>
      <c r="E1005" s="127"/>
      <c r="F1005" s="128"/>
      <c r="G1005" s="128"/>
      <c r="H1005" s="129"/>
      <c r="I1005" s="130"/>
      <c r="J1005" s="23"/>
      <c r="K1005" s="23"/>
      <c r="L1005" s="23"/>
      <c r="M1005" s="131"/>
      <c r="N1005" s="131"/>
      <c r="O1005" s="131"/>
    </row>
    <row r="1006" spans="3:15" x14ac:dyDescent="0.3">
      <c r="C1006" s="18"/>
      <c r="D1006" s="33"/>
      <c r="E1006" s="127"/>
      <c r="F1006" s="128"/>
      <c r="G1006" s="128"/>
      <c r="H1006" s="129"/>
      <c r="I1006" s="130"/>
      <c r="J1006" s="23"/>
      <c r="K1006" s="23"/>
      <c r="L1006" s="23"/>
      <c r="M1006" s="131"/>
      <c r="N1006" s="131"/>
      <c r="O1006" s="131"/>
    </row>
    <row r="1007" spans="3:15" x14ac:dyDescent="0.3">
      <c r="C1007" s="18"/>
      <c r="D1007" s="33"/>
      <c r="E1007" s="127"/>
      <c r="F1007" s="128"/>
      <c r="G1007" s="128"/>
      <c r="H1007" s="129"/>
      <c r="I1007" s="130"/>
      <c r="J1007" s="23"/>
      <c r="K1007" s="23"/>
      <c r="L1007" s="23"/>
      <c r="M1007" s="131"/>
      <c r="N1007" s="131"/>
      <c r="O1007" s="131"/>
    </row>
    <row r="1008" spans="3:15" x14ac:dyDescent="0.3">
      <c r="C1008" s="18"/>
      <c r="D1008" s="33"/>
      <c r="E1008" s="127"/>
      <c r="F1008" s="128"/>
      <c r="G1008" s="128"/>
      <c r="H1008" s="129"/>
      <c r="I1008" s="130"/>
      <c r="J1008" s="23"/>
      <c r="K1008" s="23"/>
      <c r="L1008" s="23"/>
      <c r="M1008" s="131"/>
      <c r="N1008" s="131"/>
      <c r="O1008" s="131"/>
    </row>
    <row r="1009" spans="3:15" x14ac:dyDescent="0.3">
      <c r="C1009" s="18"/>
      <c r="D1009" s="33"/>
      <c r="E1009" s="127"/>
      <c r="F1009" s="128"/>
      <c r="G1009" s="128"/>
      <c r="H1009" s="129"/>
      <c r="I1009" s="130"/>
      <c r="J1009" s="23"/>
      <c r="K1009" s="23"/>
      <c r="L1009" s="23"/>
      <c r="M1009" s="131"/>
      <c r="N1009" s="131"/>
      <c r="O1009" s="131"/>
    </row>
    <row r="1010" spans="3:15" x14ac:dyDescent="0.3">
      <c r="C1010" s="18"/>
      <c r="D1010" s="33"/>
      <c r="E1010" s="127"/>
      <c r="F1010" s="128"/>
      <c r="G1010" s="128"/>
      <c r="H1010" s="129"/>
      <c r="I1010" s="130"/>
      <c r="J1010" s="23"/>
      <c r="K1010" s="23"/>
      <c r="L1010" s="23"/>
      <c r="M1010" s="131"/>
      <c r="N1010" s="131"/>
      <c r="O1010" s="131"/>
    </row>
    <row r="1011" spans="3:15" x14ac:dyDescent="0.3">
      <c r="C1011" s="18"/>
      <c r="D1011" s="33"/>
      <c r="E1011" s="127"/>
      <c r="F1011" s="128"/>
      <c r="G1011" s="128"/>
      <c r="H1011" s="129"/>
      <c r="I1011" s="130"/>
      <c r="J1011" s="23"/>
      <c r="K1011" s="23"/>
      <c r="L1011" s="23"/>
      <c r="M1011" s="131"/>
      <c r="N1011" s="131"/>
      <c r="O1011" s="131"/>
    </row>
    <row r="1012" spans="3:15" x14ac:dyDescent="0.3">
      <c r="C1012" s="18"/>
      <c r="D1012" s="33"/>
      <c r="E1012" s="127"/>
      <c r="F1012" s="128"/>
      <c r="G1012" s="128"/>
      <c r="H1012" s="129"/>
      <c r="I1012" s="130"/>
      <c r="J1012" s="23"/>
      <c r="K1012" s="23"/>
      <c r="L1012" s="23"/>
      <c r="M1012" s="131"/>
      <c r="N1012" s="131"/>
      <c r="O1012" s="131"/>
    </row>
    <row r="1013" spans="3:15" x14ac:dyDescent="0.3">
      <c r="C1013" s="18"/>
      <c r="D1013" s="33"/>
      <c r="E1013" s="127"/>
      <c r="F1013" s="128"/>
      <c r="G1013" s="128"/>
      <c r="H1013" s="129"/>
      <c r="I1013" s="130"/>
      <c r="J1013" s="23"/>
      <c r="K1013" s="23"/>
      <c r="L1013" s="23"/>
      <c r="M1013" s="131"/>
      <c r="N1013" s="131"/>
      <c r="O1013" s="131"/>
    </row>
    <row r="1014" spans="3:15" x14ac:dyDescent="0.3">
      <c r="C1014" s="18"/>
      <c r="D1014" s="33"/>
      <c r="E1014" s="127"/>
      <c r="F1014" s="128"/>
      <c r="G1014" s="128"/>
      <c r="H1014" s="129"/>
      <c r="I1014" s="130"/>
      <c r="J1014" s="23"/>
      <c r="K1014" s="23"/>
      <c r="L1014" s="23"/>
      <c r="M1014" s="131"/>
      <c r="N1014" s="131"/>
      <c r="O1014" s="131"/>
    </row>
    <row r="1015" spans="3:15" x14ac:dyDescent="0.3">
      <c r="C1015" s="18"/>
      <c r="D1015" s="33"/>
      <c r="E1015" s="127"/>
      <c r="F1015" s="128"/>
      <c r="G1015" s="128"/>
      <c r="H1015" s="129"/>
      <c r="I1015" s="130"/>
      <c r="J1015" s="23"/>
      <c r="K1015" s="23"/>
      <c r="L1015" s="23"/>
      <c r="M1015" s="131"/>
      <c r="N1015" s="131"/>
      <c r="O1015" s="131"/>
    </row>
    <row r="1016" spans="3:15" x14ac:dyDescent="0.3">
      <c r="C1016" s="18"/>
      <c r="D1016" s="33"/>
      <c r="E1016" s="127"/>
      <c r="F1016" s="128"/>
      <c r="G1016" s="128"/>
      <c r="H1016" s="129"/>
      <c r="I1016" s="130"/>
      <c r="J1016" s="23"/>
      <c r="K1016" s="23"/>
      <c r="L1016" s="23"/>
      <c r="M1016" s="131"/>
      <c r="N1016" s="131"/>
      <c r="O1016" s="131"/>
    </row>
    <row r="1017" spans="3:15" x14ac:dyDescent="0.3">
      <c r="C1017" s="18"/>
      <c r="D1017" s="33"/>
      <c r="E1017" s="127"/>
      <c r="F1017" s="128"/>
      <c r="G1017" s="128"/>
      <c r="H1017" s="129"/>
      <c r="I1017" s="130"/>
      <c r="J1017" s="23"/>
      <c r="K1017" s="23"/>
      <c r="L1017" s="23"/>
      <c r="M1017" s="131"/>
      <c r="N1017" s="131"/>
      <c r="O1017" s="131"/>
    </row>
    <row r="1018" spans="3:15" x14ac:dyDescent="0.3">
      <c r="C1018" s="18"/>
      <c r="D1018" s="33"/>
      <c r="E1018" s="127"/>
      <c r="F1018" s="128"/>
      <c r="G1018" s="128"/>
      <c r="H1018" s="129"/>
      <c r="I1018" s="130"/>
      <c r="J1018" s="23"/>
      <c r="K1018" s="23"/>
      <c r="L1018" s="23"/>
      <c r="M1018" s="131"/>
      <c r="N1018" s="131"/>
      <c r="O1018" s="131"/>
    </row>
    <row r="1019" spans="3:15" x14ac:dyDescent="0.3">
      <c r="C1019" s="18"/>
      <c r="D1019" s="33"/>
      <c r="E1019" s="127"/>
      <c r="F1019" s="128"/>
      <c r="G1019" s="128"/>
      <c r="H1019" s="129"/>
      <c r="I1019" s="130"/>
      <c r="J1019" s="23"/>
      <c r="K1019" s="23"/>
      <c r="L1019" s="23"/>
      <c r="M1019" s="131"/>
      <c r="N1019" s="131"/>
      <c r="O1019" s="131"/>
    </row>
    <row r="1020" spans="3:15" x14ac:dyDescent="0.3">
      <c r="C1020" s="18"/>
      <c r="D1020" s="33"/>
      <c r="E1020" s="127"/>
      <c r="F1020" s="128"/>
      <c r="G1020" s="128"/>
      <c r="H1020" s="129"/>
      <c r="I1020" s="130"/>
      <c r="J1020" s="23"/>
      <c r="K1020" s="23"/>
      <c r="L1020" s="23"/>
      <c r="M1020" s="131"/>
      <c r="N1020" s="131"/>
      <c r="O1020" s="131"/>
    </row>
    <row r="1021" spans="3:15" x14ac:dyDescent="0.3">
      <c r="C1021" s="18"/>
      <c r="D1021" s="33"/>
      <c r="E1021" s="127"/>
      <c r="F1021" s="128"/>
      <c r="G1021" s="128"/>
      <c r="H1021" s="129"/>
      <c r="I1021" s="130"/>
      <c r="J1021" s="23"/>
      <c r="K1021" s="23"/>
      <c r="L1021" s="23"/>
      <c r="M1021" s="131"/>
      <c r="N1021" s="131"/>
      <c r="O1021" s="131"/>
    </row>
    <row r="1022" spans="3:15" x14ac:dyDescent="0.3">
      <c r="C1022" s="18"/>
      <c r="D1022" s="33"/>
      <c r="E1022" s="127"/>
      <c r="F1022" s="128"/>
      <c r="G1022" s="128"/>
      <c r="H1022" s="129"/>
      <c r="I1022" s="130"/>
      <c r="J1022" s="23"/>
      <c r="K1022" s="23"/>
      <c r="L1022" s="23"/>
      <c r="M1022" s="131"/>
      <c r="N1022" s="131"/>
      <c r="O1022" s="131"/>
    </row>
    <row r="1023" spans="3:15" x14ac:dyDescent="0.3">
      <c r="C1023" s="18"/>
      <c r="D1023" s="33"/>
      <c r="E1023" s="127"/>
      <c r="F1023" s="128"/>
      <c r="G1023" s="128"/>
      <c r="H1023" s="129"/>
      <c r="I1023" s="130"/>
      <c r="J1023" s="23"/>
      <c r="K1023" s="23"/>
      <c r="L1023" s="23"/>
      <c r="M1023" s="131"/>
      <c r="N1023" s="131"/>
      <c r="O1023" s="131"/>
    </row>
    <row r="1024" spans="3:15" x14ac:dyDescent="0.3">
      <c r="C1024" s="18"/>
      <c r="D1024" s="33"/>
      <c r="E1024" s="127"/>
      <c r="F1024" s="128"/>
      <c r="G1024" s="128"/>
      <c r="H1024" s="129"/>
      <c r="I1024" s="130"/>
      <c r="J1024" s="23"/>
      <c r="K1024" s="23"/>
      <c r="L1024" s="23"/>
      <c r="M1024" s="131"/>
      <c r="N1024" s="131"/>
      <c r="O1024" s="131"/>
    </row>
    <row r="1025" spans="3:15" x14ac:dyDescent="0.3">
      <c r="C1025" s="18"/>
      <c r="D1025" s="33"/>
      <c r="E1025" s="127"/>
      <c r="F1025" s="128"/>
      <c r="G1025" s="128"/>
      <c r="H1025" s="129"/>
      <c r="I1025" s="130"/>
      <c r="J1025" s="23"/>
      <c r="K1025" s="23"/>
      <c r="L1025" s="23"/>
      <c r="M1025" s="131"/>
      <c r="N1025" s="131"/>
      <c r="O1025" s="131"/>
    </row>
    <row r="1026" spans="3:15" x14ac:dyDescent="0.3">
      <c r="C1026" s="18"/>
      <c r="D1026" s="33"/>
      <c r="E1026" s="127"/>
      <c r="F1026" s="128"/>
      <c r="G1026" s="128"/>
      <c r="H1026" s="129"/>
      <c r="I1026" s="130"/>
      <c r="J1026" s="23"/>
      <c r="K1026" s="23"/>
      <c r="L1026" s="23"/>
      <c r="M1026" s="131"/>
      <c r="N1026" s="131"/>
      <c r="O1026" s="131"/>
    </row>
    <row r="1027" spans="3:15" x14ac:dyDescent="0.3">
      <c r="C1027" s="18"/>
      <c r="D1027" s="33"/>
      <c r="E1027" s="127"/>
      <c r="F1027" s="128"/>
      <c r="G1027" s="128"/>
      <c r="H1027" s="129"/>
      <c r="I1027" s="130"/>
      <c r="J1027" s="23"/>
      <c r="K1027" s="23"/>
      <c r="L1027" s="23"/>
      <c r="M1027" s="131"/>
      <c r="N1027" s="131"/>
      <c r="O1027" s="131"/>
    </row>
    <row r="1028" spans="3:15" x14ac:dyDescent="0.3">
      <c r="C1028" s="18"/>
      <c r="D1028" s="33"/>
      <c r="E1028" s="127"/>
      <c r="F1028" s="128"/>
      <c r="G1028" s="128"/>
      <c r="H1028" s="129"/>
      <c r="I1028" s="130"/>
      <c r="J1028" s="23"/>
      <c r="K1028" s="23"/>
      <c r="L1028" s="23"/>
      <c r="M1028" s="131"/>
      <c r="N1028" s="131"/>
      <c r="O1028" s="131"/>
    </row>
    <row r="1029" spans="3:15" x14ac:dyDescent="0.3">
      <c r="C1029" s="18"/>
      <c r="D1029" s="33"/>
      <c r="E1029" s="127"/>
      <c r="F1029" s="128"/>
      <c r="G1029" s="128"/>
      <c r="H1029" s="129"/>
      <c r="I1029" s="130"/>
      <c r="J1029" s="23"/>
      <c r="K1029" s="23"/>
      <c r="L1029" s="23"/>
      <c r="M1029" s="131"/>
      <c r="N1029" s="131"/>
      <c r="O1029" s="131"/>
    </row>
    <row r="1030" spans="3:15" x14ac:dyDescent="0.3">
      <c r="C1030" s="18"/>
      <c r="D1030" s="33"/>
      <c r="E1030" s="127"/>
      <c r="F1030" s="128"/>
      <c r="G1030" s="128"/>
      <c r="H1030" s="129"/>
      <c r="I1030" s="130"/>
      <c r="J1030" s="23"/>
      <c r="K1030" s="23"/>
      <c r="L1030" s="23"/>
      <c r="M1030" s="131"/>
      <c r="N1030" s="131"/>
      <c r="O1030" s="131"/>
    </row>
    <row r="1031" spans="3:15" x14ac:dyDescent="0.3">
      <c r="C1031" s="18"/>
      <c r="D1031" s="33"/>
      <c r="E1031" s="127"/>
      <c r="F1031" s="128"/>
      <c r="G1031" s="128"/>
      <c r="H1031" s="129"/>
      <c r="I1031" s="130"/>
      <c r="J1031" s="23"/>
      <c r="K1031" s="23"/>
      <c r="L1031" s="23"/>
      <c r="M1031" s="131"/>
      <c r="N1031" s="131"/>
      <c r="O1031" s="131"/>
    </row>
    <row r="1032" spans="3:15" x14ac:dyDescent="0.3">
      <c r="C1032" s="18"/>
      <c r="D1032" s="33"/>
      <c r="E1032" s="127"/>
      <c r="F1032" s="128"/>
      <c r="G1032" s="128"/>
      <c r="H1032" s="129"/>
      <c r="I1032" s="130"/>
      <c r="J1032" s="23"/>
      <c r="K1032" s="23"/>
      <c r="L1032" s="23"/>
      <c r="M1032" s="131"/>
      <c r="N1032" s="131"/>
      <c r="O1032" s="131"/>
    </row>
    <row r="1033" spans="3:15" x14ac:dyDescent="0.3">
      <c r="C1033" s="18"/>
      <c r="D1033" s="33"/>
      <c r="E1033" s="127"/>
      <c r="F1033" s="128"/>
      <c r="G1033" s="128"/>
      <c r="H1033" s="129"/>
      <c r="I1033" s="130"/>
      <c r="J1033" s="23"/>
      <c r="K1033" s="23"/>
      <c r="L1033" s="23"/>
      <c r="M1033" s="131"/>
      <c r="N1033" s="131"/>
      <c r="O1033" s="131"/>
    </row>
    <row r="1034" spans="3:15" x14ac:dyDescent="0.3">
      <c r="C1034" s="18"/>
      <c r="D1034" s="33"/>
      <c r="E1034" s="127"/>
      <c r="F1034" s="128"/>
      <c r="G1034" s="128"/>
      <c r="H1034" s="129"/>
      <c r="I1034" s="130"/>
      <c r="J1034" s="23"/>
      <c r="K1034" s="23"/>
      <c r="L1034" s="23"/>
      <c r="M1034" s="131"/>
      <c r="N1034" s="131"/>
      <c r="O1034" s="131"/>
    </row>
    <row r="1035" spans="3:15" x14ac:dyDescent="0.3">
      <c r="C1035" s="18"/>
      <c r="D1035" s="33"/>
      <c r="E1035" s="127"/>
      <c r="F1035" s="128"/>
      <c r="G1035" s="128"/>
      <c r="H1035" s="129"/>
      <c r="I1035" s="130"/>
      <c r="J1035" s="23"/>
      <c r="K1035" s="23"/>
      <c r="L1035" s="23"/>
      <c r="M1035" s="131"/>
      <c r="N1035" s="131"/>
      <c r="O1035" s="131"/>
    </row>
    <row r="1036" spans="3:15" x14ac:dyDescent="0.3">
      <c r="C1036" s="18"/>
      <c r="D1036" s="33"/>
      <c r="E1036" s="127"/>
      <c r="F1036" s="128"/>
      <c r="G1036" s="128"/>
      <c r="H1036" s="129"/>
      <c r="I1036" s="130"/>
      <c r="J1036" s="23"/>
      <c r="K1036" s="23"/>
      <c r="L1036" s="23"/>
      <c r="M1036" s="131"/>
      <c r="N1036" s="131"/>
      <c r="O1036" s="131"/>
    </row>
    <row r="1037" spans="3:15" x14ac:dyDescent="0.3">
      <c r="C1037" s="18"/>
      <c r="D1037" s="33"/>
      <c r="E1037" s="127"/>
      <c r="F1037" s="128"/>
      <c r="G1037" s="128"/>
      <c r="H1037" s="129"/>
      <c r="I1037" s="130"/>
      <c r="J1037" s="23"/>
      <c r="K1037" s="23"/>
      <c r="L1037" s="23"/>
      <c r="M1037" s="131"/>
      <c r="N1037" s="131"/>
      <c r="O1037" s="131"/>
    </row>
    <row r="1038" spans="3:15" x14ac:dyDescent="0.3">
      <c r="C1038" s="18"/>
      <c r="D1038" s="33"/>
      <c r="E1038" s="127"/>
      <c r="F1038" s="128"/>
      <c r="G1038" s="128"/>
      <c r="H1038" s="129"/>
      <c r="I1038" s="130"/>
      <c r="J1038" s="23"/>
      <c r="K1038" s="23"/>
      <c r="L1038" s="23"/>
      <c r="M1038" s="131"/>
      <c r="N1038" s="131"/>
      <c r="O1038" s="131"/>
    </row>
    <row r="1039" spans="3:15" x14ac:dyDescent="0.3">
      <c r="C1039" s="18"/>
      <c r="D1039" s="33"/>
      <c r="E1039" s="127"/>
      <c r="F1039" s="128"/>
      <c r="G1039" s="128"/>
      <c r="H1039" s="129"/>
      <c r="I1039" s="130"/>
      <c r="J1039" s="23"/>
      <c r="K1039" s="23"/>
      <c r="L1039" s="23"/>
      <c r="M1039" s="131"/>
      <c r="N1039" s="131"/>
      <c r="O1039" s="131"/>
    </row>
    <row r="1040" spans="3:15" x14ac:dyDescent="0.3">
      <c r="C1040" s="18"/>
      <c r="D1040" s="33"/>
      <c r="E1040" s="127"/>
      <c r="F1040" s="128"/>
      <c r="G1040" s="128"/>
      <c r="H1040" s="129"/>
      <c r="I1040" s="130"/>
      <c r="J1040" s="23"/>
      <c r="K1040" s="23"/>
      <c r="L1040" s="23"/>
      <c r="M1040" s="131"/>
      <c r="N1040" s="131"/>
      <c r="O1040" s="131"/>
    </row>
    <row r="1041" spans="3:15" x14ac:dyDescent="0.3">
      <c r="C1041" s="18"/>
      <c r="D1041" s="33"/>
      <c r="E1041" s="127"/>
      <c r="F1041" s="128"/>
      <c r="G1041" s="128"/>
      <c r="H1041" s="129"/>
      <c r="I1041" s="130"/>
      <c r="J1041" s="23"/>
      <c r="K1041" s="23"/>
      <c r="L1041" s="23"/>
      <c r="M1041" s="131"/>
      <c r="N1041" s="131"/>
      <c r="O1041" s="131"/>
    </row>
    <row r="1042" spans="3:15" x14ac:dyDescent="0.3">
      <c r="C1042" s="18"/>
      <c r="D1042" s="33"/>
      <c r="E1042" s="127"/>
      <c r="F1042" s="128"/>
      <c r="G1042" s="128"/>
      <c r="H1042" s="129"/>
      <c r="I1042" s="130"/>
      <c r="J1042" s="23"/>
      <c r="K1042" s="23"/>
      <c r="L1042" s="23"/>
      <c r="M1042" s="131"/>
      <c r="N1042" s="131"/>
      <c r="O1042" s="131"/>
    </row>
    <row r="1043" spans="3:15" x14ac:dyDescent="0.3">
      <c r="C1043" s="18"/>
      <c r="D1043" s="33"/>
      <c r="E1043" s="127"/>
      <c r="F1043" s="128"/>
      <c r="G1043" s="128"/>
      <c r="H1043" s="129"/>
      <c r="I1043" s="130"/>
      <c r="J1043" s="23"/>
      <c r="K1043" s="23"/>
      <c r="L1043" s="23"/>
      <c r="M1043" s="131"/>
      <c r="N1043" s="131"/>
      <c r="O1043" s="131"/>
    </row>
    <row r="1044" spans="3:15" x14ac:dyDescent="0.3">
      <c r="C1044" s="18"/>
      <c r="D1044" s="33"/>
      <c r="E1044" s="127"/>
      <c r="F1044" s="128"/>
      <c r="G1044" s="128"/>
      <c r="H1044" s="129"/>
      <c r="I1044" s="130"/>
      <c r="J1044" s="23"/>
      <c r="K1044" s="23"/>
      <c r="L1044" s="23"/>
      <c r="M1044" s="131"/>
      <c r="N1044" s="131"/>
      <c r="O1044" s="131"/>
    </row>
    <row r="1045" spans="3:15" x14ac:dyDescent="0.3">
      <c r="C1045" s="18"/>
      <c r="D1045" s="33"/>
      <c r="E1045" s="127"/>
      <c r="F1045" s="128"/>
      <c r="G1045" s="128"/>
      <c r="H1045" s="129"/>
      <c r="I1045" s="130"/>
      <c r="J1045" s="23"/>
      <c r="K1045" s="23"/>
      <c r="L1045" s="23"/>
      <c r="M1045" s="131"/>
      <c r="N1045" s="131"/>
      <c r="O1045" s="131"/>
    </row>
    <row r="1046" spans="3:15" x14ac:dyDescent="0.3">
      <c r="C1046" s="18"/>
      <c r="D1046" s="33"/>
      <c r="E1046" s="127"/>
      <c r="F1046" s="128"/>
      <c r="G1046" s="128"/>
      <c r="H1046" s="129"/>
      <c r="I1046" s="130"/>
      <c r="J1046" s="23"/>
      <c r="K1046" s="23"/>
      <c r="L1046" s="23"/>
      <c r="M1046" s="131"/>
      <c r="N1046" s="131"/>
      <c r="O1046" s="131"/>
    </row>
    <row r="1047" spans="3:15" x14ac:dyDescent="0.3">
      <c r="C1047" s="18"/>
      <c r="D1047" s="33"/>
      <c r="E1047" s="127"/>
      <c r="F1047" s="128"/>
      <c r="G1047" s="128"/>
      <c r="H1047" s="129"/>
      <c r="I1047" s="130"/>
      <c r="J1047" s="23"/>
      <c r="K1047" s="23"/>
      <c r="L1047" s="23"/>
      <c r="M1047" s="131"/>
      <c r="N1047" s="131"/>
      <c r="O1047" s="131"/>
    </row>
    <row r="1048" spans="3:15" x14ac:dyDescent="0.3">
      <c r="C1048" s="18"/>
      <c r="D1048" s="33"/>
      <c r="E1048" s="127"/>
      <c r="F1048" s="128"/>
      <c r="G1048" s="128"/>
      <c r="H1048" s="129"/>
      <c r="I1048" s="130"/>
      <c r="J1048" s="23"/>
      <c r="K1048" s="23"/>
      <c r="L1048" s="23"/>
      <c r="M1048" s="131"/>
      <c r="N1048" s="131"/>
      <c r="O1048" s="131"/>
    </row>
    <row r="1049" spans="3:15" x14ac:dyDescent="0.3">
      <c r="C1049" s="18"/>
      <c r="D1049" s="33"/>
      <c r="E1049" s="127"/>
      <c r="F1049" s="128"/>
      <c r="G1049" s="128"/>
      <c r="H1049" s="129"/>
      <c r="I1049" s="130"/>
      <c r="J1049" s="23"/>
      <c r="K1049" s="23"/>
      <c r="L1049" s="23"/>
      <c r="M1049" s="131"/>
      <c r="N1049" s="131"/>
      <c r="O1049" s="131"/>
    </row>
    <row r="1050" spans="3:15" x14ac:dyDescent="0.3">
      <c r="C1050" s="18"/>
      <c r="D1050" s="33"/>
      <c r="E1050" s="127"/>
      <c r="F1050" s="128"/>
      <c r="G1050" s="128"/>
      <c r="H1050" s="129"/>
      <c r="I1050" s="130"/>
      <c r="J1050" s="23"/>
      <c r="K1050" s="23"/>
      <c r="L1050" s="23"/>
      <c r="M1050" s="131"/>
      <c r="N1050" s="131"/>
      <c r="O1050" s="131"/>
    </row>
    <row r="1051" spans="3:15" x14ac:dyDescent="0.3">
      <c r="C1051" s="18"/>
      <c r="D1051" s="33"/>
      <c r="E1051" s="127"/>
      <c r="F1051" s="128"/>
      <c r="G1051" s="128"/>
      <c r="H1051" s="129"/>
      <c r="I1051" s="130"/>
      <c r="J1051" s="23"/>
      <c r="K1051" s="23"/>
      <c r="L1051" s="23"/>
      <c r="M1051" s="131"/>
      <c r="N1051" s="131"/>
      <c r="O1051" s="131"/>
    </row>
    <row r="1052" spans="3:15" x14ac:dyDescent="0.3">
      <c r="C1052" s="18"/>
      <c r="D1052" s="33"/>
      <c r="E1052" s="127"/>
      <c r="F1052" s="128"/>
      <c r="G1052" s="128"/>
      <c r="H1052" s="129"/>
      <c r="I1052" s="130"/>
      <c r="J1052" s="23"/>
      <c r="K1052" s="23"/>
      <c r="L1052" s="23"/>
      <c r="M1052" s="131"/>
      <c r="N1052" s="131"/>
      <c r="O1052" s="131"/>
    </row>
    <row r="1053" spans="3:15" x14ac:dyDescent="0.3">
      <c r="C1053" s="18"/>
      <c r="D1053" s="33"/>
      <c r="E1053" s="127"/>
      <c r="F1053" s="128"/>
      <c r="G1053" s="128"/>
      <c r="H1053" s="129"/>
      <c r="I1053" s="130"/>
      <c r="J1053" s="23"/>
      <c r="K1053" s="23"/>
      <c r="L1053" s="23"/>
      <c r="M1053" s="131"/>
      <c r="N1053" s="131"/>
      <c r="O1053" s="131"/>
    </row>
    <row r="1054" spans="3:15" x14ac:dyDescent="0.3">
      <c r="C1054" s="18"/>
      <c r="D1054" s="33"/>
      <c r="E1054" s="127"/>
      <c r="F1054" s="128"/>
      <c r="G1054" s="128"/>
      <c r="H1054" s="129"/>
      <c r="I1054" s="130"/>
      <c r="J1054" s="23"/>
      <c r="K1054" s="23"/>
      <c r="L1054" s="23"/>
      <c r="M1054" s="131"/>
      <c r="N1054" s="131"/>
      <c r="O1054" s="131"/>
    </row>
    <row r="1055" spans="3:15" x14ac:dyDescent="0.3">
      <c r="C1055" s="18"/>
      <c r="D1055" s="33"/>
      <c r="E1055" s="127"/>
      <c r="F1055" s="128"/>
      <c r="G1055" s="128"/>
      <c r="H1055" s="129"/>
      <c r="I1055" s="130"/>
      <c r="J1055" s="23"/>
      <c r="K1055" s="23"/>
      <c r="L1055" s="23"/>
      <c r="M1055" s="131"/>
      <c r="N1055" s="131"/>
      <c r="O1055" s="131"/>
    </row>
    <row r="1056" spans="3:15" x14ac:dyDescent="0.3">
      <c r="C1056" s="18"/>
      <c r="D1056" s="33"/>
      <c r="E1056" s="127"/>
      <c r="F1056" s="128"/>
      <c r="G1056" s="128"/>
      <c r="H1056" s="129"/>
      <c r="I1056" s="130"/>
      <c r="J1056" s="23"/>
      <c r="K1056" s="23"/>
      <c r="L1056" s="23"/>
      <c r="M1056" s="131"/>
      <c r="N1056" s="131"/>
      <c r="O1056" s="131"/>
    </row>
    <row r="1057" spans="3:15" x14ac:dyDescent="0.3">
      <c r="C1057" s="18"/>
      <c r="D1057" s="33"/>
      <c r="E1057" s="127"/>
      <c r="F1057" s="128"/>
      <c r="G1057" s="128"/>
      <c r="H1057" s="129"/>
      <c r="I1057" s="130"/>
      <c r="J1057" s="23"/>
      <c r="K1057" s="23"/>
      <c r="L1057" s="23"/>
      <c r="M1057" s="131"/>
      <c r="N1057" s="131"/>
      <c r="O1057" s="131"/>
    </row>
    <row r="1058" spans="3:15" x14ac:dyDescent="0.3">
      <c r="C1058" s="18"/>
      <c r="D1058" s="33"/>
      <c r="E1058" s="127"/>
      <c r="F1058" s="128"/>
      <c r="G1058" s="128"/>
      <c r="H1058" s="129"/>
      <c r="I1058" s="130"/>
      <c r="J1058" s="23"/>
      <c r="K1058" s="23"/>
      <c r="L1058" s="23"/>
      <c r="M1058" s="131"/>
      <c r="N1058" s="131"/>
      <c r="O1058" s="131"/>
    </row>
    <row r="1059" spans="3:15" x14ac:dyDescent="0.3">
      <c r="C1059" s="18"/>
      <c r="D1059" s="33"/>
      <c r="E1059" s="127"/>
      <c r="F1059" s="128"/>
      <c r="G1059" s="128"/>
      <c r="H1059" s="129"/>
      <c r="I1059" s="130"/>
      <c r="J1059" s="23"/>
      <c r="K1059" s="23"/>
      <c r="L1059" s="23"/>
      <c r="M1059" s="131"/>
      <c r="N1059" s="131"/>
      <c r="O1059" s="131"/>
    </row>
    <row r="1060" spans="3:15" x14ac:dyDescent="0.3">
      <c r="C1060" s="18"/>
      <c r="D1060" s="33"/>
      <c r="E1060" s="127"/>
      <c r="F1060" s="128"/>
      <c r="G1060" s="128"/>
      <c r="H1060" s="129"/>
      <c r="I1060" s="130"/>
      <c r="J1060" s="23"/>
      <c r="K1060" s="23"/>
      <c r="L1060" s="23"/>
      <c r="M1060" s="131"/>
      <c r="N1060" s="131"/>
      <c r="O1060" s="131"/>
    </row>
    <row r="1061" spans="3:15" x14ac:dyDescent="0.3">
      <c r="C1061" s="18"/>
      <c r="D1061" s="33"/>
      <c r="E1061" s="127"/>
      <c r="F1061" s="128"/>
      <c r="G1061" s="128"/>
      <c r="H1061" s="129"/>
      <c r="I1061" s="130"/>
      <c r="J1061" s="23"/>
      <c r="K1061" s="23"/>
      <c r="L1061" s="23"/>
      <c r="M1061" s="131"/>
      <c r="N1061" s="131"/>
      <c r="O1061" s="131"/>
    </row>
    <row r="1062" spans="3:15" x14ac:dyDescent="0.3">
      <c r="C1062" s="18"/>
      <c r="D1062" s="33"/>
      <c r="E1062" s="127"/>
      <c r="F1062" s="128"/>
      <c r="G1062" s="128"/>
      <c r="H1062" s="129"/>
      <c r="I1062" s="130"/>
      <c r="J1062" s="23"/>
      <c r="K1062" s="23"/>
      <c r="L1062" s="23"/>
      <c r="M1062" s="131"/>
      <c r="N1062" s="131"/>
      <c r="O1062" s="131"/>
    </row>
    <row r="1063" spans="3:15" x14ac:dyDescent="0.3">
      <c r="C1063" s="18"/>
      <c r="D1063" s="33"/>
      <c r="E1063" s="127"/>
      <c r="F1063" s="128"/>
      <c r="G1063" s="128"/>
      <c r="H1063" s="129"/>
      <c r="I1063" s="130"/>
      <c r="J1063" s="23"/>
      <c r="K1063" s="23"/>
      <c r="L1063" s="23"/>
      <c r="M1063" s="131"/>
      <c r="N1063" s="131"/>
      <c r="O1063" s="131"/>
    </row>
    <row r="1064" spans="3:15" x14ac:dyDescent="0.3">
      <c r="C1064" s="18"/>
      <c r="D1064" s="33"/>
      <c r="E1064" s="127"/>
      <c r="F1064" s="128"/>
      <c r="G1064" s="128"/>
      <c r="H1064" s="129"/>
      <c r="I1064" s="130"/>
      <c r="J1064" s="23"/>
      <c r="K1064" s="23"/>
      <c r="L1064" s="23"/>
      <c r="M1064" s="131"/>
      <c r="N1064" s="131"/>
      <c r="O1064" s="131"/>
    </row>
    <row r="1065" spans="3:15" x14ac:dyDescent="0.3">
      <c r="C1065" s="18"/>
      <c r="D1065" s="33"/>
      <c r="E1065" s="127"/>
      <c r="F1065" s="128"/>
      <c r="G1065" s="128"/>
      <c r="H1065" s="129"/>
      <c r="I1065" s="130"/>
      <c r="J1065" s="23"/>
      <c r="K1065" s="23"/>
      <c r="L1065" s="23"/>
      <c r="M1065" s="131"/>
      <c r="N1065" s="131"/>
      <c r="O1065" s="131"/>
    </row>
    <row r="1066" spans="3:15" x14ac:dyDescent="0.3">
      <c r="C1066" s="18"/>
      <c r="D1066" s="33"/>
      <c r="E1066" s="127"/>
      <c r="F1066" s="128"/>
      <c r="G1066" s="128"/>
      <c r="H1066" s="129"/>
      <c r="I1066" s="130"/>
      <c r="J1066" s="23"/>
      <c r="K1066" s="23"/>
      <c r="L1066" s="23"/>
      <c r="M1066" s="131"/>
      <c r="N1066" s="131"/>
      <c r="O1066" s="131"/>
    </row>
    <row r="1067" spans="3:15" x14ac:dyDescent="0.3">
      <c r="C1067" s="18"/>
      <c r="D1067" s="33"/>
      <c r="E1067" s="127"/>
      <c r="F1067" s="128"/>
      <c r="G1067" s="128"/>
      <c r="H1067" s="129"/>
      <c r="I1067" s="130"/>
      <c r="J1067" s="23"/>
      <c r="K1067" s="23"/>
      <c r="L1067" s="23"/>
      <c r="M1067" s="131"/>
      <c r="N1067" s="131"/>
      <c r="O1067" s="131"/>
    </row>
    <row r="1068" spans="3:15" x14ac:dyDescent="0.3">
      <c r="C1068" s="18"/>
      <c r="D1068" s="33"/>
      <c r="E1068" s="127"/>
      <c r="F1068" s="128"/>
      <c r="G1068" s="128"/>
      <c r="H1068" s="129"/>
      <c r="I1068" s="130"/>
      <c r="J1068" s="23"/>
      <c r="K1068" s="23"/>
      <c r="L1068" s="23"/>
      <c r="M1068" s="131"/>
      <c r="N1068" s="131"/>
      <c r="O1068" s="131"/>
    </row>
    <row r="1069" spans="3:15" x14ac:dyDescent="0.3">
      <c r="C1069" s="18"/>
      <c r="D1069" s="33"/>
      <c r="E1069" s="127"/>
      <c r="F1069" s="128"/>
      <c r="G1069" s="128"/>
      <c r="H1069" s="129"/>
      <c r="I1069" s="130"/>
      <c r="J1069" s="23"/>
      <c r="K1069" s="23"/>
      <c r="L1069" s="23"/>
      <c r="M1069" s="131"/>
      <c r="N1069" s="131"/>
      <c r="O1069" s="131"/>
    </row>
    <row r="1070" spans="3:15" x14ac:dyDescent="0.3">
      <c r="C1070" s="18"/>
      <c r="D1070" s="33"/>
      <c r="E1070" s="127"/>
      <c r="F1070" s="128"/>
      <c r="G1070" s="128"/>
      <c r="H1070" s="129"/>
      <c r="I1070" s="130"/>
      <c r="J1070" s="23"/>
      <c r="K1070" s="23"/>
      <c r="L1070" s="23"/>
      <c r="M1070" s="131"/>
      <c r="N1070" s="131"/>
      <c r="O1070" s="131"/>
    </row>
    <row r="1071" spans="3:15" x14ac:dyDescent="0.3">
      <c r="C1071" s="18"/>
      <c r="D1071" s="33"/>
      <c r="E1071" s="127"/>
      <c r="F1071" s="128"/>
      <c r="G1071" s="128"/>
      <c r="H1071" s="129"/>
      <c r="I1071" s="130"/>
      <c r="J1071" s="23"/>
      <c r="K1071" s="23"/>
      <c r="L1071" s="23"/>
      <c r="M1071" s="131"/>
      <c r="N1071" s="131"/>
      <c r="O1071" s="131"/>
    </row>
    <row r="1072" spans="3:15" x14ac:dyDescent="0.3">
      <c r="C1072" s="18"/>
      <c r="D1072" s="33"/>
      <c r="E1072" s="127"/>
      <c r="F1072" s="128"/>
      <c r="G1072" s="128"/>
      <c r="H1072" s="129"/>
      <c r="I1072" s="130"/>
      <c r="J1072" s="23"/>
      <c r="K1072" s="23"/>
      <c r="L1072" s="23"/>
      <c r="M1072" s="131"/>
      <c r="N1072" s="131"/>
      <c r="O1072" s="131"/>
    </row>
    <row r="1073" spans="3:15" x14ac:dyDescent="0.3">
      <c r="C1073" s="18"/>
      <c r="D1073" s="33"/>
      <c r="E1073" s="127"/>
      <c r="F1073" s="128"/>
      <c r="G1073" s="128"/>
      <c r="H1073" s="129"/>
      <c r="I1073" s="130"/>
      <c r="J1073" s="23"/>
      <c r="K1073" s="23"/>
      <c r="L1073" s="23"/>
      <c r="M1073" s="131"/>
      <c r="N1073" s="131"/>
      <c r="O1073" s="131"/>
    </row>
    <row r="1074" spans="3:15" x14ac:dyDescent="0.3">
      <c r="C1074" s="18"/>
      <c r="D1074" s="33"/>
      <c r="E1074" s="127"/>
      <c r="F1074" s="128"/>
      <c r="G1074" s="128"/>
      <c r="H1074" s="129"/>
      <c r="I1074" s="130"/>
      <c r="J1074" s="23"/>
      <c r="K1074" s="23"/>
      <c r="L1074" s="23"/>
      <c r="M1074" s="131"/>
      <c r="N1074" s="131"/>
      <c r="O1074" s="131"/>
    </row>
    <row r="1075" spans="3:15" x14ac:dyDescent="0.3">
      <c r="C1075" s="18"/>
      <c r="D1075" s="33"/>
      <c r="E1075" s="127"/>
      <c r="F1075" s="128"/>
      <c r="G1075" s="128"/>
      <c r="H1075" s="129"/>
      <c r="I1075" s="130"/>
      <c r="J1075" s="23"/>
      <c r="K1075" s="23"/>
      <c r="L1075" s="23"/>
      <c r="M1075" s="131"/>
      <c r="N1075" s="131"/>
      <c r="O1075" s="131"/>
    </row>
    <row r="1076" spans="3:15" x14ac:dyDescent="0.3">
      <c r="C1076" s="18"/>
      <c r="D1076" s="33"/>
      <c r="E1076" s="127"/>
      <c r="F1076" s="128"/>
      <c r="G1076" s="128"/>
      <c r="H1076" s="129"/>
      <c r="I1076" s="130"/>
      <c r="J1076" s="23"/>
      <c r="K1076" s="23"/>
      <c r="L1076" s="23"/>
      <c r="M1076" s="131"/>
      <c r="N1076" s="131"/>
      <c r="O1076" s="131"/>
    </row>
    <row r="1077" spans="3:15" x14ac:dyDescent="0.3">
      <c r="C1077" s="18"/>
      <c r="D1077" s="33"/>
      <c r="E1077" s="127"/>
      <c r="F1077" s="128"/>
      <c r="G1077" s="128"/>
      <c r="H1077" s="129"/>
      <c r="I1077" s="130"/>
      <c r="J1077" s="23"/>
      <c r="K1077" s="23"/>
      <c r="L1077" s="23"/>
      <c r="M1077" s="131"/>
      <c r="N1077" s="131"/>
      <c r="O1077" s="131"/>
    </row>
    <row r="1078" spans="3:15" x14ac:dyDescent="0.3">
      <c r="C1078" s="18"/>
      <c r="D1078" s="33"/>
      <c r="E1078" s="127"/>
      <c r="F1078" s="128"/>
      <c r="G1078" s="128"/>
      <c r="H1078" s="129"/>
      <c r="I1078" s="130"/>
      <c r="J1078" s="23"/>
      <c r="K1078" s="23"/>
      <c r="L1078" s="23"/>
      <c r="M1078" s="131"/>
      <c r="N1078" s="131"/>
      <c r="O1078" s="131"/>
    </row>
    <row r="1079" spans="3:15" x14ac:dyDescent="0.3">
      <c r="C1079" s="18"/>
      <c r="D1079" s="33"/>
      <c r="E1079" s="127"/>
      <c r="F1079" s="128"/>
      <c r="G1079" s="128"/>
      <c r="H1079" s="129"/>
      <c r="I1079" s="130"/>
      <c r="J1079" s="23"/>
      <c r="K1079" s="23"/>
      <c r="L1079" s="23"/>
      <c r="M1079" s="131"/>
      <c r="N1079" s="131"/>
      <c r="O1079" s="131"/>
    </row>
    <row r="1080" spans="3:15" x14ac:dyDescent="0.3">
      <c r="C1080" s="18"/>
      <c r="D1080" s="33"/>
      <c r="E1080" s="127"/>
      <c r="F1080" s="128"/>
      <c r="G1080" s="128"/>
      <c r="H1080" s="129"/>
      <c r="I1080" s="130"/>
      <c r="J1080" s="23"/>
      <c r="K1080" s="23"/>
      <c r="L1080" s="23"/>
      <c r="M1080" s="131"/>
      <c r="N1080" s="131"/>
      <c r="O1080" s="131"/>
    </row>
    <row r="1081" spans="3:15" x14ac:dyDescent="0.3">
      <c r="C1081" s="18"/>
      <c r="D1081" s="33"/>
      <c r="E1081" s="127"/>
      <c r="F1081" s="128"/>
      <c r="G1081" s="128"/>
      <c r="H1081" s="129"/>
      <c r="I1081" s="130"/>
      <c r="J1081" s="23"/>
      <c r="K1081" s="23"/>
      <c r="L1081" s="23"/>
      <c r="M1081" s="131"/>
      <c r="N1081" s="131"/>
      <c r="O1081" s="131"/>
    </row>
    <row r="1082" spans="3:15" x14ac:dyDescent="0.3">
      <c r="C1082" s="18"/>
      <c r="D1082" s="33"/>
      <c r="E1082" s="127"/>
      <c r="F1082" s="128"/>
      <c r="G1082" s="128"/>
      <c r="H1082" s="129"/>
      <c r="I1082" s="130"/>
      <c r="J1082" s="23"/>
      <c r="K1082" s="23"/>
      <c r="L1082" s="23"/>
      <c r="M1082" s="131"/>
      <c r="N1082" s="131"/>
      <c r="O1082" s="131"/>
    </row>
    <row r="1083" spans="3:15" x14ac:dyDescent="0.3">
      <c r="C1083" s="18"/>
      <c r="D1083" s="33"/>
      <c r="E1083" s="127"/>
      <c r="F1083" s="128"/>
      <c r="G1083" s="128"/>
      <c r="H1083" s="129"/>
      <c r="I1083" s="130"/>
      <c r="J1083" s="23"/>
      <c r="K1083" s="23"/>
      <c r="L1083" s="23"/>
      <c r="M1083" s="131"/>
      <c r="N1083" s="131"/>
      <c r="O1083" s="131"/>
    </row>
    <row r="1084" spans="3:15" x14ac:dyDescent="0.3">
      <c r="C1084" s="18"/>
      <c r="D1084" s="33"/>
      <c r="E1084" s="127"/>
      <c r="F1084" s="128"/>
      <c r="G1084" s="128"/>
      <c r="H1084" s="129"/>
      <c r="I1084" s="130"/>
      <c r="J1084" s="23"/>
      <c r="K1084" s="23"/>
      <c r="L1084" s="23"/>
      <c r="M1084" s="131"/>
      <c r="N1084" s="131"/>
      <c r="O1084" s="131"/>
    </row>
    <row r="1085" spans="3:15" x14ac:dyDescent="0.3">
      <c r="C1085" s="18"/>
      <c r="D1085" s="33"/>
      <c r="E1085" s="127"/>
      <c r="F1085" s="128"/>
      <c r="G1085" s="128"/>
      <c r="H1085" s="129"/>
      <c r="I1085" s="130"/>
      <c r="J1085" s="23"/>
      <c r="K1085" s="23"/>
      <c r="L1085" s="23"/>
      <c r="M1085" s="131"/>
      <c r="N1085" s="131"/>
      <c r="O1085" s="131"/>
    </row>
    <row r="1086" spans="3:15" x14ac:dyDescent="0.3">
      <c r="C1086" s="18"/>
      <c r="D1086" s="33"/>
      <c r="E1086" s="127"/>
      <c r="F1086" s="128"/>
      <c r="G1086" s="128"/>
      <c r="H1086" s="129"/>
      <c r="I1086" s="130"/>
      <c r="J1086" s="23"/>
      <c r="K1086" s="23"/>
      <c r="L1086" s="23"/>
      <c r="M1086" s="131"/>
      <c r="N1086" s="131"/>
      <c r="O1086" s="131"/>
    </row>
    <row r="1087" spans="3:15" x14ac:dyDescent="0.3">
      <c r="C1087" s="18"/>
      <c r="D1087" s="33"/>
      <c r="E1087" s="127"/>
      <c r="F1087" s="128"/>
      <c r="G1087" s="128"/>
      <c r="H1087" s="129"/>
      <c r="I1087" s="130"/>
      <c r="J1087" s="23"/>
      <c r="K1087" s="23"/>
      <c r="L1087" s="23"/>
      <c r="M1087" s="131"/>
      <c r="N1087" s="131"/>
      <c r="O1087" s="131"/>
    </row>
    <row r="1088" spans="3:15" x14ac:dyDescent="0.3">
      <c r="C1088" s="18"/>
      <c r="D1088" s="33"/>
      <c r="E1088" s="127"/>
      <c r="F1088" s="128"/>
      <c r="G1088" s="128"/>
      <c r="H1088" s="129"/>
      <c r="I1088" s="130"/>
      <c r="J1088" s="23"/>
      <c r="K1088" s="23"/>
      <c r="L1088" s="23"/>
      <c r="M1088" s="131"/>
      <c r="N1088" s="131"/>
      <c r="O1088" s="131"/>
    </row>
    <row r="1089" spans="3:15" x14ac:dyDescent="0.3">
      <c r="C1089" s="18"/>
      <c r="D1089" s="33"/>
      <c r="E1089" s="127"/>
      <c r="F1089" s="128"/>
      <c r="G1089" s="128"/>
      <c r="H1089" s="129"/>
      <c r="I1089" s="130"/>
      <c r="J1089" s="23"/>
      <c r="K1089" s="23"/>
      <c r="L1089" s="23"/>
      <c r="M1089" s="131"/>
      <c r="N1089" s="131"/>
      <c r="O1089" s="131"/>
    </row>
    <row r="1090" spans="3:15" x14ac:dyDescent="0.3">
      <c r="C1090" s="18"/>
      <c r="D1090" s="33"/>
      <c r="E1090" s="127"/>
      <c r="F1090" s="128"/>
      <c r="G1090" s="128"/>
      <c r="H1090" s="129"/>
      <c r="I1090" s="130"/>
      <c r="J1090" s="23"/>
      <c r="K1090" s="23"/>
      <c r="L1090" s="23"/>
      <c r="M1090" s="131"/>
      <c r="N1090" s="131"/>
      <c r="O1090" s="131"/>
    </row>
    <row r="1091" spans="3:15" x14ac:dyDescent="0.3">
      <c r="C1091" s="18"/>
      <c r="D1091" s="33"/>
      <c r="E1091" s="127"/>
      <c r="F1091" s="128"/>
      <c r="G1091" s="128"/>
      <c r="H1091" s="129"/>
      <c r="I1091" s="130"/>
      <c r="J1091" s="23"/>
      <c r="K1091" s="23"/>
      <c r="L1091" s="23"/>
      <c r="M1091" s="131"/>
      <c r="N1091" s="131"/>
      <c r="O1091" s="131"/>
    </row>
    <row r="1092" spans="3:15" x14ac:dyDescent="0.3">
      <c r="C1092" s="18"/>
      <c r="D1092" s="33"/>
      <c r="E1092" s="127"/>
      <c r="F1092" s="128"/>
      <c r="G1092" s="128"/>
      <c r="H1092" s="129"/>
      <c r="I1092" s="130"/>
      <c r="J1092" s="23"/>
      <c r="K1092" s="23"/>
      <c r="L1092" s="23"/>
      <c r="M1092" s="131"/>
      <c r="N1092" s="131"/>
      <c r="O1092" s="131"/>
    </row>
    <row r="1093" spans="3:15" x14ac:dyDescent="0.3">
      <c r="C1093" s="18"/>
      <c r="D1093" s="33"/>
      <c r="E1093" s="127"/>
      <c r="F1093" s="128"/>
      <c r="G1093" s="128"/>
      <c r="H1093" s="129"/>
      <c r="I1093" s="130"/>
      <c r="J1093" s="23"/>
      <c r="K1093" s="23"/>
      <c r="L1093" s="23"/>
      <c r="M1093" s="131"/>
      <c r="N1093" s="131"/>
      <c r="O1093" s="131"/>
    </row>
    <row r="1094" spans="3:15" x14ac:dyDescent="0.3">
      <c r="C1094" s="18"/>
      <c r="D1094" s="33"/>
      <c r="E1094" s="127"/>
      <c r="F1094" s="128"/>
      <c r="G1094" s="128"/>
      <c r="H1094" s="129"/>
      <c r="I1094" s="130"/>
      <c r="J1094" s="23"/>
      <c r="K1094" s="23"/>
      <c r="L1094" s="23"/>
      <c r="M1094" s="131"/>
      <c r="N1094" s="131"/>
      <c r="O1094" s="131"/>
    </row>
    <row r="1095" spans="3:15" x14ac:dyDescent="0.3">
      <c r="C1095" s="18"/>
      <c r="D1095" s="33"/>
      <c r="E1095" s="127"/>
      <c r="F1095" s="128"/>
      <c r="G1095" s="128"/>
      <c r="H1095" s="129"/>
      <c r="I1095" s="130"/>
      <c r="J1095" s="23"/>
      <c r="K1095" s="23"/>
      <c r="L1095" s="23"/>
      <c r="M1095" s="131"/>
      <c r="N1095" s="131"/>
      <c r="O1095" s="131"/>
    </row>
    <row r="1096" spans="3:15" x14ac:dyDescent="0.3">
      <c r="C1096" s="18"/>
      <c r="D1096" s="33"/>
      <c r="E1096" s="127"/>
      <c r="F1096" s="128"/>
      <c r="G1096" s="128"/>
      <c r="H1096" s="129"/>
      <c r="I1096" s="130"/>
      <c r="J1096" s="23"/>
      <c r="K1096" s="23"/>
      <c r="L1096" s="23"/>
      <c r="M1096" s="131"/>
      <c r="N1096" s="131"/>
      <c r="O1096" s="131"/>
    </row>
    <row r="1097" spans="3:15" x14ac:dyDescent="0.3">
      <c r="C1097" s="18"/>
      <c r="D1097" s="33"/>
      <c r="E1097" s="127"/>
      <c r="F1097" s="128"/>
      <c r="G1097" s="128"/>
      <c r="H1097" s="129"/>
      <c r="I1097" s="130"/>
      <c r="J1097" s="23"/>
      <c r="K1097" s="23"/>
      <c r="L1097" s="23"/>
      <c r="M1097" s="131"/>
      <c r="N1097" s="131"/>
      <c r="O1097" s="131"/>
    </row>
    <row r="1098" spans="3:15" x14ac:dyDescent="0.3">
      <c r="C1098" s="18"/>
      <c r="D1098" s="33"/>
      <c r="E1098" s="127"/>
      <c r="F1098" s="128"/>
      <c r="G1098" s="128"/>
      <c r="H1098" s="129"/>
      <c r="I1098" s="130"/>
      <c r="J1098" s="23"/>
      <c r="K1098" s="23"/>
      <c r="L1098" s="23"/>
      <c r="M1098" s="131"/>
      <c r="N1098" s="131"/>
      <c r="O1098" s="131"/>
    </row>
    <row r="1099" spans="3:15" x14ac:dyDescent="0.3">
      <c r="C1099" s="18"/>
      <c r="D1099" s="33"/>
      <c r="E1099" s="127"/>
      <c r="F1099" s="128"/>
      <c r="G1099" s="128"/>
      <c r="H1099" s="129"/>
      <c r="I1099" s="130"/>
      <c r="J1099" s="23"/>
      <c r="K1099" s="23"/>
      <c r="L1099" s="23"/>
      <c r="M1099" s="131"/>
      <c r="N1099" s="131"/>
      <c r="O1099" s="131"/>
    </row>
    <row r="1100" spans="3:15" x14ac:dyDescent="0.3">
      <c r="C1100" s="18"/>
      <c r="D1100" s="33"/>
      <c r="E1100" s="127"/>
      <c r="F1100" s="128"/>
      <c r="G1100" s="128"/>
      <c r="H1100" s="129"/>
      <c r="I1100" s="130"/>
      <c r="J1100" s="23"/>
      <c r="K1100" s="23"/>
      <c r="L1100" s="23"/>
      <c r="M1100" s="131"/>
      <c r="N1100" s="131"/>
      <c r="O1100" s="131"/>
    </row>
    <row r="1101" spans="3:15" x14ac:dyDescent="0.3">
      <c r="C1101" s="18"/>
      <c r="D1101" s="33"/>
      <c r="E1101" s="127"/>
      <c r="F1101" s="128"/>
      <c r="G1101" s="128"/>
      <c r="H1101" s="129"/>
      <c r="I1101" s="130"/>
      <c r="J1101" s="23"/>
      <c r="K1101" s="23"/>
      <c r="L1101" s="23"/>
      <c r="M1101" s="131"/>
      <c r="N1101" s="131"/>
      <c r="O1101" s="131"/>
    </row>
    <row r="1102" spans="3:15" x14ac:dyDescent="0.3">
      <c r="C1102" s="18"/>
      <c r="D1102" s="33"/>
      <c r="E1102" s="127"/>
      <c r="F1102" s="128"/>
      <c r="G1102" s="128"/>
      <c r="H1102" s="129"/>
      <c r="I1102" s="130"/>
      <c r="J1102" s="23"/>
      <c r="K1102" s="23"/>
      <c r="L1102" s="23"/>
      <c r="M1102" s="131"/>
      <c r="N1102" s="131"/>
      <c r="O1102" s="131"/>
    </row>
    <row r="1103" spans="3:15" x14ac:dyDescent="0.3">
      <c r="C1103" s="18"/>
      <c r="D1103" s="33"/>
      <c r="E1103" s="127"/>
      <c r="F1103" s="128"/>
      <c r="G1103" s="128"/>
      <c r="H1103" s="129"/>
      <c r="I1103" s="130"/>
      <c r="J1103" s="23"/>
      <c r="K1103" s="23"/>
      <c r="L1103" s="23"/>
      <c r="M1103" s="131"/>
      <c r="N1103" s="131"/>
      <c r="O1103" s="131"/>
    </row>
    <row r="1104" spans="3:15" x14ac:dyDescent="0.3">
      <c r="C1104" s="18"/>
      <c r="D1104" s="33"/>
      <c r="E1104" s="127"/>
      <c r="F1104" s="128"/>
      <c r="G1104" s="128"/>
      <c r="H1104" s="129"/>
      <c r="I1104" s="130"/>
      <c r="J1104" s="23"/>
      <c r="K1104" s="23"/>
      <c r="L1104" s="23"/>
      <c r="M1104" s="131"/>
      <c r="N1104" s="131"/>
      <c r="O1104" s="131"/>
    </row>
    <row r="1105" spans="3:15" x14ac:dyDescent="0.3">
      <c r="C1105" s="18"/>
      <c r="D1105" s="33"/>
      <c r="E1105" s="127"/>
      <c r="F1105" s="128"/>
      <c r="G1105" s="128"/>
      <c r="H1105" s="129"/>
      <c r="I1105" s="130"/>
      <c r="J1105" s="23"/>
      <c r="K1105" s="23"/>
      <c r="L1105" s="23"/>
      <c r="M1105" s="131"/>
      <c r="N1105" s="131"/>
      <c r="O1105" s="131"/>
    </row>
    <row r="1106" spans="3:15" x14ac:dyDescent="0.3">
      <c r="C1106" s="18"/>
      <c r="D1106" s="33"/>
      <c r="E1106" s="127"/>
      <c r="F1106" s="128"/>
      <c r="G1106" s="128"/>
      <c r="H1106" s="129"/>
      <c r="I1106" s="130"/>
      <c r="J1106" s="23"/>
      <c r="K1106" s="23"/>
      <c r="L1106" s="23"/>
      <c r="M1106" s="131"/>
      <c r="N1106" s="131"/>
      <c r="O1106" s="131"/>
    </row>
    <row r="1107" spans="3:15" x14ac:dyDescent="0.3">
      <c r="C1107" s="18"/>
      <c r="D1107" s="33"/>
      <c r="E1107" s="127"/>
      <c r="F1107" s="128"/>
      <c r="G1107" s="128"/>
      <c r="H1107" s="129"/>
      <c r="I1107" s="130"/>
      <c r="J1107" s="23"/>
      <c r="K1107" s="23"/>
      <c r="L1107" s="23"/>
      <c r="M1107" s="131"/>
      <c r="N1107" s="131"/>
      <c r="O1107" s="131"/>
    </row>
    <row r="1108" spans="3:15" x14ac:dyDescent="0.3">
      <c r="C1108" s="18"/>
      <c r="D1108" s="33"/>
      <c r="E1108" s="127"/>
      <c r="F1108" s="128"/>
      <c r="G1108" s="128"/>
      <c r="H1108" s="129"/>
      <c r="I1108" s="130"/>
      <c r="J1108" s="23"/>
      <c r="K1108" s="23"/>
      <c r="L1108" s="23"/>
      <c r="M1108" s="131"/>
      <c r="N1108" s="131"/>
      <c r="O1108" s="131"/>
    </row>
    <row r="1109" spans="3:15" x14ac:dyDescent="0.3">
      <c r="C1109" s="18"/>
      <c r="D1109" s="33"/>
      <c r="E1109" s="127"/>
      <c r="F1109" s="128"/>
      <c r="G1109" s="128"/>
      <c r="H1109" s="129"/>
      <c r="I1109" s="130"/>
      <c r="J1109" s="23"/>
      <c r="K1109" s="23"/>
      <c r="L1109" s="23"/>
      <c r="M1109" s="131"/>
      <c r="N1109" s="131"/>
      <c r="O1109" s="131"/>
    </row>
    <row r="1110" spans="3:15" x14ac:dyDescent="0.3">
      <c r="C1110" s="18"/>
      <c r="D1110" s="33"/>
      <c r="E1110" s="127"/>
      <c r="F1110" s="128"/>
      <c r="G1110" s="128"/>
      <c r="H1110" s="129"/>
      <c r="I1110" s="130"/>
      <c r="J1110" s="23"/>
      <c r="K1110" s="23"/>
      <c r="L1110" s="23"/>
      <c r="M1110" s="131"/>
      <c r="N1110" s="131"/>
      <c r="O1110" s="131"/>
    </row>
    <row r="1111" spans="3:15" x14ac:dyDescent="0.3">
      <c r="C1111" s="18"/>
      <c r="D1111" s="33"/>
      <c r="E1111" s="127"/>
      <c r="F1111" s="128"/>
      <c r="G1111" s="128"/>
      <c r="H1111" s="129"/>
      <c r="I1111" s="130"/>
      <c r="J1111" s="23"/>
      <c r="K1111" s="23"/>
      <c r="L1111" s="23"/>
      <c r="M1111" s="131"/>
      <c r="N1111" s="131"/>
      <c r="O1111" s="131"/>
    </row>
    <row r="1112" spans="3:15" x14ac:dyDescent="0.3">
      <c r="C1112" s="18"/>
      <c r="D1112" s="33"/>
      <c r="E1112" s="127"/>
      <c r="F1112" s="128"/>
      <c r="G1112" s="128"/>
      <c r="H1112" s="129"/>
      <c r="I1112" s="130"/>
      <c r="J1112" s="23"/>
      <c r="K1112" s="23"/>
      <c r="L1112" s="23"/>
      <c r="M1112" s="131"/>
      <c r="N1112" s="131"/>
      <c r="O1112" s="131"/>
    </row>
    <row r="1113" spans="3:15" x14ac:dyDescent="0.3">
      <c r="C1113" s="18"/>
      <c r="D1113" s="33"/>
      <c r="E1113" s="127"/>
      <c r="F1113" s="128"/>
      <c r="G1113" s="128"/>
      <c r="H1113" s="129"/>
      <c r="I1113" s="130"/>
      <c r="J1113" s="23"/>
      <c r="K1113" s="23"/>
      <c r="L1113" s="23"/>
      <c r="M1113" s="131"/>
      <c r="N1113" s="131"/>
      <c r="O1113" s="131"/>
    </row>
    <row r="1114" spans="3:15" x14ac:dyDescent="0.3">
      <c r="C1114" s="18"/>
      <c r="D1114" s="33"/>
      <c r="E1114" s="127"/>
      <c r="F1114" s="128"/>
      <c r="G1114" s="128"/>
      <c r="H1114" s="129"/>
      <c r="I1114" s="130"/>
      <c r="J1114" s="23"/>
      <c r="K1114" s="23"/>
      <c r="L1114" s="23"/>
      <c r="M1114" s="131"/>
      <c r="N1114" s="131"/>
      <c r="O1114" s="131"/>
    </row>
    <row r="1115" spans="3:15" x14ac:dyDescent="0.3">
      <c r="C1115" s="18"/>
      <c r="D1115" s="33"/>
      <c r="E1115" s="127"/>
      <c r="F1115" s="128"/>
      <c r="G1115" s="128"/>
      <c r="H1115" s="129"/>
      <c r="I1115" s="130"/>
      <c r="J1115" s="23"/>
      <c r="K1115" s="23"/>
      <c r="L1115" s="23"/>
      <c r="M1115" s="131"/>
      <c r="N1115" s="131"/>
      <c r="O1115" s="131"/>
    </row>
    <row r="1116" spans="3:15" x14ac:dyDescent="0.3">
      <c r="C1116" s="18"/>
      <c r="D1116" s="33"/>
      <c r="E1116" s="127"/>
      <c r="F1116" s="128"/>
      <c r="G1116" s="128"/>
      <c r="H1116" s="129"/>
      <c r="I1116" s="130"/>
      <c r="J1116" s="23"/>
      <c r="K1116" s="23"/>
      <c r="L1116" s="23"/>
      <c r="M1116" s="131"/>
      <c r="N1116" s="131"/>
      <c r="O1116" s="131"/>
    </row>
    <row r="1117" spans="3:15" x14ac:dyDescent="0.3">
      <c r="C1117" s="18"/>
      <c r="D1117" s="33"/>
      <c r="E1117" s="127"/>
      <c r="F1117" s="128"/>
      <c r="G1117" s="128"/>
      <c r="H1117" s="129"/>
      <c r="I1117" s="130"/>
      <c r="J1117" s="23"/>
      <c r="K1117" s="23"/>
      <c r="L1117" s="23"/>
      <c r="M1117" s="131"/>
      <c r="N1117" s="131"/>
      <c r="O1117" s="131"/>
    </row>
    <row r="1118" spans="3:15" x14ac:dyDescent="0.3">
      <c r="C1118" s="18"/>
      <c r="D1118" s="33"/>
      <c r="E1118" s="127"/>
      <c r="F1118" s="128"/>
      <c r="G1118" s="128"/>
      <c r="H1118" s="129"/>
      <c r="I1118" s="130"/>
      <c r="J1118" s="23"/>
      <c r="K1118" s="23"/>
      <c r="L1118" s="23"/>
      <c r="M1118" s="131"/>
      <c r="N1118" s="131"/>
      <c r="O1118" s="131"/>
    </row>
    <row r="1119" spans="3:15" x14ac:dyDescent="0.3">
      <c r="C1119" s="18"/>
      <c r="D1119" s="33"/>
      <c r="E1119" s="127"/>
      <c r="F1119" s="128"/>
      <c r="G1119" s="128"/>
      <c r="H1119" s="129"/>
      <c r="I1119" s="130"/>
      <c r="J1119" s="23"/>
      <c r="K1119" s="23"/>
      <c r="L1119" s="23"/>
      <c r="M1119" s="131"/>
      <c r="N1119" s="131"/>
      <c r="O1119" s="131"/>
    </row>
    <row r="1120" spans="3:15" x14ac:dyDescent="0.3">
      <c r="C1120" s="18"/>
      <c r="D1120" s="33"/>
      <c r="E1120" s="127"/>
      <c r="F1120" s="128"/>
      <c r="G1120" s="128"/>
      <c r="H1120" s="129"/>
      <c r="I1120" s="130"/>
      <c r="J1120" s="23"/>
      <c r="K1120" s="23"/>
      <c r="L1120" s="23"/>
      <c r="M1120" s="131"/>
      <c r="N1120" s="131"/>
      <c r="O1120" s="131"/>
    </row>
    <row r="1121" spans="3:15" x14ac:dyDescent="0.3">
      <c r="C1121" s="18"/>
      <c r="D1121" s="33"/>
      <c r="E1121" s="127"/>
      <c r="F1121" s="128"/>
      <c r="G1121" s="128"/>
      <c r="H1121" s="129"/>
      <c r="I1121" s="130"/>
      <c r="J1121" s="23"/>
      <c r="K1121" s="23"/>
      <c r="L1121" s="23"/>
      <c r="M1121" s="131"/>
      <c r="N1121" s="131"/>
      <c r="O1121" s="131"/>
    </row>
    <row r="1122" spans="3:15" x14ac:dyDescent="0.3">
      <c r="C1122" s="18"/>
      <c r="D1122" s="33"/>
      <c r="E1122" s="127"/>
      <c r="F1122" s="128"/>
      <c r="G1122" s="128"/>
      <c r="H1122" s="129"/>
      <c r="I1122" s="130"/>
      <c r="J1122" s="23"/>
      <c r="K1122" s="23"/>
      <c r="L1122" s="23"/>
      <c r="M1122" s="131"/>
      <c r="N1122" s="131"/>
      <c r="O1122" s="131"/>
    </row>
    <row r="1123" spans="3:15" x14ac:dyDescent="0.3">
      <c r="C1123" s="18"/>
      <c r="D1123" s="33"/>
      <c r="E1123" s="127"/>
      <c r="F1123" s="128"/>
      <c r="G1123" s="128"/>
      <c r="H1123" s="129"/>
      <c r="I1123" s="130"/>
      <c r="J1123" s="23"/>
      <c r="K1123" s="23"/>
      <c r="L1123" s="23"/>
      <c r="M1123" s="131"/>
      <c r="N1123" s="131"/>
      <c r="O1123" s="131"/>
    </row>
    <row r="1124" spans="3:15" x14ac:dyDescent="0.3">
      <c r="C1124" s="18"/>
      <c r="D1124" s="33"/>
      <c r="E1124" s="127"/>
      <c r="F1124" s="128"/>
      <c r="G1124" s="128"/>
      <c r="H1124" s="129"/>
      <c r="I1124" s="130"/>
      <c r="J1124" s="23"/>
      <c r="K1124" s="23"/>
      <c r="L1124" s="23"/>
      <c r="M1124" s="131"/>
      <c r="N1124" s="131"/>
      <c r="O1124" s="131"/>
    </row>
    <row r="1125" spans="3:15" x14ac:dyDescent="0.3">
      <c r="C1125" s="18"/>
      <c r="D1125" s="33"/>
      <c r="E1125" s="127"/>
      <c r="F1125" s="128"/>
      <c r="G1125" s="128"/>
      <c r="H1125" s="129"/>
      <c r="I1125" s="130"/>
      <c r="J1125" s="23"/>
      <c r="K1125" s="23"/>
      <c r="L1125" s="23"/>
      <c r="M1125" s="131"/>
      <c r="N1125" s="131"/>
      <c r="O1125" s="131"/>
    </row>
    <row r="1126" spans="3:15" x14ac:dyDescent="0.3">
      <c r="C1126" s="18"/>
      <c r="D1126" s="33"/>
      <c r="E1126" s="127"/>
      <c r="F1126" s="128"/>
      <c r="G1126" s="128"/>
      <c r="H1126" s="129"/>
      <c r="I1126" s="130"/>
      <c r="J1126" s="23"/>
      <c r="K1126" s="23"/>
      <c r="L1126" s="23"/>
      <c r="M1126" s="131"/>
      <c r="N1126" s="131"/>
      <c r="O1126" s="131"/>
    </row>
    <row r="1127" spans="3:15" x14ac:dyDescent="0.3">
      <c r="C1127" s="18"/>
      <c r="D1127" s="33"/>
      <c r="E1127" s="127"/>
      <c r="F1127" s="128"/>
      <c r="G1127" s="128"/>
      <c r="H1127" s="129"/>
      <c r="I1127" s="130"/>
      <c r="J1127" s="23"/>
      <c r="K1127" s="23"/>
      <c r="L1127" s="23"/>
      <c r="M1127" s="131"/>
      <c r="N1127" s="131"/>
      <c r="O1127" s="131"/>
    </row>
    <row r="1128" spans="3:15" x14ac:dyDescent="0.3">
      <c r="C1128" s="18"/>
      <c r="D1128" s="33"/>
      <c r="E1128" s="127"/>
      <c r="F1128" s="128"/>
      <c r="G1128" s="128"/>
      <c r="H1128" s="129"/>
      <c r="I1128" s="130"/>
      <c r="J1128" s="23"/>
      <c r="K1128" s="23"/>
      <c r="L1128" s="23"/>
      <c r="M1128" s="131"/>
      <c r="N1128" s="131"/>
      <c r="O1128" s="131"/>
    </row>
    <row r="1129" spans="3:15" x14ac:dyDescent="0.3">
      <c r="C1129" s="18"/>
      <c r="D1129" s="33"/>
      <c r="E1129" s="127"/>
      <c r="F1129" s="128"/>
      <c r="G1129" s="128"/>
      <c r="H1129" s="129"/>
      <c r="I1129" s="130"/>
      <c r="J1129" s="23"/>
      <c r="K1129" s="23"/>
      <c r="L1129" s="23"/>
      <c r="M1129" s="131"/>
      <c r="N1129" s="131"/>
      <c r="O1129" s="131"/>
    </row>
    <row r="1130" spans="3:15" x14ac:dyDescent="0.3">
      <c r="C1130" s="18"/>
      <c r="D1130" s="33"/>
      <c r="E1130" s="127"/>
      <c r="F1130" s="128"/>
      <c r="G1130" s="128"/>
      <c r="H1130" s="129"/>
      <c r="I1130" s="130"/>
      <c r="J1130" s="23"/>
      <c r="K1130" s="23"/>
      <c r="L1130" s="23"/>
      <c r="M1130" s="131"/>
      <c r="N1130" s="131"/>
      <c r="O1130" s="131"/>
    </row>
    <row r="1131" spans="3:15" x14ac:dyDescent="0.3">
      <c r="C1131" s="18"/>
      <c r="D1131" s="33"/>
      <c r="E1131" s="127"/>
      <c r="F1131" s="128"/>
      <c r="G1131" s="128"/>
      <c r="H1131" s="129"/>
      <c r="I1131" s="130"/>
      <c r="J1131" s="23"/>
      <c r="K1131" s="23"/>
      <c r="L1131" s="23"/>
      <c r="M1131" s="131"/>
      <c r="N1131" s="131"/>
      <c r="O1131" s="131"/>
    </row>
    <row r="1132" spans="3:15" x14ac:dyDescent="0.3">
      <c r="C1132" s="18"/>
      <c r="D1132" s="33"/>
      <c r="E1132" s="127"/>
      <c r="F1132" s="128"/>
      <c r="G1132" s="128"/>
      <c r="H1132" s="129"/>
      <c r="I1132" s="130"/>
      <c r="J1132" s="23"/>
      <c r="K1132" s="23"/>
      <c r="L1132" s="23"/>
      <c r="M1132" s="131"/>
      <c r="N1132" s="131"/>
      <c r="O1132" s="131"/>
    </row>
    <row r="1133" spans="3:15" x14ac:dyDescent="0.3">
      <c r="C1133" s="18"/>
      <c r="D1133" s="33"/>
      <c r="E1133" s="127"/>
      <c r="F1133" s="128"/>
      <c r="G1133" s="128"/>
      <c r="H1133" s="129"/>
      <c r="I1133" s="130"/>
      <c r="J1133" s="23"/>
      <c r="K1133" s="23"/>
      <c r="L1133" s="23"/>
      <c r="M1133" s="131"/>
      <c r="N1133" s="131"/>
      <c r="O1133" s="131"/>
    </row>
    <row r="1134" spans="3:15" x14ac:dyDescent="0.3">
      <c r="C1134" s="18"/>
      <c r="D1134" s="33"/>
      <c r="E1134" s="127"/>
      <c r="F1134" s="128"/>
      <c r="G1134" s="128"/>
      <c r="H1134" s="129"/>
      <c r="I1134" s="130"/>
      <c r="J1134" s="23"/>
      <c r="K1134" s="23"/>
      <c r="L1134" s="23"/>
      <c r="M1134" s="131"/>
      <c r="N1134" s="131"/>
      <c r="O1134" s="131"/>
    </row>
    <row r="1135" spans="3:15" x14ac:dyDescent="0.3">
      <c r="C1135" s="18"/>
      <c r="D1135" s="33"/>
      <c r="E1135" s="127"/>
      <c r="F1135" s="128"/>
      <c r="G1135" s="128"/>
      <c r="H1135" s="129"/>
      <c r="I1135" s="130"/>
      <c r="J1135" s="23"/>
      <c r="K1135" s="23"/>
      <c r="L1135" s="23"/>
      <c r="M1135" s="131"/>
      <c r="N1135" s="131"/>
      <c r="O1135" s="131"/>
    </row>
    <row r="1136" spans="3:15" x14ac:dyDescent="0.3">
      <c r="C1136" s="18"/>
      <c r="D1136" s="33"/>
      <c r="E1136" s="127"/>
      <c r="F1136" s="128"/>
      <c r="G1136" s="128"/>
      <c r="H1136" s="129"/>
      <c r="I1136" s="130"/>
      <c r="J1136" s="23"/>
      <c r="K1136" s="23"/>
      <c r="L1136" s="23"/>
      <c r="M1136" s="131"/>
      <c r="N1136" s="131"/>
      <c r="O1136" s="131"/>
    </row>
    <row r="1137" spans="3:15" x14ac:dyDescent="0.3">
      <c r="C1137" s="18"/>
      <c r="D1137" s="33"/>
      <c r="E1137" s="127"/>
      <c r="F1137" s="128"/>
      <c r="G1137" s="128"/>
      <c r="H1137" s="129"/>
      <c r="I1137" s="130"/>
      <c r="J1137" s="23"/>
      <c r="K1137" s="23"/>
      <c r="L1137" s="23"/>
      <c r="M1137" s="131"/>
      <c r="N1137" s="131"/>
      <c r="O1137" s="131"/>
    </row>
    <row r="1138" spans="3:15" x14ac:dyDescent="0.3">
      <c r="C1138" s="18"/>
      <c r="D1138" s="33"/>
      <c r="E1138" s="127"/>
      <c r="F1138" s="128"/>
      <c r="G1138" s="128"/>
      <c r="H1138" s="129"/>
      <c r="I1138" s="130"/>
      <c r="J1138" s="23"/>
      <c r="K1138" s="23"/>
      <c r="L1138" s="23"/>
      <c r="M1138" s="131"/>
      <c r="N1138" s="131"/>
      <c r="O1138" s="131"/>
    </row>
    <row r="1139" spans="3:15" x14ac:dyDescent="0.3">
      <c r="C1139" s="18"/>
      <c r="D1139" s="33"/>
      <c r="E1139" s="127"/>
      <c r="F1139" s="128"/>
      <c r="G1139" s="128"/>
      <c r="H1139" s="129"/>
      <c r="I1139" s="130"/>
      <c r="J1139" s="23"/>
      <c r="K1139" s="23"/>
      <c r="L1139" s="23"/>
      <c r="M1139" s="131"/>
      <c r="N1139" s="131"/>
      <c r="O1139" s="131"/>
    </row>
    <row r="1140" spans="3:15" x14ac:dyDescent="0.3">
      <c r="C1140" s="18"/>
      <c r="D1140" s="33"/>
      <c r="E1140" s="127"/>
      <c r="F1140" s="128"/>
      <c r="G1140" s="128"/>
      <c r="H1140" s="129"/>
      <c r="I1140" s="130"/>
      <c r="J1140" s="23"/>
      <c r="K1140" s="23"/>
      <c r="L1140" s="23"/>
      <c r="M1140" s="131"/>
      <c r="N1140" s="131"/>
      <c r="O1140" s="131"/>
    </row>
    <row r="1141" spans="3:15" x14ac:dyDescent="0.3">
      <c r="C1141" s="18"/>
      <c r="D1141" s="33"/>
      <c r="E1141" s="127"/>
      <c r="F1141" s="128"/>
      <c r="G1141" s="128"/>
      <c r="H1141" s="129"/>
      <c r="I1141" s="130"/>
      <c r="J1141" s="23"/>
      <c r="K1141" s="23"/>
      <c r="L1141" s="23"/>
      <c r="M1141" s="131"/>
      <c r="N1141" s="131"/>
      <c r="O1141" s="131"/>
    </row>
    <row r="1142" spans="3:15" x14ac:dyDescent="0.3">
      <c r="C1142" s="18"/>
      <c r="D1142" s="33"/>
      <c r="E1142" s="127"/>
      <c r="F1142" s="128"/>
      <c r="G1142" s="128"/>
      <c r="H1142" s="129"/>
      <c r="I1142" s="130"/>
      <c r="J1142" s="23"/>
      <c r="K1142" s="23"/>
      <c r="L1142" s="23"/>
      <c r="M1142" s="131"/>
      <c r="N1142" s="131"/>
      <c r="O1142" s="131"/>
    </row>
    <row r="1143" spans="3:15" x14ac:dyDescent="0.3">
      <c r="C1143" s="18"/>
      <c r="D1143" s="33"/>
      <c r="E1143" s="127"/>
      <c r="F1143" s="128"/>
      <c r="G1143" s="128"/>
      <c r="H1143" s="129"/>
      <c r="I1143" s="130"/>
      <c r="J1143" s="23"/>
      <c r="K1143" s="23"/>
      <c r="L1143" s="23"/>
      <c r="M1143" s="131"/>
      <c r="N1143" s="131"/>
      <c r="O1143" s="131"/>
    </row>
    <row r="1144" spans="3:15" x14ac:dyDescent="0.3">
      <c r="C1144" s="18"/>
      <c r="D1144" s="33"/>
      <c r="E1144" s="127"/>
      <c r="F1144" s="128"/>
      <c r="G1144" s="128"/>
      <c r="H1144" s="129"/>
      <c r="I1144" s="130"/>
      <c r="J1144" s="23"/>
      <c r="K1144" s="23"/>
      <c r="L1144" s="23"/>
      <c r="M1144" s="131"/>
      <c r="N1144" s="131"/>
      <c r="O1144" s="131"/>
    </row>
    <row r="1145" spans="3:15" x14ac:dyDescent="0.3">
      <c r="C1145" s="18"/>
      <c r="D1145" s="33"/>
      <c r="E1145" s="127"/>
      <c r="F1145" s="128"/>
      <c r="G1145" s="128"/>
      <c r="H1145" s="129"/>
      <c r="I1145" s="130"/>
      <c r="J1145" s="23"/>
      <c r="K1145" s="23"/>
      <c r="L1145" s="23"/>
      <c r="M1145" s="131"/>
      <c r="N1145" s="131"/>
      <c r="O1145" s="131"/>
    </row>
    <row r="1146" spans="3:15" x14ac:dyDescent="0.3">
      <c r="C1146" s="18"/>
      <c r="D1146" s="33"/>
      <c r="E1146" s="127"/>
      <c r="F1146" s="128"/>
      <c r="G1146" s="128"/>
      <c r="H1146" s="129"/>
      <c r="I1146" s="130"/>
      <c r="J1146" s="23"/>
      <c r="K1146" s="23"/>
      <c r="L1146" s="23"/>
      <c r="M1146" s="131"/>
      <c r="N1146" s="131"/>
      <c r="O1146" s="131"/>
    </row>
    <row r="1147" spans="3:15" x14ac:dyDescent="0.3">
      <c r="C1147" s="18"/>
      <c r="D1147" s="33"/>
      <c r="E1147" s="127"/>
      <c r="F1147" s="128"/>
      <c r="G1147" s="128"/>
      <c r="H1147" s="129"/>
      <c r="I1147" s="130"/>
      <c r="J1147" s="23"/>
      <c r="K1147" s="23"/>
      <c r="L1147" s="23"/>
      <c r="M1147" s="131"/>
      <c r="N1147" s="131"/>
      <c r="O1147" s="131"/>
    </row>
    <row r="1148" spans="3:15" x14ac:dyDescent="0.3">
      <c r="C1148" s="18"/>
      <c r="D1148" s="33"/>
      <c r="E1148" s="127"/>
      <c r="F1148" s="128"/>
      <c r="G1148" s="128"/>
      <c r="H1148" s="129"/>
      <c r="I1148" s="130"/>
      <c r="J1148" s="23"/>
      <c r="K1148" s="23"/>
      <c r="L1148" s="23"/>
      <c r="M1148" s="131"/>
      <c r="N1148" s="131"/>
      <c r="O1148" s="131"/>
    </row>
    <row r="1149" spans="3:15" x14ac:dyDescent="0.3">
      <c r="C1149" s="18"/>
      <c r="D1149" s="33"/>
      <c r="E1149" s="127"/>
      <c r="F1149" s="128"/>
      <c r="G1149" s="128"/>
      <c r="H1149" s="129"/>
      <c r="I1149" s="130"/>
      <c r="J1149" s="23"/>
      <c r="K1149" s="23"/>
      <c r="L1149" s="23"/>
      <c r="M1149" s="131"/>
      <c r="N1149" s="131"/>
      <c r="O1149" s="131"/>
    </row>
    <row r="1150" spans="3:15" x14ac:dyDescent="0.3">
      <c r="C1150" s="18"/>
      <c r="D1150" s="33"/>
      <c r="E1150" s="127"/>
      <c r="F1150" s="128"/>
      <c r="G1150" s="128"/>
      <c r="H1150" s="129"/>
      <c r="I1150" s="130"/>
      <c r="J1150" s="23"/>
      <c r="K1150" s="23"/>
      <c r="L1150" s="23"/>
      <c r="M1150" s="131"/>
      <c r="N1150" s="131"/>
      <c r="O1150" s="131"/>
    </row>
    <row r="1151" spans="3:15" x14ac:dyDescent="0.3">
      <c r="C1151" s="18"/>
      <c r="D1151" s="33"/>
      <c r="E1151" s="127"/>
      <c r="F1151" s="128"/>
      <c r="G1151" s="128"/>
      <c r="H1151" s="129"/>
      <c r="I1151" s="130"/>
      <c r="J1151" s="23"/>
      <c r="K1151" s="23"/>
      <c r="L1151" s="23"/>
      <c r="M1151" s="131"/>
      <c r="N1151" s="131"/>
      <c r="O1151" s="131"/>
    </row>
    <row r="1152" spans="3:15" x14ac:dyDescent="0.3">
      <c r="C1152" s="18"/>
      <c r="D1152" s="33"/>
      <c r="E1152" s="127"/>
      <c r="F1152" s="128"/>
      <c r="G1152" s="128"/>
      <c r="H1152" s="129"/>
      <c r="I1152" s="130"/>
      <c r="J1152" s="23"/>
      <c r="K1152" s="23"/>
      <c r="L1152" s="23"/>
      <c r="M1152" s="131"/>
      <c r="N1152" s="131"/>
      <c r="O1152" s="131"/>
    </row>
    <row r="1153" spans="3:15" x14ac:dyDescent="0.3">
      <c r="C1153" s="18"/>
      <c r="D1153" s="33"/>
      <c r="E1153" s="127"/>
      <c r="F1153" s="128"/>
      <c r="G1153" s="128"/>
      <c r="H1153" s="129"/>
      <c r="I1153" s="130"/>
      <c r="J1153" s="23"/>
      <c r="K1153" s="23"/>
      <c r="L1153" s="23"/>
      <c r="M1153" s="131"/>
      <c r="N1153" s="131"/>
      <c r="O1153" s="131"/>
    </row>
    <row r="1154" spans="3:15" x14ac:dyDescent="0.3">
      <c r="C1154" s="18"/>
      <c r="D1154" s="33"/>
      <c r="E1154" s="127"/>
      <c r="F1154" s="128"/>
      <c r="G1154" s="128"/>
      <c r="H1154" s="129"/>
      <c r="I1154" s="130"/>
      <c r="J1154" s="23"/>
      <c r="K1154" s="23"/>
      <c r="L1154" s="23"/>
      <c r="M1154" s="131"/>
      <c r="N1154" s="131"/>
      <c r="O1154" s="131"/>
    </row>
    <row r="1155" spans="3:15" x14ac:dyDescent="0.3">
      <c r="C1155" s="18"/>
      <c r="D1155" s="33"/>
      <c r="E1155" s="127"/>
      <c r="F1155" s="128"/>
      <c r="G1155" s="128"/>
      <c r="H1155" s="129"/>
      <c r="I1155" s="130"/>
      <c r="J1155" s="23"/>
      <c r="K1155" s="23"/>
      <c r="L1155" s="23"/>
      <c r="M1155" s="131"/>
      <c r="N1155" s="131"/>
      <c r="O1155" s="131"/>
    </row>
    <row r="1156" spans="3:15" x14ac:dyDescent="0.3">
      <c r="C1156" s="18"/>
      <c r="D1156" s="33"/>
      <c r="E1156" s="127"/>
      <c r="F1156" s="128"/>
      <c r="G1156" s="128"/>
      <c r="H1156" s="129"/>
      <c r="I1156" s="130"/>
      <c r="J1156" s="23"/>
      <c r="K1156" s="23"/>
      <c r="L1156" s="23"/>
      <c r="M1156" s="131"/>
      <c r="N1156" s="131"/>
      <c r="O1156" s="131"/>
    </row>
    <row r="1157" spans="3:15" x14ac:dyDescent="0.3">
      <c r="C1157" s="18"/>
      <c r="D1157" s="33"/>
      <c r="E1157" s="127"/>
      <c r="F1157" s="128"/>
      <c r="G1157" s="128"/>
      <c r="H1157" s="129"/>
      <c r="I1157" s="130"/>
      <c r="J1157" s="23"/>
      <c r="K1157" s="23"/>
      <c r="L1157" s="23"/>
      <c r="M1157" s="131"/>
      <c r="N1157" s="131"/>
      <c r="O1157" s="131"/>
    </row>
    <row r="1158" spans="3:15" x14ac:dyDescent="0.3">
      <c r="C1158" s="18"/>
      <c r="D1158" s="33"/>
      <c r="E1158" s="127"/>
      <c r="F1158" s="128"/>
      <c r="G1158" s="128"/>
      <c r="H1158" s="129"/>
      <c r="I1158" s="130"/>
      <c r="J1158" s="23"/>
      <c r="K1158" s="23"/>
      <c r="L1158" s="23"/>
      <c r="M1158" s="131"/>
      <c r="N1158" s="131"/>
      <c r="O1158" s="131"/>
    </row>
    <row r="1159" spans="3:15" x14ac:dyDescent="0.3">
      <c r="C1159" s="18"/>
      <c r="D1159" s="33"/>
      <c r="E1159" s="127"/>
      <c r="F1159" s="128"/>
      <c r="G1159" s="128"/>
      <c r="H1159" s="129"/>
      <c r="I1159" s="130"/>
      <c r="J1159" s="23"/>
      <c r="K1159" s="23"/>
      <c r="L1159" s="23"/>
      <c r="M1159" s="131"/>
      <c r="N1159" s="131"/>
      <c r="O1159" s="131"/>
    </row>
    <row r="1160" spans="3:15" x14ac:dyDescent="0.3">
      <c r="C1160" s="18"/>
      <c r="D1160" s="33"/>
      <c r="E1160" s="127"/>
      <c r="F1160" s="128"/>
      <c r="G1160" s="128"/>
      <c r="H1160" s="129"/>
      <c r="I1160" s="130"/>
      <c r="J1160" s="23"/>
      <c r="K1160" s="23"/>
      <c r="L1160" s="23"/>
      <c r="M1160" s="131"/>
      <c r="N1160" s="131"/>
      <c r="O1160" s="131"/>
    </row>
    <row r="1161" spans="3:15" x14ac:dyDescent="0.3">
      <c r="C1161" s="18"/>
      <c r="D1161" s="33"/>
      <c r="E1161" s="127"/>
      <c r="F1161" s="128"/>
      <c r="G1161" s="128"/>
      <c r="H1161" s="129"/>
      <c r="I1161" s="130"/>
      <c r="J1161" s="23"/>
      <c r="K1161" s="23"/>
      <c r="L1161" s="23"/>
      <c r="M1161" s="131"/>
      <c r="N1161" s="131"/>
      <c r="O1161" s="131"/>
    </row>
    <row r="1162" spans="3:15" x14ac:dyDescent="0.3">
      <c r="C1162" s="18"/>
      <c r="D1162" s="33"/>
      <c r="E1162" s="127"/>
      <c r="F1162" s="128"/>
      <c r="G1162" s="128"/>
      <c r="H1162" s="129"/>
      <c r="I1162" s="130"/>
      <c r="J1162" s="23"/>
      <c r="K1162" s="23"/>
      <c r="L1162" s="23"/>
      <c r="M1162" s="131"/>
      <c r="N1162" s="131"/>
      <c r="O1162" s="131"/>
    </row>
    <row r="1163" spans="3:15" x14ac:dyDescent="0.3">
      <c r="C1163" s="18"/>
      <c r="D1163" s="33"/>
      <c r="E1163" s="127"/>
      <c r="F1163" s="128"/>
      <c r="G1163" s="128"/>
      <c r="H1163" s="129"/>
      <c r="I1163" s="130"/>
      <c r="J1163" s="23"/>
      <c r="K1163" s="23"/>
      <c r="L1163" s="23"/>
      <c r="M1163" s="131"/>
      <c r="N1163" s="131"/>
      <c r="O1163" s="131"/>
    </row>
    <row r="1164" spans="3:15" x14ac:dyDescent="0.3">
      <c r="C1164" s="18"/>
      <c r="D1164" s="33"/>
      <c r="E1164" s="127"/>
      <c r="F1164" s="128"/>
      <c r="G1164" s="128"/>
      <c r="H1164" s="129"/>
      <c r="I1164" s="130"/>
      <c r="J1164" s="23"/>
      <c r="K1164" s="23"/>
      <c r="L1164" s="23"/>
      <c r="M1164" s="131"/>
      <c r="N1164" s="131"/>
      <c r="O1164" s="131"/>
    </row>
    <row r="1165" spans="3:15" x14ac:dyDescent="0.3">
      <c r="C1165" s="18"/>
      <c r="D1165" s="33"/>
      <c r="E1165" s="127"/>
      <c r="F1165" s="128"/>
      <c r="G1165" s="128"/>
      <c r="H1165" s="129"/>
      <c r="I1165" s="130"/>
      <c r="J1165" s="23"/>
      <c r="K1165" s="23"/>
      <c r="L1165" s="23"/>
      <c r="M1165" s="131"/>
      <c r="N1165" s="131"/>
      <c r="O1165" s="131"/>
    </row>
    <row r="1166" spans="3:15" x14ac:dyDescent="0.3">
      <c r="C1166" s="18"/>
      <c r="D1166" s="33"/>
      <c r="E1166" s="127"/>
      <c r="F1166" s="128"/>
      <c r="G1166" s="128"/>
      <c r="H1166" s="129"/>
      <c r="I1166" s="130"/>
      <c r="J1166" s="23"/>
      <c r="K1166" s="23"/>
      <c r="L1166" s="23"/>
      <c r="M1166" s="131"/>
      <c r="N1166" s="131"/>
      <c r="O1166" s="131"/>
    </row>
    <row r="1167" spans="3:15" x14ac:dyDescent="0.3">
      <c r="C1167" s="18"/>
      <c r="D1167" s="33"/>
      <c r="E1167" s="127"/>
      <c r="F1167" s="128"/>
      <c r="G1167" s="128"/>
      <c r="H1167" s="129"/>
      <c r="I1167" s="130"/>
      <c r="J1167" s="23"/>
      <c r="K1167" s="23"/>
      <c r="L1167" s="23"/>
      <c r="M1167" s="131"/>
      <c r="N1167" s="131"/>
      <c r="O1167" s="131"/>
    </row>
    <row r="1168" spans="3:15" x14ac:dyDescent="0.3">
      <c r="C1168" s="18"/>
      <c r="D1168" s="33"/>
      <c r="E1168" s="127"/>
      <c r="F1168" s="128"/>
      <c r="G1168" s="128"/>
      <c r="H1168" s="129"/>
      <c r="I1168" s="130"/>
      <c r="J1168" s="23"/>
      <c r="K1168" s="23"/>
      <c r="L1168" s="23"/>
      <c r="M1168" s="131"/>
      <c r="N1168" s="131"/>
      <c r="O1168" s="131"/>
    </row>
    <row r="1169" spans="3:15" x14ac:dyDescent="0.3">
      <c r="C1169" s="18"/>
      <c r="D1169" s="33"/>
      <c r="E1169" s="127"/>
      <c r="F1169" s="128"/>
      <c r="G1169" s="128"/>
      <c r="H1169" s="129"/>
      <c r="I1169" s="130"/>
      <c r="J1169" s="23"/>
      <c r="K1169" s="23"/>
      <c r="L1169" s="23"/>
      <c r="M1169" s="131"/>
      <c r="N1169" s="131"/>
      <c r="O1169" s="131"/>
    </row>
    <row r="1170" spans="3:15" x14ac:dyDescent="0.3">
      <c r="C1170" s="18"/>
      <c r="D1170" s="33"/>
      <c r="E1170" s="127"/>
      <c r="F1170" s="128"/>
      <c r="G1170" s="128"/>
      <c r="H1170" s="129"/>
      <c r="I1170" s="130"/>
      <c r="J1170" s="23"/>
      <c r="K1170" s="23"/>
      <c r="L1170" s="23"/>
      <c r="M1170" s="131"/>
      <c r="N1170" s="131"/>
      <c r="O1170" s="131"/>
    </row>
    <row r="1171" spans="3:15" x14ac:dyDescent="0.3">
      <c r="C1171" s="18"/>
      <c r="D1171" s="33"/>
      <c r="E1171" s="127"/>
      <c r="F1171" s="128"/>
      <c r="G1171" s="128"/>
      <c r="H1171" s="129"/>
      <c r="I1171" s="130"/>
      <c r="J1171" s="23"/>
      <c r="K1171" s="23"/>
      <c r="L1171" s="23"/>
      <c r="M1171" s="131"/>
      <c r="N1171" s="131"/>
      <c r="O1171" s="131"/>
    </row>
    <row r="1172" spans="3:15" x14ac:dyDescent="0.3">
      <c r="C1172" s="18"/>
      <c r="D1172" s="33"/>
      <c r="E1172" s="127"/>
      <c r="F1172" s="128"/>
      <c r="G1172" s="128"/>
      <c r="H1172" s="129"/>
      <c r="I1172" s="130"/>
      <c r="J1172" s="23"/>
      <c r="K1172" s="23"/>
      <c r="L1172" s="23"/>
      <c r="M1172" s="131"/>
      <c r="N1172" s="131"/>
      <c r="O1172" s="131"/>
    </row>
    <row r="1173" spans="3:15" x14ac:dyDescent="0.3">
      <c r="C1173" s="18"/>
      <c r="D1173" s="33"/>
      <c r="E1173" s="127"/>
      <c r="F1173" s="128"/>
      <c r="G1173" s="128"/>
      <c r="H1173" s="129"/>
      <c r="I1173" s="130"/>
      <c r="J1173" s="23"/>
      <c r="K1173" s="23"/>
      <c r="L1173" s="23"/>
      <c r="M1173" s="131"/>
      <c r="N1173" s="131"/>
      <c r="O1173" s="131"/>
    </row>
    <row r="1174" spans="3:15" x14ac:dyDescent="0.3">
      <c r="C1174" s="18"/>
      <c r="D1174" s="33"/>
      <c r="E1174" s="127"/>
      <c r="F1174" s="128"/>
      <c r="G1174" s="128"/>
      <c r="H1174" s="129"/>
      <c r="I1174" s="130"/>
      <c r="J1174" s="23"/>
      <c r="K1174" s="23"/>
      <c r="L1174" s="23"/>
      <c r="M1174" s="131"/>
      <c r="N1174" s="131"/>
      <c r="O1174" s="131"/>
    </row>
    <row r="1175" spans="3:15" x14ac:dyDescent="0.3">
      <c r="C1175" s="18"/>
      <c r="D1175" s="33"/>
      <c r="E1175" s="127"/>
      <c r="F1175" s="128"/>
      <c r="G1175" s="128"/>
      <c r="H1175" s="129"/>
      <c r="I1175" s="130"/>
      <c r="J1175" s="23"/>
      <c r="K1175" s="23"/>
      <c r="L1175" s="23"/>
      <c r="M1175" s="131"/>
      <c r="N1175" s="131"/>
      <c r="O1175" s="131"/>
    </row>
    <row r="1176" spans="3:15" x14ac:dyDescent="0.3">
      <c r="C1176" s="18"/>
      <c r="D1176" s="33"/>
      <c r="E1176" s="127"/>
      <c r="F1176" s="128"/>
      <c r="G1176" s="128"/>
      <c r="H1176" s="129"/>
      <c r="I1176" s="130"/>
      <c r="J1176" s="23"/>
      <c r="K1176" s="23"/>
      <c r="L1176" s="23"/>
      <c r="M1176" s="131"/>
      <c r="N1176" s="131"/>
      <c r="O1176" s="131"/>
    </row>
    <row r="1177" spans="3:15" x14ac:dyDescent="0.3">
      <c r="C1177" s="18"/>
      <c r="D1177" s="33"/>
      <c r="E1177" s="127"/>
      <c r="F1177" s="128"/>
      <c r="G1177" s="128"/>
      <c r="H1177" s="129"/>
      <c r="I1177" s="130"/>
      <c r="J1177" s="23"/>
      <c r="K1177" s="23"/>
      <c r="L1177" s="23"/>
      <c r="M1177" s="131"/>
      <c r="N1177" s="131"/>
      <c r="O1177" s="131"/>
    </row>
    <row r="1178" spans="3:15" x14ac:dyDescent="0.3">
      <c r="C1178" s="18"/>
      <c r="D1178" s="33"/>
      <c r="E1178" s="127"/>
      <c r="F1178" s="128"/>
      <c r="G1178" s="128"/>
      <c r="H1178" s="129"/>
      <c r="I1178" s="130"/>
      <c r="J1178" s="23"/>
      <c r="K1178" s="23"/>
      <c r="L1178" s="23"/>
      <c r="M1178" s="131"/>
      <c r="N1178" s="131"/>
      <c r="O1178" s="131"/>
    </row>
    <row r="1179" spans="3:15" x14ac:dyDescent="0.3">
      <c r="C1179" s="18"/>
      <c r="D1179" s="33"/>
      <c r="E1179" s="127"/>
      <c r="F1179" s="128"/>
      <c r="G1179" s="128"/>
      <c r="H1179" s="129"/>
      <c r="I1179" s="130"/>
      <c r="J1179" s="23"/>
      <c r="K1179" s="23"/>
      <c r="L1179" s="23"/>
      <c r="M1179" s="131"/>
      <c r="N1179" s="131"/>
      <c r="O1179" s="131"/>
    </row>
    <row r="1180" spans="3:15" x14ac:dyDescent="0.3">
      <c r="C1180" s="18"/>
      <c r="D1180" s="33"/>
      <c r="E1180" s="127"/>
      <c r="F1180" s="128"/>
      <c r="G1180" s="128"/>
      <c r="H1180" s="129"/>
      <c r="I1180" s="130"/>
      <c r="J1180" s="23"/>
      <c r="K1180" s="23"/>
      <c r="L1180" s="23"/>
      <c r="M1180" s="131"/>
      <c r="N1180" s="131"/>
      <c r="O1180" s="131"/>
    </row>
    <row r="1181" spans="3:15" x14ac:dyDescent="0.3">
      <c r="C1181" s="18"/>
      <c r="D1181" s="33"/>
      <c r="E1181" s="127"/>
      <c r="F1181" s="128"/>
      <c r="G1181" s="128"/>
      <c r="H1181" s="129"/>
      <c r="I1181" s="130"/>
      <c r="J1181" s="23"/>
      <c r="K1181" s="23"/>
      <c r="L1181" s="23"/>
      <c r="M1181" s="131"/>
      <c r="N1181" s="131"/>
      <c r="O1181" s="131"/>
    </row>
    <row r="1182" spans="3:15" x14ac:dyDescent="0.3">
      <c r="C1182" s="18"/>
      <c r="D1182" s="33"/>
      <c r="E1182" s="127"/>
      <c r="F1182" s="128"/>
      <c r="G1182" s="128"/>
      <c r="H1182" s="129"/>
      <c r="I1182" s="130"/>
      <c r="J1182" s="23"/>
      <c r="K1182" s="23"/>
      <c r="L1182" s="23"/>
      <c r="M1182" s="131"/>
      <c r="N1182" s="131"/>
      <c r="O1182" s="131"/>
    </row>
    <row r="1183" spans="3:15" x14ac:dyDescent="0.3">
      <c r="C1183" s="18"/>
      <c r="D1183" s="33"/>
      <c r="E1183" s="127"/>
      <c r="F1183" s="128"/>
      <c r="G1183" s="128"/>
      <c r="H1183" s="129"/>
      <c r="I1183" s="130"/>
      <c r="J1183" s="23"/>
      <c r="K1183" s="23"/>
      <c r="L1183" s="23"/>
      <c r="M1183" s="131"/>
      <c r="N1183" s="131"/>
      <c r="O1183" s="131"/>
    </row>
    <row r="1184" spans="3:15" x14ac:dyDescent="0.3">
      <c r="C1184" s="18"/>
      <c r="D1184" s="33"/>
      <c r="E1184" s="127"/>
      <c r="F1184" s="128"/>
      <c r="G1184" s="128"/>
      <c r="H1184" s="129"/>
      <c r="I1184" s="130"/>
      <c r="J1184" s="23"/>
      <c r="K1184" s="23"/>
      <c r="L1184" s="23"/>
      <c r="M1184" s="131"/>
      <c r="N1184" s="131"/>
      <c r="O1184" s="131"/>
    </row>
    <row r="1185" spans="3:15" x14ac:dyDescent="0.3">
      <c r="C1185" s="18"/>
      <c r="D1185" s="33"/>
      <c r="E1185" s="127"/>
      <c r="F1185" s="128"/>
      <c r="G1185" s="128"/>
      <c r="H1185" s="129"/>
      <c r="I1185" s="130"/>
      <c r="J1185" s="23"/>
      <c r="K1185" s="23"/>
      <c r="L1185" s="23"/>
      <c r="M1185" s="131"/>
      <c r="N1185" s="131"/>
      <c r="O1185" s="131"/>
    </row>
    <row r="1186" spans="3:15" x14ac:dyDescent="0.3">
      <c r="C1186" s="18"/>
      <c r="D1186" s="33"/>
      <c r="E1186" s="127"/>
      <c r="F1186" s="128"/>
      <c r="G1186" s="128"/>
      <c r="H1186" s="129"/>
      <c r="I1186" s="130"/>
      <c r="J1186" s="23"/>
      <c r="K1186" s="23"/>
      <c r="L1186" s="23"/>
      <c r="M1186" s="131"/>
      <c r="N1186" s="131"/>
      <c r="O1186" s="131"/>
    </row>
    <row r="1187" spans="3:15" x14ac:dyDescent="0.3">
      <c r="C1187" s="18"/>
      <c r="D1187" s="33"/>
      <c r="E1187" s="127"/>
      <c r="F1187" s="128"/>
      <c r="G1187" s="128"/>
      <c r="H1187" s="129"/>
      <c r="I1187" s="130"/>
      <c r="J1187" s="23"/>
      <c r="K1187" s="23"/>
      <c r="L1187" s="23"/>
      <c r="M1187" s="131"/>
      <c r="N1187" s="131"/>
      <c r="O1187" s="131"/>
    </row>
    <row r="1188" spans="3:15" x14ac:dyDescent="0.3">
      <c r="C1188" s="18"/>
      <c r="D1188" s="33"/>
      <c r="E1188" s="127"/>
      <c r="F1188" s="128"/>
      <c r="G1188" s="128"/>
      <c r="H1188" s="129"/>
      <c r="I1188" s="130"/>
      <c r="J1188" s="23"/>
      <c r="K1188" s="23"/>
      <c r="L1188" s="23"/>
      <c r="M1188" s="131"/>
      <c r="N1188" s="131"/>
      <c r="O1188" s="131"/>
    </row>
    <row r="1189" spans="3:15" x14ac:dyDescent="0.3">
      <c r="C1189" s="18"/>
      <c r="D1189" s="33"/>
      <c r="E1189" s="127"/>
      <c r="F1189" s="128"/>
      <c r="G1189" s="128"/>
      <c r="H1189" s="129"/>
      <c r="I1189" s="130"/>
      <c r="J1189" s="23"/>
      <c r="K1189" s="23"/>
      <c r="L1189" s="23"/>
      <c r="M1189" s="131"/>
      <c r="N1189" s="131"/>
      <c r="O1189" s="131"/>
    </row>
    <row r="1190" spans="3:15" x14ac:dyDescent="0.3">
      <c r="C1190" s="18"/>
      <c r="D1190" s="33"/>
      <c r="E1190" s="127"/>
      <c r="F1190" s="128"/>
      <c r="G1190" s="128"/>
      <c r="H1190" s="129"/>
      <c r="I1190" s="130"/>
      <c r="J1190" s="23"/>
      <c r="K1190" s="23"/>
      <c r="L1190" s="23"/>
      <c r="M1190" s="131"/>
      <c r="N1190" s="131"/>
      <c r="O1190" s="131"/>
    </row>
    <row r="1191" spans="3:15" x14ac:dyDescent="0.3">
      <c r="C1191" s="18"/>
      <c r="D1191" s="33"/>
      <c r="E1191" s="127"/>
      <c r="F1191" s="128"/>
      <c r="G1191" s="128"/>
      <c r="H1191" s="129"/>
      <c r="I1191" s="130"/>
      <c r="J1191" s="23"/>
      <c r="K1191" s="23"/>
      <c r="L1191" s="23"/>
      <c r="M1191" s="131"/>
      <c r="N1191" s="131"/>
      <c r="O1191" s="131"/>
    </row>
    <row r="1192" spans="3:15" x14ac:dyDescent="0.3">
      <c r="C1192" s="18"/>
      <c r="D1192" s="33"/>
      <c r="E1192" s="127"/>
      <c r="F1192" s="128"/>
      <c r="G1192" s="128"/>
      <c r="H1192" s="129"/>
      <c r="I1192" s="130"/>
      <c r="J1192" s="23"/>
      <c r="K1192" s="23"/>
      <c r="L1192" s="23"/>
      <c r="M1192" s="131"/>
      <c r="N1192" s="131"/>
      <c r="O1192" s="131"/>
    </row>
    <row r="1193" spans="3:15" x14ac:dyDescent="0.3">
      <c r="C1193" s="18"/>
      <c r="D1193" s="33"/>
      <c r="E1193" s="127"/>
      <c r="F1193" s="128"/>
      <c r="G1193" s="128"/>
      <c r="H1193" s="129"/>
      <c r="I1193" s="130"/>
      <c r="J1193" s="23"/>
      <c r="K1193" s="23"/>
      <c r="L1193" s="23"/>
      <c r="M1193" s="131"/>
      <c r="N1193" s="131"/>
      <c r="O1193" s="131"/>
    </row>
    <row r="1194" spans="3:15" x14ac:dyDescent="0.3">
      <c r="C1194" s="18"/>
      <c r="D1194" s="33"/>
      <c r="E1194" s="127"/>
      <c r="F1194" s="128"/>
      <c r="G1194" s="128"/>
      <c r="H1194" s="129"/>
      <c r="I1194" s="130"/>
      <c r="J1194" s="23"/>
      <c r="K1194" s="23"/>
      <c r="L1194" s="23"/>
      <c r="M1194" s="131"/>
      <c r="N1194" s="131"/>
      <c r="O1194" s="131"/>
    </row>
    <row r="1195" spans="3:15" x14ac:dyDescent="0.3">
      <c r="C1195" s="18"/>
      <c r="D1195" s="33"/>
      <c r="E1195" s="127"/>
      <c r="F1195" s="128"/>
      <c r="G1195" s="128"/>
      <c r="H1195" s="129"/>
      <c r="I1195" s="130"/>
      <c r="J1195" s="23"/>
      <c r="K1195" s="23"/>
      <c r="L1195" s="23"/>
      <c r="M1195" s="131"/>
      <c r="N1195" s="131"/>
      <c r="O1195" s="131"/>
    </row>
    <row r="1196" spans="3:15" x14ac:dyDescent="0.3">
      <c r="C1196" s="18"/>
      <c r="D1196" s="33"/>
      <c r="E1196" s="127"/>
      <c r="F1196" s="128"/>
      <c r="G1196" s="128"/>
      <c r="H1196" s="129"/>
      <c r="I1196" s="130"/>
      <c r="J1196" s="23"/>
      <c r="K1196" s="23"/>
      <c r="L1196" s="23"/>
      <c r="M1196" s="131"/>
      <c r="N1196" s="131"/>
      <c r="O1196" s="131"/>
    </row>
    <row r="1197" spans="3:15" x14ac:dyDescent="0.3">
      <c r="C1197" s="18"/>
      <c r="D1197" s="33"/>
      <c r="E1197" s="127"/>
      <c r="F1197" s="128"/>
      <c r="G1197" s="128"/>
      <c r="H1197" s="129"/>
      <c r="I1197" s="130"/>
      <c r="J1197" s="23"/>
      <c r="K1197" s="23"/>
      <c r="L1197" s="23"/>
      <c r="M1197" s="131"/>
      <c r="N1197" s="131"/>
      <c r="O1197" s="131"/>
    </row>
    <row r="1198" spans="3:15" x14ac:dyDescent="0.3">
      <c r="C1198" s="18"/>
      <c r="D1198" s="33"/>
      <c r="E1198" s="127"/>
      <c r="F1198" s="128"/>
      <c r="G1198" s="128"/>
      <c r="H1198" s="129"/>
      <c r="I1198" s="130"/>
      <c r="J1198" s="23"/>
      <c r="K1198" s="23"/>
      <c r="L1198" s="23"/>
      <c r="M1198" s="131"/>
      <c r="N1198" s="131"/>
      <c r="O1198" s="131"/>
    </row>
    <row r="1199" spans="3:15" x14ac:dyDescent="0.3">
      <c r="C1199" s="18"/>
      <c r="D1199" s="33"/>
      <c r="E1199" s="127"/>
      <c r="F1199" s="128"/>
      <c r="G1199" s="128"/>
      <c r="H1199" s="129"/>
      <c r="I1199" s="130"/>
      <c r="J1199" s="23"/>
      <c r="K1199" s="23"/>
      <c r="L1199" s="23"/>
      <c r="M1199" s="131"/>
      <c r="N1199" s="131"/>
      <c r="O1199" s="131"/>
    </row>
    <row r="1200" spans="3:15" x14ac:dyDescent="0.3">
      <c r="C1200" s="18"/>
      <c r="D1200" s="33"/>
      <c r="E1200" s="127"/>
      <c r="F1200" s="128"/>
      <c r="G1200" s="128"/>
      <c r="H1200" s="129"/>
      <c r="I1200" s="130"/>
      <c r="J1200" s="23"/>
      <c r="K1200" s="23"/>
      <c r="L1200" s="23"/>
      <c r="M1200" s="131"/>
      <c r="N1200" s="131"/>
      <c r="O1200" s="131"/>
    </row>
    <row r="1201" spans="3:15" x14ac:dyDescent="0.3">
      <c r="C1201" s="18"/>
      <c r="D1201" s="33"/>
      <c r="E1201" s="127"/>
      <c r="F1201" s="128"/>
      <c r="G1201" s="128"/>
      <c r="H1201" s="129"/>
      <c r="I1201" s="130"/>
      <c r="J1201" s="23"/>
      <c r="K1201" s="23"/>
      <c r="L1201" s="23"/>
      <c r="M1201" s="131"/>
      <c r="N1201" s="131"/>
      <c r="O1201" s="131"/>
    </row>
    <row r="1202" spans="3:15" x14ac:dyDescent="0.3">
      <c r="C1202" s="18"/>
      <c r="D1202" s="33"/>
      <c r="E1202" s="127"/>
      <c r="F1202" s="128"/>
      <c r="G1202" s="128"/>
      <c r="H1202" s="129"/>
      <c r="I1202" s="130"/>
      <c r="J1202" s="23"/>
      <c r="K1202" s="23"/>
      <c r="L1202" s="23"/>
      <c r="M1202" s="131"/>
      <c r="N1202" s="131"/>
      <c r="O1202" s="131"/>
    </row>
    <row r="1203" spans="3:15" x14ac:dyDescent="0.3">
      <c r="C1203" s="18"/>
      <c r="D1203" s="33"/>
      <c r="E1203" s="127"/>
      <c r="F1203" s="128"/>
      <c r="G1203" s="128"/>
      <c r="H1203" s="129"/>
      <c r="I1203" s="130"/>
      <c r="J1203" s="23"/>
      <c r="K1203" s="23"/>
      <c r="L1203" s="23"/>
      <c r="M1203" s="131"/>
      <c r="N1203" s="131"/>
      <c r="O1203" s="131"/>
    </row>
    <row r="1204" spans="3:15" x14ac:dyDescent="0.3">
      <c r="C1204" s="18"/>
      <c r="D1204" s="33"/>
      <c r="E1204" s="127"/>
      <c r="F1204" s="128"/>
      <c r="G1204" s="128"/>
      <c r="H1204" s="129"/>
      <c r="I1204" s="130"/>
      <c r="J1204" s="23"/>
      <c r="K1204" s="23"/>
      <c r="L1204" s="23"/>
      <c r="M1204" s="131"/>
      <c r="N1204" s="131"/>
      <c r="O1204" s="131"/>
    </row>
    <row r="1205" spans="3:15" x14ac:dyDescent="0.3">
      <c r="C1205" s="18"/>
      <c r="D1205" s="33"/>
      <c r="E1205" s="127"/>
      <c r="F1205" s="128"/>
      <c r="G1205" s="128"/>
      <c r="H1205" s="129"/>
      <c r="I1205" s="130"/>
      <c r="J1205" s="23"/>
      <c r="K1205" s="23"/>
      <c r="L1205" s="23"/>
      <c r="M1205" s="131"/>
      <c r="N1205" s="131"/>
      <c r="O1205" s="131"/>
    </row>
    <row r="1206" spans="3:15" x14ac:dyDescent="0.3">
      <c r="C1206" s="18"/>
      <c r="D1206" s="33"/>
      <c r="E1206" s="127"/>
      <c r="F1206" s="128"/>
      <c r="G1206" s="128"/>
      <c r="H1206" s="129"/>
      <c r="I1206" s="130"/>
      <c r="J1206" s="23"/>
      <c r="K1206" s="23"/>
      <c r="L1206" s="23"/>
      <c r="M1206" s="131"/>
      <c r="N1206" s="131"/>
      <c r="O1206" s="131"/>
    </row>
    <row r="1207" spans="3:15" x14ac:dyDescent="0.3">
      <c r="C1207" s="18"/>
      <c r="D1207" s="33"/>
      <c r="E1207" s="127"/>
      <c r="F1207" s="128"/>
      <c r="G1207" s="128"/>
      <c r="H1207" s="129"/>
      <c r="I1207" s="130"/>
      <c r="J1207" s="23"/>
      <c r="K1207" s="23"/>
      <c r="L1207" s="23"/>
      <c r="M1207" s="131"/>
      <c r="N1207" s="131"/>
      <c r="O1207" s="131"/>
    </row>
    <row r="1208" spans="3:15" x14ac:dyDescent="0.3">
      <c r="C1208" s="18"/>
      <c r="D1208" s="33"/>
      <c r="E1208" s="127"/>
      <c r="F1208" s="128"/>
      <c r="G1208" s="128"/>
      <c r="H1208" s="129"/>
      <c r="I1208" s="130"/>
      <c r="J1208" s="23"/>
      <c r="K1208" s="23"/>
      <c r="L1208" s="23"/>
      <c r="M1208" s="131"/>
      <c r="N1208" s="131"/>
      <c r="O1208" s="131"/>
    </row>
    <row r="1209" spans="3:15" x14ac:dyDescent="0.3">
      <c r="C1209" s="18"/>
      <c r="D1209" s="33"/>
      <c r="E1209" s="127"/>
      <c r="F1209" s="128"/>
      <c r="G1209" s="128"/>
      <c r="H1209" s="129"/>
      <c r="I1209" s="130"/>
      <c r="J1209" s="23"/>
      <c r="K1209" s="23"/>
      <c r="L1209" s="23"/>
      <c r="M1209" s="131"/>
      <c r="N1209" s="131"/>
      <c r="O1209" s="131"/>
    </row>
    <row r="1210" spans="3:15" x14ac:dyDescent="0.3">
      <c r="C1210" s="18"/>
      <c r="D1210" s="33"/>
      <c r="E1210" s="127"/>
      <c r="F1210" s="128"/>
      <c r="G1210" s="128"/>
      <c r="H1210" s="129"/>
      <c r="I1210" s="130"/>
      <c r="J1210" s="23"/>
      <c r="K1210" s="23"/>
      <c r="L1210" s="23"/>
      <c r="M1210" s="131"/>
      <c r="N1210" s="131"/>
      <c r="O1210" s="131"/>
    </row>
    <row r="1211" spans="3:15" x14ac:dyDescent="0.3">
      <c r="C1211" s="18"/>
      <c r="D1211" s="33"/>
      <c r="E1211" s="127"/>
      <c r="F1211" s="128"/>
      <c r="G1211" s="128"/>
      <c r="H1211" s="129"/>
      <c r="I1211" s="130"/>
      <c r="J1211" s="23"/>
      <c r="K1211" s="23"/>
      <c r="L1211" s="23"/>
      <c r="M1211" s="131"/>
      <c r="N1211" s="131"/>
      <c r="O1211" s="131"/>
    </row>
    <row r="1212" spans="3:15" x14ac:dyDescent="0.3">
      <c r="C1212" s="18"/>
      <c r="D1212" s="33"/>
      <c r="E1212" s="127"/>
      <c r="F1212" s="128"/>
      <c r="G1212" s="128"/>
      <c r="H1212" s="129"/>
      <c r="I1212" s="130"/>
      <c r="J1212" s="23"/>
      <c r="K1212" s="23"/>
      <c r="L1212" s="23"/>
      <c r="M1212" s="131"/>
      <c r="N1212" s="131"/>
      <c r="O1212" s="131"/>
    </row>
    <row r="1213" spans="3:15" x14ac:dyDescent="0.3">
      <c r="C1213" s="18"/>
      <c r="D1213" s="33"/>
      <c r="E1213" s="127"/>
      <c r="F1213" s="128"/>
      <c r="G1213" s="128"/>
      <c r="H1213" s="129"/>
      <c r="I1213" s="130"/>
      <c r="J1213" s="23"/>
      <c r="K1213" s="23"/>
      <c r="L1213" s="23"/>
      <c r="M1213" s="131"/>
      <c r="N1213" s="131"/>
      <c r="O1213" s="131"/>
    </row>
    <row r="1214" spans="3:15" x14ac:dyDescent="0.3">
      <c r="C1214" s="18"/>
      <c r="D1214" s="33"/>
      <c r="E1214" s="127"/>
      <c r="F1214" s="128"/>
      <c r="G1214" s="128"/>
      <c r="H1214" s="129"/>
      <c r="I1214" s="130"/>
      <c r="J1214" s="23"/>
      <c r="K1214" s="23"/>
      <c r="L1214" s="23"/>
      <c r="M1214" s="131"/>
      <c r="N1214" s="131"/>
      <c r="O1214" s="131"/>
    </row>
    <row r="1215" spans="3:15" x14ac:dyDescent="0.3">
      <c r="C1215" s="18"/>
      <c r="D1215" s="33"/>
      <c r="E1215" s="127"/>
      <c r="F1215" s="128"/>
      <c r="G1215" s="128"/>
      <c r="H1215" s="129"/>
      <c r="I1215" s="130"/>
      <c r="J1215" s="23"/>
      <c r="K1215" s="23"/>
      <c r="L1215" s="23"/>
      <c r="M1215" s="131"/>
      <c r="N1215" s="131"/>
      <c r="O1215" s="131"/>
    </row>
    <row r="1216" spans="3:15" x14ac:dyDescent="0.3">
      <c r="C1216" s="18"/>
      <c r="D1216" s="33"/>
      <c r="E1216" s="127"/>
      <c r="F1216" s="128"/>
      <c r="G1216" s="128"/>
      <c r="H1216" s="129"/>
      <c r="I1216" s="130"/>
      <c r="J1216" s="23"/>
      <c r="K1216" s="23"/>
      <c r="L1216" s="23"/>
      <c r="M1216" s="131"/>
      <c r="N1216" s="131"/>
      <c r="O1216" s="131"/>
    </row>
    <row r="1217" spans="3:15" x14ac:dyDescent="0.3">
      <c r="C1217" s="18"/>
      <c r="D1217" s="33"/>
      <c r="E1217" s="127"/>
      <c r="F1217" s="128"/>
      <c r="G1217" s="128"/>
      <c r="H1217" s="129"/>
      <c r="I1217" s="130"/>
      <c r="J1217" s="23"/>
      <c r="K1217" s="23"/>
      <c r="L1217" s="23"/>
      <c r="M1217" s="131"/>
      <c r="N1217" s="131"/>
      <c r="O1217" s="131"/>
    </row>
    <row r="1218" spans="3:15" x14ac:dyDescent="0.3">
      <c r="C1218" s="18"/>
      <c r="D1218" s="33"/>
      <c r="E1218" s="127"/>
      <c r="F1218" s="128"/>
      <c r="G1218" s="128"/>
      <c r="H1218" s="129"/>
      <c r="I1218" s="130"/>
      <c r="J1218" s="23"/>
      <c r="K1218" s="23"/>
      <c r="L1218" s="23"/>
      <c r="M1218" s="131"/>
      <c r="N1218" s="131"/>
      <c r="O1218" s="131"/>
    </row>
    <row r="1219" spans="3:15" x14ac:dyDescent="0.3">
      <c r="C1219" s="18"/>
      <c r="D1219" s="33"/>
      <c r="E1219" s="127"/>
      <c r="F1219" s="128"/>
      <c r="G1219" s="128"/>
      <c r="H1219" s="129"/>
      <c r="I1219" s="130"/>
      <c r="J1219" s="23"/>
      <c r="K1219" s="23"/>
      <c r="L1219" s="23"/>
      <c r="M1219" s="131"/>
      <c r="N1219" s="131"/>
      <c r="O1219" s="131"/>
    </row>
    <row r="1220" spans="3:15" x14ac:dyDescent="0.3">
      <c r="C1220" s="18"/>
      <c r="D1220" s="33"/>
      <c r="E1220" s="127"/>
      <c r="F1220" s="128"/>
      <c r="G1220" s="128"/>
      <c r="H1220" s="129"/>
      <c r="I1220" s="130"/>
      <c r="J1220" s="23"/>
      <c r="K1220" s="23"/>
      <c r="L1220" s="23"/>
      <c r="M1220" s="131"/>
      <c r="N1220" s="131"/>
      <c r="O1220" s="131"/>
    </row>
    <row r="1221" spans="3:15" x14ac:dyDescent="0.3">
      <c r="C1221" s="18"/>
      <c r="D1221" s="33"/>
      <c r="E1221" s="127"/>
      <c r="F1221" s="128"/>
      <c r="G1221" s="128"/>
      <c r="H1221" s="129"/>
      <c r="I1221" s="130"/>
      <c r="J1221" s="23"/>
      <c r="K1221" s="23"/>
      <c r="L1221" s="23"/>
      <c r="M1221" s="131"/>
      <c r="N1221" s="131"/>
      <c r="O1221" s="131"/>
    </row>
    <row r="1222" spans="3:15" x14ac:dyDescent="0.3">
      <c r="C1222" s="18"/>
      <c r="D1222" s="33"/>
      <c r="E1222" s="127"/>
      <c r="F1222" s="128"/>
      <c r="G1222" s="128"/>
      <c r="H1222" s="129"/>
      <c r="I1222" s="130"/>
      <c r="J1222" s="23"/>
      <c r="K1222" s="23"/>
      <c r="L1222" s="23"/>
      <c r="M1222" s="131"/>
      <c r="N1222" s="131"/>
      <c r="O1222" s="131"/>
    </row>
    <row r="1223" spans="3:15" x14ac:dyDescent="0.3">
      <c r="C1223" s="18"/>
      <c r="D1223" s="33"/>
      <c r="E1223" s="127"/>
      <c r="F1223" s="128"/>
      <c r="G1223" s="128"/>
      <c r="H1223" s="129"/>
      <c r="I1223" s="130"/>
      <c r="J1223" s="23"/>
      <c r="K1223" s="23"/>
      <c r="L1223" s="23"/>
      <c r="M1223" s="131"/>
      <c r="N1223" s="131"/>
      <c r="O1223" s="131"/>
    </row>
    <row r="1224" spans="3:15" x14ac:dyDescent="0.3">
      <c r="C1224" s="18"/>
      <c r="D1224" s="33"/>
      <c r="E1224" s="127"/>
      <c r="F1224" s="128"/>
      <c r="G1224" s="128"/>
      <c r="H1224" s="129"/>
      <c r="I1224" s="130"/>
      <c r="J1224" s="23"/>
      <c r="K1224" s="23"/>
      <c r="L1224" s="23"/>
      <c r="M1224" s="131"/>
      <c r="N1224" s="131"/>
      <c r="O1224" s="131"/>
    </row>
    <row r="1225" spans="3:15" x14ac:dyDescent="0.3">
      <c r="C1225" s="18"/>
      <c r="D1225" s="33"/>
      <c r="E1225" s="127"/>
      <c r="F1225" s="128"/>
      <c r="G1225" s="128"/>
      <c r="H1225" s="129"/>
      <c r="I1225" s="130"/>
      <c r="J1225" s="23"/>
      <c r="K1225" s="23"/>
      <c r="L1225" s="23"/>
      <c r="M1225" s="131"/>
      <c r="N1225" s="131"/>
      <c r="O1225" s="131"/>
    </row>
    <row r="1226" spans="3:15" x14ac:dyDescent="0.3">
      <c r="C1226" s="18"/>
      <c r="D1226" s="33"/>
      <c r="E1226" s="127"/>
      <c r="F1226" s="128"/>
      <c r="G1226" s="128"/>
      <c r="H1226" s="129"/>
      <c r="I1226" s="130"/>
      <c r="J1226" s="23"/>
      <c r="K1226" s="23"/>
      <c r="L1226" s="23"/>
      <c r="M1226" s="131"/>
      <c r="N1226" s="131"/>
      <c r="O1226" s="131"/>
    </row>
    <row r="1227" spans="3:15" x14ac:dyDescent="0.3">
      <c r="C1227" s="18"/>
      <c r="D1227" s="33"/>
      <c r="E1227" s="127"/>
      <c r="F1227" s="128"/>
      <c r="G1227" s="128"/>
      <c r="H1227" s="129"/>
      <c r="I1227" s="130"/>
      <c r="J1227" s="23"/>
      <c r="K1227" s="23"/>
      <c r="L1227" s="23"/>
      <c r="M1227" s="131"/>
      <c r="N1227" s="131"/>
      <c r="O1227" s="131"/>
    </row>
    <row r="1228" spans="3:15" x14ac:dyDescent="0.3">
      <c r="C1228" s="18"/>
      <c r="D1228" s="33"/>
      <c r="E1228" s="127"/>
      <c r="F1228" s="128"/>
      <c r="G1228" s="128"/>
      <c r="H1228" s="129"/>
      <c r="I1228" s="130"/>
      <c r="J1228" s="23"/>
      <c r="K1228" s="23"/>
      <c r="L1228" s="23"/>
      <c r="M1228" s="131"/>
      <c r="N1228" s="131"/>
      <c r="O1228" s="131"/>
    </row>
    <row r="1229" spans="3:15" x14ac:dyDescent="0.3">
      <c r="C1229" s="18"/>
      <c r="D1229" s="33"/>
      <c r="E1229" s="127"/>
      <c r="F1229" s="128"/>
      <c r="G1229" s="128"/>
      <c r="H1229" s="129"/>
      <c r="I1229" s="130"/>
      <c r="J1229" s="23"/>
      <c r="K1229" s="23"/>
      <c r="L1229" s="23"/>
      <c r="M1229" s="131"/>
      <c r="N1229" s="131"/>
      <c r="O1229" s="131"/>
    </row>
    <row r="1230" spans="3:15" x14ac:dyDescent="0.3">
      <c r="C1230" s="18"/>
      <c r="D1230" s="33"/>
      <c r="E1230" s="127"/>
      <c r="F1230" s="128"/>
      <c r="G1230" s="128"/>
      <c r="H1230" s="129"/>
      <c r="I1230" s="130"/>
      <c r="J1230" s="23"/>
      <c r="K1230" s="23"/>
      <c r="L1230" s="23"/>
      <c r="M1230" s="131"/>
      <c r="N1230" s="131"/>
      <c r="O1230" s="131"/>
    </row>
    <row r="1231" spans="3:15" x14ac:dyDescent="0.3">
      <c r="C1231" s="18"/>
      <c r="D1231" s="33"/>
      <c r="E1231" s="127"/>
      <c r="F1231" s="128"/>
      <c r="G1231" s="128"/>
      <c r="H1231" s="129"/>
      <c r="I1231" s="130"/>
      <c r="J1231" s="23"/>
      <c r="K1231" s="23"/>
      <c r="L1231" s="23"/>
      <c r="M1231" s="131"/>
      <c r="N1231" s="131"/>
      <c r="O1231" s="131"/>
    </row>
    <row r="1232" spans="3:15" x14ac:dyDescent="0.3">
      <c r="C1232" s="18"/>
      <c r="D1232" s="33"/>
      <c r="E1232" s="127"/>
      <c r="F1232" s="128"/>
      <c r="G1232" s="128"/>
      <c r="H1232" s="129"/>
      <c r="I1232" s="130"/>
      <c r="J1232" s="23"/>
      <c r="K1232" s="23"/>
      <c r="L1232" s="23"/>
      <c r="M1232" s="131"/>
      <c r="N1232" s="131"/>
      <c r="O1232" s="131"/>
    </row>
    <row r="1233" spans="3:15" x14ac:dyDescent="0.3">
      <c r="C1233" s="18"/>
      <c r="D1233" s="33"/>
      <c r="E1233" s="127"/>
      <c r="F1233" s="128"/>
      <c r="G1233" s="128"/>
      <c r="H1233" s="129"/>
      <c r="I1233" s="130"/>
      <c r="J1233" s="23"/>
      <c r="K1233" s="23"/>
      <c r="L1233" s="23"/>
      <c r="M1233" s="131"/>
      <c r="N1233" s="131"/>
      <c r="O1233" s="131"/>
    </row>
    <row r="1234" spans="3:15" x14ac:dyDescent="0.3">
      <c r="C1234" s="18"/>
      <c r="D1234" s="33"/>
      <c r="E1234" s="127"/>
      <c r="F1234" s="128"/>
      <c r="G1234" s="128"/>
      <c r="H1234" s="129"/>
      <c r="I1234" s="130"/>
      <c r="J1234" s="23"/>
      <c r="K1234" s="23"/>
      <c r="L1234" s="23"/>
      <c r="M1234" s="131"/>
      <c r="N1234" s="131"/>
      <c r="O1234" s="131"/>
    </row>
    <row r="1235" spans="3:15" x14ac:dyDescent="0.3">
      <c r="C1235" s="18"/>
      <c r="D1235" s="33"/>
      <c r="E1235" s="127"/>
      <c r="F1235" s="128"/>
      <c r="G1235" s="128"/>
      <c r="H1235" s="129"/>
      <c r="I1235" s="130"/>
      <c r="J1235" s="23"/>
      <c r="K1235" s="23"/>
      <c r="L1235" s="23"/>
      <c r="M1235" s="131"/>
      <c r="N1235" s="131"/>
      <c r="O1235" s="131"/>
    </row>
    <row r="1236" spans="3:15" x14ac:dyDescent="0.3">
      <c r="C1236" s="18"/>
      <c r="D1236" s="33"/>
      <c r="E1236" s="127"/>
      <c r="F1236" s="128"/>
      <c r="G1236" s="128"/>
      <c r="H1236" s="129"/>
      <c r="I1236" s="130"/>
      <c r="J1236" s="23"/>
      <c r="K1236" s="23"/>
      <c r="L1236" s="23"/>
      <c r="M1236" s="131"/>
      <c r="N1236" s="131"/>
      <c r="O1236" s="131"/>
    </row>
    <row r="1237" spans="3:15" x14ac:dyDescent="0.3">
      <c r="C1237" s="18"/>
      <c r="D1237" s="33"/>
      <c r="E1237" s="127"/>
      <c r="F1237" s="128"/>
      <c r="G1237" s="128"/>
      <c r="H1237" s="129"/>
      <c r="I1237" s="130"/>
      <c r="J1237" s="23"/>
      <c r="K1237" s="23"/>
      <c r="L1237" s="23"/>
      <c r="M1237" s="131"/>
      <c r="N1237" s="131"/>
      <c r="O1237" s="131"/>
    </row>
    <row r="1238" spans="3:15" x14ac:dyDescent="0.3">
      <c r="C1238" s="18"/>
      <c r="D1238" s="33"/>
      <c r="E1238" s="127"/>
      <c r="F1238" s="128"/>
      <c r="G1238" s="128"/>
      <c r="H1238" s="129"/>
      <c r="I1238" s="130"/>
      <c r="J1238" s="23"/>
      <c r="K1238" s="23"/>
      <c r="L1238" s="23"/>
      <c r="M1238" s="131"/>
      <c r="N1238" s="131"/>
      <c r="O1238" s="131"/>
    </row>
    <row r="1239" spans="3:15" x14ac:dyDescent="0.3">
      <c r="C1239" s="18"/>
      <c r="D1239" s="33"/>
      <c r="E1239" s="127"/>
      <c r="F1239" s="128"/>
      <c r="G1239" s="128"/>
      <c r="H1239" s="129"/>
      <c r="I1239" s="130"/>
      <c r="J1239" s="23"/>
      <c r="K1239" s="23"/>
      <c r="L1239" s="23"/>
      <c r="M1239" s="131"/>
      <c r="N1239" s="131"/>
      <c r="O1239" s="131"/>
    </row>
    <row r="1240" spans="3:15" x14ac:dyDescent="0.3">
      <c r="C1240" s="18"/>
      <c r="D1240" s="33"/>
      <c r="E1240" s="127"/>
      <c r="F1240" s="128"/>
      <c r="G1240" s="128"/>
      <c r="H1240" s="129"/>
      <c r="I1240" s="130"/>
      <c r="J1240" s="23"/>
      <c r="K1240" s="23"/>
      <c r="L1240" s="23"/>
      <c r="M1240" s="131"/>
      <c r="N1240" s="131"/>
      <c r="O1240" s="131"/>
    </row>
    <row r="1241" spans="3:15" x14ac:dyDescent="0.3">
      <c r="C1241" s="18"/>
      <c r="D1241" s="33"/>
      <c r="E1241" s="127"/>
      <c r="F1241" s="128"/>
      <c r="G1241" s="128"/>
      <c r="H1241" s="129"/>
      <c r="I1241" s="130"/>
      <c r="J1241" s="23"/>
      <c r="K1241" s="23"/>
      <c r="L1241" s="23"/>
      <c r="M1241" s="131"/>
      <c r="N1241" s="131"/>
      <c r="O1241" s="131"/>
    </row>
    <row r="1242" spans="3:15" x14ac:dyDescent="0.3">
      <c r="C1242" s="18"/>
      <c r="D1242" s="33"/>
      <c r="E1242" s="127"/>
      <c r="F1242" s="128"/>
      <c r="G1242" s="128"/>
      <c r="H1242" s="129"/>
      <c r="I1242" s="130"/>
      <c r="J1242" s="23"/>
      <c r="K1242" s="23"/>
      <c r="L1242" s="23"/>
      <c r="M1242" s="131"/>
      <c r="N1242" s="131"/>
      <c r="O1242" s="131"/>
    </row>
    <row r="1243" spans="3:15" x14ac:dyDescent="0.3">
      <c r="C1243" s="18"/>
      <c r="D1243" s="33"/>
      <c r="E1243" s="127"/>
      <c r="F1243" s="128"/>
      <c r="G1243" s="128"/>
      <c r="H1243" s="129"/>
      <c r="I1243" s="130"/>
      <c r="J1243" s="23"/>
      <c r="K1243" s="23"/>
      <c r="L1243" s="23"/>
      <c r="M1243" s="131"/>
      <c r="N1243" s="131"/>
      <c r="O1243" s="131"/>
    </row>
    <row r="1244" spans="3:15" x14ac:dyDescent="0.3">
      <c r="C1244" s="18"/>
      <c r="D1244" s="33"/>
      <c r="E1244" s="127"/>
      <c r="F1244" s="128"/>
      <c r="G1244" s="128"/>
      <c r="H1244" s="129"/>
      <c r="I1244" s="130"/>
      <c r="J1244" s="23"/>
      <c r="K1244" s="23"/>
      <c r="L1244" s="23"/>
      <c r="M1244" s="131"/>
      <c r="N1244" s="131"/>
      <c r="O1244" s="131"/>
    </row>
    <row r="1245" spans="3:15" x14ac:dyDescent="0.3">
      <c r="C1245" s="18"/>
      <c r="D1245" s="33"/>
      <c r="E1245" s="127"/>
      <c r="F1245" s="128"/>
      <c r="G1245" s="128"/>
      <c r="H1245" s="129"/>
      <c r="I1245" s="130"/>
      <c r="J1245" s="23"/>
      <c r="K1245" s="23"/>
      <c r="L1245" s="23"/>
      <c r="M1245" s="131"/>
      <c r="N1245" s="131"/>
      <c r="O1245" s="131"/>
    </row>
    <row r="1246" spans="3:15" x14ac:dyDescent="0.3">
      <c r="C1246" s="18"/>
      <c r="D1246" s="33"/>
      <c r="E1246" s="127"/>
      <c r="F1246" s="128"/>
      <c r="G1246" s="128"/>
      <c r="H1246" s="129"/>
      <c r="I1246" s="130"/>
      <c r="J1246" s="23"/>
      <c r="K1246" s="23"/>
      <c r="L1246" s="23"/>
      <c r="M1246" s="131"/>
      <c r="N1246" s="131"/>
      <c r="O1246" s="131"/>
    </row>
    <row r="1247" spans="3:15" x14ac:dyDescent="0.3">
      <c r="C1247" s="18"/>
      <c r="D1247" s="33"/>
      <c r="E1247" s="127"/>
      <c r="F1247" s="128"/>
      <c r="G1247" s="128"/>
      <c r="H1247" s="129"/>
      <c r="I1247" s="130"/>
      <c r="J1247" s="23"/>
      <c r="K1247" s="23"/>
      <c r="L1247" s="23"/>
      <c r="M1247" s="131"/>
      <c r="N1247" s="131"/>
      <c r="O1247" s="131"/>
    </row>
    <row r="1248" spans="3:15" x14ac:dyDescent="0.3">
      <c r="C1248" s="18"/>
      <c r="D1248" s="33"/>
      <c r="E1248" s="127"/>
      <c r="F1248" s="128"/>
      <c r="G1248" s="128"/>
      <c r="H1248" s="129"/>
      <c r="I1248" s="130"/>
      <c r="J1248" s="23"/>
      <c r="K1248" s="23"/>
      <c r="L1248" s="23"/>
      <c r="M1248" s="131"/>
      <c r="N1248" s="131"/>
      <c r="O1248" s="131"/>
    </row>
    <row r="1249" spans="3:15" x14ac:dyDescent="0.3">
      <c r="C1249" s="18"/>
      <c r="D1249" s="33"/>
      <c r="E1249" s="127"/>
      <c r="F1249" s="128"/>
      <c r="G1249" s="128"/>
      <c r="H1249" s="129"/>
      <c r="I1249" s="130"/>
      <c r="J1249" s="23"/>
      <c r="K1249" s="23"/>
      <c r="L1249" s="23"/>
      <c r="M1249" s="131"/>
      <c r="N1249" s="131"/>
      <c r="O1249" s="131"/>
    </row>
    <row r="1250" spans="3:15" x14ac:dyDescent="0.3">
      <c r="C1250" s="18"/>
      <c r="D1250" s="33"/>
      <c r="E1250" s="127"/>
      <c r="F1250" s="128"/>
      <c r="G1250" s="128"/>
      <c r="H1250" s="129"/>
      <c r="I1250" s="130"/>
      <c r="J1250" s="23"/>
      <c r="K1250" s="23"/>
      <c r="L1250" s="23"/>
      <c r="M1250" s="131"/>
      <c r="N1250" s="131"/>
      <c r="O1250" s="131"/>
    </row>
    <row r="1251" spans="3:15" x14ac:dyDescent="0.3">
      <c r="C1251" s="18"/>
      <c r="D1251" s="33"/>
      <c r="E1251" s="127"/>
      <c r="F1251" s="128"/>
      <c r="G1251" s="128"/>
      <c r="H1251" s="129"/>
      <c r="I1251" s="130"/>
      <c r="J1251" s="23"/>
      <c r="K1251" s="23"/>
      <c r="L1251" s="23"/>
      <c r="M1251" s="131"/>
      <c r="N1251" s="131"/>
      <c r="O1251" s="131"/>
    </row>
    <row r="1252" spans="3:15" x14ac:dyDescent="0.3">
      <c r="C1252" s="18"/>
      <c r="D1252" s="33"/>
      <c r="E1252" s="127"/>
      <c r="F1252" s="128"/>
      <c r="G1252" s="128"/>
      <c r="H1252" s="129"/>
      <c r="I1252" s="130"/>
      <c r="J1252" s="23"/>
      <c r="K1252" s="23"/>
      <c r="L1252" s="23"/>
      <c r="M1252" s="131"/>
      <c r="N1252" s="131"/>
      <c r="O1252" s="131"/>
    </row>
    <row r="1253" spans="3:15" x14ac:dyDescent="0.3">
      <c r="C1253" s="18"/>
      <c r="D1253" s="33"/>
      <c r="E1253" s="127"/>
      <c r="F1253" s="128"/>
      <c r="G1253" s="128"/>
      <c r="H1253" s="129"/>
      <c r="I1253" s="130"/>
      <c r="J1253" s="23"/>
      <c r="K1253" s="23"/>
      <c r="L1253" s="23"/>
      <c r="M1253" s="131"/>
      <c r="N1253" s="131"/>
      <c r="O1253" s="131"/>
    </row>
    <row r="1254" spans="3:15" x14ac:dyDescent="0.3">
      <c r="C1254" s="18"/>
      <c r="D1254" s="33"/>
      <c r="E1254" s="127"/>
      <c r="F1254" s="128"/>
      <c r="G1254" s="128"/>
      <c r="H1254" s="129"/>
      <c r="I1254" s="130"/>
      <c r="J1254" s="23"/>
      <c r="K1254" s="23"/>
      <c r="L1254" s="23"/>
      <c r="M1254" s="131"/>
      <c r="N1254" s="131"/>
      <c r="O1254" s="131"/>
    </row>
    <row r="1255" spans="3:15" x14ac:dyDescent="0.3">
      <c r="C1255" s="18"/>
      <c r="D1255" s="33"/>
      <c r="E1255" s="127"/>
      <c r="F1255" s="128"/>
      <c r="G1255" s="128"/>
      <c r="H1255" s="129"/>
      <c r="I1255" s="130"/>
      <c r="J1255" s="23"/>
      <c r="K1255" s="23"/>
      <c r="L1255" s="23"/>
      <c r="M1255" s="131"/>
      <c r="N1255" s="131"/>
      <c r="O1255" s="131"/>
    </row>
    <row r="1256" spans="3:15" x14ac:dyDescent="0.3">
      <c r="C1256" s="18"/>
      <c r="D1256" s="33"/>
      <c r="E1256" s="127"/>
      <c r="F1256" s="128"/>
      <c r="G1256" s="128"/>
      <c r="H1256" s="129"/>
      <c r="I1256" s="130"/>
      <c r="J1256" s="23"/>
      <c r="K1256" s="23"/>
      <c r="L1256" s="23"/>
      <c r="M1256" s="131"/>
      <c r="N1256" s="131"/>
      <c r="O1256" s="131"/>
    </row>
    <row r="1257" spans="3:15" x14ac:dyDescent="0.3">
      <c r="C1257" s="18"/>
      <c r="D1257" s="33"/>
      <c r="E1257" s="127"/>
      <c r="F1257" s="128"/>
      <c r="G1257" s="128"/>
      <c r="H1257" s="129"/>
      <c r="I1257" s="130"/>
      <c r="J1257" s="23"/>
      <c r="K1257" s="23"/>
      <c r="L1257" s="23"/>
      <c r="M1257" s="131"/>
      <c r="N1257" s="131"/>
      <c r="O1257" s="131"/>
    </row>
    <row r="1258" spans="3:15" x14ac:dyDescent="0.3">
      <c r="C1258" s="18"/>
      <c r="D1258" s="33"/>
      <c r="E1258" s="127"/>
      <c r="F1258" s="128"/>
      <c r="G1258" s="128"/>
      <c r="H1258" s="129"/>
      <c r="I1258" s="130"/>
      <c r="J1258" s="23"/>
      <c r="K1258" s="23"/>
      <c r="L1258" s="23"/>
      <c r="M1258" s="131"/>
      <c r="N1258" s="131"/>
      <c r="O1258" s="131"/>
    </row>
    <row r="1259" spans="3:15" x14ac:dyDescent="0.3">
      <c r="C1259" s="18"/>
      <c r="D1259" s="33"/>
      <c r="E1259" s="127"/>
      <c r="F1259" s="128"/>
      <c r="G1259" s="128"/>
      <c r="H1259" s="129"/>
      <c r="I1259" s="130"/>
      <c r="J1259" s="23"/>
      <c r="K1259" s="23"/>
      <c r="L1259" s="23"/>
      <c r="M1259" s="131"/>
      <c r="N1259" s="131"/>
      <c r="O1259" s="131"/>
    </row>
    <row r="1260" spans="3:15" x14ac:dyDescent="0.3">
      <c r="C1260" s="18"/>
      <c r="D1260" s="33"/>
      <c r="E1260" s="127"/>
      <c r="F1260" s="128"/>
      <c r="G1260" s="128"/>
      <c r="H1260" s="129"/>
      <c r="I1260" s="130"/>
      <c r="J1260" s="23"/>
      <c r="K1260" s="23"/>
      <c r="L1260" s="23"/>
      <c r="M1260" s="131"/>
      <c r="N1260" s="131"/>
      <c r="O1260" s="131"/>
    </row>
    <row r="1261" spans="3:15" x14ac:dyDescent="0.3">
      <c r="C1261" s="18"/>
      <c r="D1261" s="33"/>
      <c r="E1261" s="127"/>
      <c r="F1261" s="128"/>
      <c r="G1261" s="128"/>
      <c r="H1261" s="129"/>
      <c r="I1261" s="130"/>
      <c r="J1261" s="23"/>
      <c r="K1261" s="23"/>
      <c r="L1261" s="23"/>
      <c r="M1261" s="131"/>
      <c r="N1261" s="131"/>
      <c r="O1261" s="131"/>
    </row>
    <row r="1262" spans="3:15" x14ac:dyDescent="0.3">
      <c r="C1262" s="18"/>
      <c r="D1262" s="33"/>
      <c r="E1262" s="127"/>
      <c r="F1262" s="128"/>
      <c r="G1262" s="128"/>
      <c r="H1262" s="129"/>
      <c r="I1262" s="130"/>
      <c r="J1262" s="23"/>
      <c r="K1262" s="23"/>
      <c r="L1262" s="23"/>
      <c r="M1262" s="131"/>
      <c r="N1262" s="131"/>
      <c r="O1262" s="131"/>
    </row>
    <row r="1263" spans="3:15" x14ac:dyDescent="0.3">
      <c r="C1263" s="18"/>
      <c r="D1263" s="33"/>
      <c r="E1263" s="127"/>
      <c r="F1263" s="128"/>
      <c r="G1263" s="128"/>
      <c r="H1263" s="129"/>
      <c r="I1263" s="130"/>
      <c r="J1263" s="23"/>
      <c r="K1263" s="23"/>
      <c r="L1263" s="23"/>
      <c r="M1263" s="131"/>
      <c r="N1263" s="131"/>
      <c r="O1263" s="131"/>
    </row>
    <row r="1264" spans="3:15" x14ac:dyDescent="0.3">
      <c r="C1264" s="18"/>
      <c r="D1264" s="33"/>
      <c r="E1264" s="127"/>
      <c r="F1264" s="128"/>
      <c r="G1264" s="128"/>
      <c r="H1264" s="129"/>
      <c r="I1264" s="130"/>
      <c r="J1264" s="23"/>
      <c r="K1264" s="23"/>
      <c r="L1264" s="23"/>
      <c r="M1264" s="131"/>
      <c r="N1264" s="131"/>
      <c r="O1264" s="131"/>
    </row>
    <row r="1265" spans="3:15" x14ac:dyDescent="0.3">
      <c r="C1265" s="18"/>
      <c r="D1265" s="33"/>
      <c r="E1265" s="127"/>
      <c r="F1265" s="128"/>
      <c r="G1265" s="128"/>
      <c r="H1265" s="129"/>
      <c r="I1265" s="130"/>
      <c r="J1265" s="23"/>
      <c r="K1265" s="23"/>
      <c r="L1265" s="23"/>
      <c r="M1265" s="131"/>
      <c r="N1265" s="131"/>
      <c r="O1265" s="131"/>
    </row>
    <row r="1266" spans="3:15" x14ac:dyDescent="0.3">
      <c r="C1266" s="18"/>
      <c r="D1266" s="33"/>
      <c r="E1266" s="127"/>
      <c r="F1266" s="128"/>
      <c r="G1266" s="128"/>
      <c r="H1266" s="129"/>
      <c r="I1266" s="130"/>
      <c r="J1266" s="23"/>
      <c r="K1266" s="23"/>
      <c r="L1266" s="23"/>
      <c r="M1266" s="131"/>
      <c r="N1266" s="131"/>
      <c r="O1266" s="131"/>
    </row>
    <row r="1267" spans="3:15" x14ac:dyDescent="0.3">
      <c r="C1267" s="18"/>
      <c r="D1267" s="33"/>
      <c r="E1267" s="127"/>
      <c r="F1267" s="128"/>
      <c r="G1267" s="128"/>
      <c r="H1267" s="129"/>
      <c r="I1267" s="130"/>
      <c r="J1267" s="23"/>
      <c r="K1267" s="23"/>
      <c r="L1267" s="23"/>
      <c r="M1267" s="131"/>
      <c r="N1267" s="131"/>
      <c r="O1267" s="131"/>
    </row>
    <row r="1268" spans="3:15" x14ac:dyDescent="0.3">
      <c r="C1268" s="18"/>
      <c r="D1268" s="33"/>
      <c r="E1268" s="127"/>
      <c r="F1268" s="128"/>
      <c r="G1268" s="128"/>
      <c r="H1268" s="129"/>
      <c r="I1268" s="130"/>
      <c r="J1268" s="23"/>
      <c r="K1268" s="23"/>
      <c r="L1268" s="23"/>
      <c r="M1268" s="131"/>
      <c r="N1268" s="131"/>
      <c r="O1268" s="131"/>
    </row>
    <row r="1269" spans="3:15" x14ac:dyDescent="0.3">
      <c r="C1269" s="18"/>
      <c r="D1269" s="33"/>
      <c r="E1269" s="127"/>
      <c r="F1269" s="128"/>
      <c r="G1269" s="128"/>
      <c r="H1269" s="129"/>
      <c r="I1269" s="130"/>
      <c r="J1269" s="23"/>
      <c r="K1269" s="23"/>
      <c r="L1269" s="23"/>
      <c r="M1269" s="131"/>
      <c r="N1269" s="131"/>
      <c r="O1269" s="131"/>
    </row>
    <row r="1270" spans="3:15" x14ac:dyDescent="0.3">
      <c r="C1270" s="18"/>
      <c r="D1270" s="33"/>
      <c r="E1270" s="127"/>
      <c r="F1270" s="128"/>
      <c r="G1270" s="128"/>
      <c r="H1270" s="129"/>
      <c r="I1270" s="130"/>
      <c r="J1270" s="23"/>
      <c r="K1270" s="23"/>
      <c r="L1270" s="23"/>
      <c r="M1270" s="131"/>
      <c r="N1270" s="131"/>
      <c r="O1270" s="131"/>
    </row>
    <row r="1271" spans="3:15" x14ac:dyDescent="0.3">
      <c r="C1271" s="18"/>
      <c r="D1271" s="33"/>
      <c r="E1271" s="127"/>
      <c r="F1271" s="128"/>
      <c r="G1271" s="128"/>
      <c r="H1271" s="129"/>
      <c r="I1271" s="130"/>
      <c r="J1271" s="23"/>
      <c r="K1271" s="23"/>
      <c r="L1271" s="23"/>
      <c r="M1271" s="131"/>
      <c r="N1271" s="131"/>
      <c r="O1271" s="131"/>
    </row>
    <row r="1272" spans="3:15" x14ac:dyDescent="0.3">
      <c r="C1272" s="18"/>
      <c r="D1272" s="33"/>
      <c r="E1272" s="127"/>
      <c r="F1272" s="128"/>
      <c r="G1272" s="128"/>
      <c r="H1272" s="129"/>
      <c r="I1272" s="130"/>
      <c r="J1272" s="23"/>
      <c r="K1272" s="23"/>
      <c r="L1272" s="23"/>
      <c r="M1272" s="131"/>
      <c r="N1272" s="131"/>
      <c r="O1272" s="131"/>
    </row>
    <row r="1273" spans="3:15" x14ac:dyDescent="0.3">
      <c r="C1273" s="18"/>
      <c r="D1273" s="33"/>
      <c r="E1273" s="127"/>
      <c r="F1273" s="128"/>
      <c r="G1273" s="128"/>
      <c r="H1273" s="129"/>
      <c r="I1273" s="130"/>
      <c r="J1273" s="23"/>
      <c r="K1273" s="23"/>
      <c r="L1273" s="23"/>
      <c r="M1273" s="131"/>
      <c r="N1273" s="131"/>
      <c r="O1273" s="131"/>
    </row>
    <row r="1274" spans="3:15" x14ac:dyDescent="0.3">
      <c r="C1274" s="18"/>
      <c r="D1274" s="33"/>
      <c r="E1274" s="127"/>
      <c r="F1274" s="128"/>
      <c r="G1274" s="128"/>
      <c r="H1274" s="129"/>
      <c r="I1274" s="130"/>
      <c r="J1274" s="23"/>
      <c r="K1274" s="23"/>
      <c r="L1274" s="23"/>
      <c r="M1274" s="131"/>
      <c r="N1274" s="131"/>
      <c r="O1274" s="131"/>
    </row>
    <row r="1275" spans="3:15" x14ac:dyDescent="0.3">
      <c r="C1275" s="18"/>
      <c r="D1275" s="33"/>
      <c r="E1275" s="127"/>
      <c r="F1275" s="128"/>
      <c r="G1275" s="128"/>
      <c r="H1275" s="129"/>
      <c r="I1275" s="130"/>
      <c r="J1275" s="23"/>
      <c r="K1275" s="23"/>
      <c r="L1275" s="23"/>
      <c r="M1275" s="131"/>
      <c r="N1275" s="131"/>
      <c r="O1275" s="131"/>
    </row>
    <row r="1276" spans="3:15" x14ac:dyDescent="0.3">
      <c r="C1276" s="18"/>
      <c r="D1276" s="33"/>
      <c r="E1276" s="127"/>
      <c r="F1276" s="128"/>
      <c r="G1276" s="128"/>
      <c r="H1276" s="129"/>
      <c r="I1276" s="130"/>
      <c r="J1276" s="23"/>
      <c r="K1276" s="23"/>
      <c r="L1276" s="23"/>
      <c r="M1276" s="131"/>
      <c r="N1276" s="131"/>
      <c r="O1276" s="131"/>
    </row>
    <row r="1277" spans="3:15" x14ac:dyDescent="0.3">
      <c r="C1277" s="18"/>
      <c r="D1277" s="33"/>
      <c r="E1277" s="127"/>
      <c r="F1277" s="128"/>
      <c r="G1277" s="128"/>
      <c r="H1277" s="129"/>
      <c r="I1277" s="130"/>
      <c r="J1277" s="23"/>
      <c r="K1277" s="23"/>
      <c r="L1277" s="23"/>
      <c r="M1277" s="131"/>
      <c r="N1277" s="131"/>
      <c r="O1277" s="131"/>
    </row>
    <row r="1278" spans="3:15" x14ac:dyDescent="0.3">
      <c r="C1278" s="18"/>
      <c r="D1278" s="33"/>
      <c r="E1278" s="127"/>
      <c r="F1278" s="128"/>
      <c r="G1278" s="128"/>
      <c r="H1278" s="129"/>
      <c r="I1278" s="130"/>
      <c r="J1278" s="23"/>
      <c r="K1278" s="23"/>
      <c r="L1278" s="23"/>
      <c r="M1278" s="131"/>
      <c r="N1278" s="131"/>
      <c r="O1278" s="131"/>
    </row>
    <row r="1279" spans="3:15" x14ac:dyDescent="0.3">
      <c r="C1279" s="18"/>
      <c r="D1279" s="33"/>
      <c r="E1279" s="127"/>
      <c r="F1279" s="128"/>
      <c r="G1279" s="128"/>
      <c r="H1279" s="129"/>
      <c r="I1279" s="130"/>
      <c r="J1279" s="23"/>
      <c r="K1279" s="23"/>
      <c r="L1279" s="23"/>
      <c r="M1279" s="131"/>
      <c r="N1279" s="131"/>
      <c r="O1279" s="131"/>
    </row>
    <row r="1280" spans="3:15" x14ac:dyDescent="0.3">
      <c r="C1280" s="18"/>
      <c r="D1280" s="33"/>
      <c r="E1280" s="127"/>
      <c r="F1280" s="128"/>
      <c r="G1280" s="128"/>
      <c r="H1280" s="129"/>
      <c r="I1280" s="130"/>
      <c r="J1280" s="23"/>
      <c r="K1280" s="23"/>
      <c r="L1280" s="23"/>
      <c r="M1280" s="131"/>
      <c r="N1280" s="131"/>
      <c r="O1280" s="131"/>
    </row>
    <row r="1281" spans="3:15" x14ac:dyDescent="0.3">
      <c r="C1281" s="18"/>
      <c r="D1281" s="33"/>
      <c r="E1281" s="127"/>
      <c r="F1281" s="128"/>
      <c r="G1281" s="128"/>
      <c r="H1281" s="129"/>
      <c r="I1281" s="130"/>
      <c r="J1281" s="23"/>
      <c r="K1281" s="23"/>
      <c r="L1281" s="23"/>
      <c r="M1281" s="131"/>
      <c r="N1281" s="131"/>
      <c r="O1281" s="131"/>
    </row>
    <row r="1282" spans="3:15" x14ac:dyDescent="0.3">
      <c r="C1282" s="18"/>
      <c r="D1282" s="33"/>
      <c r="E1282" s="127"/>
      <c r="F1282" s="128"/>
      <c r="G1282" s="128"/>
      <c r="H1282" s="129"/>
      <c r="I1282" s="130"/>
      <c r="J1282" s="23"/>
      <c r="K1282" s="23"/>
      <c r="L1282" s="23"/>
      <c r="M1282" s="131"/>
      <c r="N1282" s="131"/>
      <c r="O1282" s="131"/>
    </row>
    <row r="1283" spans="3:15" x14ac:dyDescent="0.3">
      <c r="C1283" s="18"/>
      <c r="D1283" s="33"/>
      <c r="E1283" s="127"/>
      <c r="F1283" s="128"/>
      <c r="G1283" s="128"/>
      <c r="H1283" s="129"/>
      <c r="I1283" s="130"/>
      <c r="J1283" s="23"/>
      <c r="K1283" s="23"/>
      <c r="L1283" s="23"/>
      <c r="M1283" s="131"/>
      <c r="N1283" s="131"/>
      <c r="O1283" s="131"/>
    </row>
    <row r="1284" spans="3:15" x14ac:dyDescent="0.3">
      <c r="C1284" s="18"/>
      <c r="D1284" s="33"/>
      <c r="E1284" s="127"/>
      <c r="F1284" s="128"/>
      <c r="G1284" s="128"/>
      <c r="H1284" s="129"/>
      <c r="I1284" s="130"/>
      <c r="J1284" s="23"/>
      <c r="K1284" s="23"/>
      <c r="L1284" s="23"/>
      <c r="M1284" s="131"/>
      <c r="N1284" s="131"/>
      <c r="O1284" s="131"/>
    </row>
    <row r="1285" spans="3:15" x14ac:dyDescent="0.3">
      <c r="C1285" s="18"/>
      <c r="D1285" s="33"/>
      <c r="E1285" s="127"/>
      <c r="F1285" s="128"/>
      <c r="G1285" s="128"/>
      <c r="H1285" s="129"/>
      <c r="I1285" s="130"/>
      <c r="J1285" s="23"/>
      <c r="K1285" s="23"/>
      <c r="L1285" s="23"/>
      <c r="M1285" s="131"/>
      <c r="N1285" s="131"/>
      <c r="O1285" s="131"/>
    </row>
    <row r="1286" spans="3:15" x14ac:dyDescent="0.3">
      <c r="C1286" s="18"/>
      <c r="D1286" s="33"/>
      <c r="E1286" s="127"/>
      <c r="F1286" s="128"/>
      <c r="G1286" s="128"/>
      <c r="H1286" s="129"/>
      <c r="I1286" s="130"/>
      <c r="J1286" s="23"/>
      <c r="K1286" s="23"/>
      <c r="L1286" s="23"/>
      <c r="M1286" s="131"/>
      <c r="N1286" s="131"/>
      <c r="O1286" s="131"/>
    </row>
    <row r="1287" spans="3:15" x14ac:dyDescent="0.3">
      <c r="C1287" s="18"/>
      <c r="D1287" s="33"/>
      <c r="E1287" s="127"/>
      <c r="F1287" s="128"/>
      <c r="G1287" s="128"/>
      <c r="H1287" s="129"/>
      <c r="I1287" s="130"/>
      <c r="J1287" s="23"/>
      <c r="K1287" s="23"/>
      <c r="L1287" s="23"/>
      <c r="M1287" s="131"/>
      <c r="N1287" s="131"/>
      <c r="O1287" s="131"/>
    </row>
    <row r="1288" spans="3:15" x14ac:dyDescent="0.3">
      <c r="C1288" s="18"/>
      <c r="D1288" s="33"/>
      <c r="E1288" s="127"/>
      <c r="F1288" s="128"/>
      <c r="G1288" s="128"/>
      <c r="H1288" s="129"/>
      <c r="I1288" s="130"/>
      <c r="J1288" s="23"/>
      <c r="K1288" s="23"/>
      <c r="L1288" s="23"/>
      <c r="M1288" s="131"/>
      <c r="N1288" s="131"/>
      <c r="O1288" s="131"/>
    </row>
    <row r="1289" spans="3:15" x14ac:dyDescent="0.3">
      <c r="C1289" s="18"/>
      <c r="D1289" s="33"/>
      <c r="E1289" s="127"/>
      <c r="F1289" s="128"/>
      <c r="G1289" s="128"/>
      <c r="H1289" s="129"/>
      <c r="I1289" s="130"/>
      <c r="J1289" s="23"/>
      <c r="K1289" s="23"/>
      <c r="L1289" s="23"/>
      <c r="M1289" s="131"/>
      <c r="N1289" s="131"/>
      <c r="O1289" s="131"/>
    </row>
    <row r="1290" spans="3:15" x14ac:dyDescent="0.3">
      <c r="C1290" s="18"/>
      <c r="D1290" s="33"/>
      <c r="E1290" s="127"/>
      <c r="F1290" s="128"/>
      <c r="G1290" s="128"/>
      <c r="H1290" s="129"/>
      <c r="I1290" s="130"/>
      <c r="J1290" s="23"/>
      <c r="K1290" s="23"/>
      <c r="L1290" s="23"/>
      <c r="M1290" s="131"/>
      <c r="N1290" s="131"/>
      <c r="O1290" s="131"/>
    </row>
    <row r="1291" spans="3:15" x14ac:dyDescent="0.3">
      <c r="C1291" s="18"/>
      <c r="D1291" s="33"/>
      <c r="E1291" s="127"/>
      <c r="F1291" s="128"/>
      <c r="G1291" s="128"/>
      <c r="H1291" s="129"/>
      <c r="I1291" s="130"/>
      <c r="J1291" s="23"/>
      <c r="K1291" s="23"/>
      <c r="L1291" s="23"/>
      <c r="M1291" s="131"/>
      <c r="N1291" s="131"/>
      <c r="O1291" s="131"/>
    </row>
    <row r="1292" spans="3:15" x14ac:dyDescent="0.3">
      <c r="C1292" s="18"/>
      <c r="D1292" s="33"/>
      <c r="E1292" s="127"/>
      <c r="F1292" s="128"/>
      <c r="G1292" s="128"/>
      <c r="H1292" s="129"/>
      <c r="I1292" s="130"/>
      <c r="J1292" s="23"/>
      <c r="K1292" s="23"/>
      <c r="L1292" s="23"/>
      <c r="M1292" s="131"/>
      <c r="N1292" s="131"/>
      <c r="O1292" s="131"/>
    </row>
    <row r="1293" spans="3:15" x14ac:dyDescent="0.3">
      <c r="C1293" s="18"/>
      <c r="D1293" s="33"/>
      <c r="E1293" s="127"/>
      <c r="F1293" s="128"/>
      <c r="G1293" s="128"/>
      <c r="H1293" s="129"/>
      <c r="I1293" s="130"/>
      <c r="J1293" s="23"/>
      <c r="K1293" s="23"/>
      <c r="L1293" s="23"/>
      <c r="M1293" s="131"/>
      <c r="N1293" s="131"/>
      <c r="O1293" s="131"/>
    </row>
    <row r="1294" spans="3:15" x14ac:dyDescent="0.3">
      <c r="C1294" s="18"/>
      <c r="D1294" s="33"/>
      <c r="E1294" s="127"/>
      <c r="F1294" s="128"/>
      <c r="G1294" s="128"/>
      <c r="H1294" s="129"/>
      <c r="I1294" s="130"/>
      <c r="J1294" s="23"/>
      <c r="K1294" s="23"/>
      <c r="L1294" s="23"/>
      <c r="M1294" s="131"/>
      <c r="N1294" s="131"/>
      <c r="O1294" s="131"/>
    </row>
    <row r="1295" spans="3:15" x14ac:dyDescent="0.3">
      <c r="C1295" s="18"/>
      <c r="D1295" s="33"/>
      <c r="E1295" s="127"/>
      <c r="F1295" s="128"/>
      <c r="G1295" s="128"/>
      <c r="H1295" s="129"/>
      <c r="I1295" s="130"/>
      <c r="J1295" s="23"/>
      <c r="K1295" s="23"/>
      <c r="L1295" s="23"/>
      <c r="M1295" s="131"/>
      <c r="N1295" s="131"/>
      <c r="O1295" s="131"/>
    </row>
    <row r="1296" spans="3:15" x14ac:dyDescent="0.3">
      <c r="C1296" s="18"/>
      <c r="D1296" s="33"/>
      <c r="E1296" s="127"/>
      <c r="F1296" s="128"/>
      <c r="G1296" s="128"/>
      <c r="H1296" s="129"/>
      <c r="I1296" s="130"/>
      <c r="J1296" s="23"/>
      <c r="K1296" s="23"/>
      <c r="L1296" s="23"/>
      <c r="M1296" s="131"/>
      <c r="N1296" s="131"/>
      <c r="O1296" s="131"/>
    </row>
    <row r="1297" spans="3:15" x14ac:dyDescent="0.3">
      <c r="C1297" s="18"/>
      <c r="D1297" s="33"/>
      <c r="E1297" s="127"/>
      <c r="F1297" s="128"/>
      <c r="G1297" s="128"/>
      <c r="H1297" s="129"/>
      <c r="I1297" s="130"/>
      <c r="J1297" s="23"/>
      <c r="K1297" s="23"/>
      <c r="L1297" s="23"/>
      <c r="M1297" s="131"/>
      <c r="N1297" s="131"/>
      <c r="O1297" s="131"/>
    </row>
    <row r="1298" spans="3:15" x14ac:dyDescent="0.3">
      <c r="C1298" s="18"/>
      <c r="D1298" s="33"/>
      <c r="E1298" s="127"/>
      <c r="F1298" s="128"/>
      <c r="G1298" s="128"/>
      <c r="H1298" s="129"/>
      <c r="I1298" s="130"/>
      <c r="J1298" s="23"/>
      <c r="K1298" s="23"/>
      <c r="L1298" s="23"/>
      <c r="M1298" s="131"/>
      <c r="N1298" s="131"/>
      <c r="O1298" s="131"/>
    </row>
    <row r="1299" spans="3:15" x14ac:dyDescent="0.3">
      <c r="C1299" s="18"/>
      <c r="D1299" s="33"/>
      <c r="E1299" s="127"/>
      <c r="F1299" s="128"/>
      <c r="G1299" s="128"/>
      <c r="H1299" s="129"/>
      <c r="I1299" s="130"/>
      <c r="J1299" s="23"/>
      <c r="K1299" s="23"/>
      <c r="L1299" s="23"/>
      <c r="M1299" s="131"/>
      <c r="N1299" s="131"/>
      <c r="O1299" s="131"/>
    </row>
    <row r="1300" spans="3:15" x14ac:dyDescent="0.3">
      <c r="C1300" s="18"/>
      <c r="D1300" s="33"/>
      <c r="E1300" s="127"/>
      <c r="F1300" s="128"/>
      <c r="G1300" s="128"/>
      <c r="H1300" s="129"/>
      <c r="I1300" s="130"/>
      <c r="J1300" s="23"/>
      <c r="K1300" s="23"/>
      <c r="L1300" s="23"/>
      <c r="M1300" s="131"/>
      <c r="N1300" s="131"/>
      <c r="O1300" s="131"/>
    </row>
    <row r="1301" spans="3:15" x14ac:dyDescent="0.3">
      <c r="C1301" s="18"/>
      <c r="D1301" s="33"/>
      <c r="E1301" s="127"/>
      <c r="F1301" s="128"/>
      <c r="G1301" s="128"/>
      <c r="H1301" s="129"/>
      <c r="I1301" s="130"/>
      <c r="J1301" s="23"/>
      <c r="K1301" s="23"/>
      <c r="L1301" s="23"/>
      <c r="M1301" s="131"/>
      <c r="N1301" s="131"/>
      <c r="O1301" s="131"/>
    </row>
    <row r="1302" spans="3:15" x14ac:dyDescent="0.3">
      <c r="C1302" s="18"/>
      <c r="D1302" s="33"/>
      <c r="E1302" s="127"/>
      <c r="F1302" s="128"/>
      <c r="G1302" s="128"/>
      <c r="H1302" s="129"/>
      <c r="I1302" s="130"/>
      <c r="J1302" s="23"/>
      <c r="K1302" s="23"/>
      <c r="L1302" s="23"/>
      <c r="M1302" s="131"/>
      <c r="N1302" s="131"/>
      <c r="O1302" s="131"/>
    </row>
    <row r="1303" spans="3:15" x14ac:dyDescent="0.3">
      <c r="C1303" s="18"/>
      <c r="D1303" s="33"/>
      <c r="E1303" s="127"/>
      <c r="F1303" s="128"/>
      <c r="G1303" s="128"/>
      <c r="H1303" s="129"/>
      <c r="I1303" s="130"/>
      <c r="J1303" s="23"/>
      <c r="K1303" s="23"/>
      <c r="L1303" s="23"/>
      <c r="M1303" s="131"/>
      <c r="N1303" s="131"/>
      <c r="O1303" s="131"/>
    </row>
    <row r="1304" spans="3:15" x14ac:dyDescent="0.3">
      <c r="C1304" s="18"/>
      <c r="D1304" s="33"/>
      <c r="E1304" s="127"/>
      <c r="F1304" s="128"/>
      <c r="G1304" s="128"/>
      <c r="H1304" s="129"/>
      <c r="I1304" s="130"/>
      <c r="J1304" s="23"/>
      <c r="K1304" s="23"/>
      <c r="L1304" s="23"/>
      <c r="M1304" s="131"/>
      <c r="N1304" s="131"/>
      <c r="O1304" s="131"/>
    </row>
    <row r="1305" spans="3:15" x14ac:dyDescent="0.3">
      <c r="C1305" s="18"/>
      <c r="D1305" s="33"/>
      <c r="E1305" s="127"/>
      <c r="F1305" s="128"/>
      <c r="G1305" s="128"/>
      <c r="H1305" s="129"/>
      <c r="I1305" s="130"/>
      <c r="J1305" s="23"/>
      <c r="K1305" s="23"/>
      <c r="L1305" s="23"/>
      <c r="M1305" s="131"/>
      <c r="N1305" s="131"/>
      <c r="O1305" s="131"/>
    </row>
    <row r="1306" spans="3:15" x14ac:dyDescent="0.3">
      <c r="C1306" s="18"/>
      <c r="D1306" s="33"/>
      <c r="E1306" s="127"/>
      <c r="F1306" s="128"/>
      <c r="G1306" s="128"/>
      <c r="H1306" s="129"/>
      <c r="I1306" s="130"/>
      <c r="J1306" s="23"/>
      <c r="K1306" s="23"/>
      <c r="L1306" s="23"/>
      <c r="M1306" s="131"/>
      <c r="N1306" s="131"/>
      <c r="O1306" s="131"/>
    </row>
    <row r="1307" spans="3:15" x14ac:dyDescent="0.3">
      <c r="C1307" s="18"/>
      <c r="D1307" s="33"/>
      <c r="E1307" s="127"/>
      <c r="F1307" s="128"/>
      <c r="G1307" s="128"/>
      <c r="H1307" s="129"/>
      <c r="I1307" s="130"/>
      <c r="J1307" s="23"/>
      <c r="K1307" s="23"/>
      <c r="L1307" s="23"/>
      <c r="M1307" s="131"/>
      <c r="N1307" s="131"/>
      <c r="O1307" s="131"/>
    </row>
    <row r="1308" spans="3:15" x14ac:dyDescent="0.3">
      <c r="C1308" s="18"/>
      <c r="D1308" s="33"/>
      <c r="E1308" s="127"/>
      <c r="F1308" s="128"/>
      <c r="G1308" s="128"/>
      <c r="H1308" s="129"/>
      <c r="I1308" s="130"/>
      <c r="J1308" s="23"/>
      <c r="K1308" s="23"/>
      <c r="L1308" s="23"/>
      <c r="M1308" s="131"/>
      <c r="N1308" s="131"/>
      <c r="O1308" s="131"/>
    </row>
    <row r="1309" spans="3:15" x14ac:dyDescent="0.3">
      <c r="C1309" s="18"/>
      <c r="D1309" s="33"/>
      <c r="E1309" s="127"/>
      <c r="F1309" s="128"/>
      <c r="G1309" s="128"/>
      <c r="H1309" s="129"/>
      <c r="I1309" s="130"/>
      <c r="J1309" s="23"/>
      <c r="K1309" s="23"/>
      <c r="L1309" s="23"/>
      <c r="M1309" s="131"/>
      <c r="N1309" s="131"/>
      <c r="O1309" s="131"/>
    </row>
    <row r="1310" spans="3:15" x14ac:dyDescent="0.3">
      <c r="C1310" s="18"/>
      <c r="D1310" s="33"/>
      <c r="E1310" s="127"/>
      <c r="F1310" s="128"/>
      <c r="G1310" s="128"/>
      <c r="H1310" s="129"/>
      <c r="I1310" s="130"/>
      <c r="J1310" s="23"/>
      <c r="K1310" s="23"/>
      <c r="L1310" s="23"/>
      <c r="M1310" s="131"/>
      <c r="N1310" s="131"/>
      <c r="O1310" s="131"/>
    </row>
    <row r="1311" spans="3:15" x14ac:dyDescent="0.3">
      <c r="C1311" s="18"/>
      <c r="D1311" s="33"/>
      <c r="E1311" s="127"/>
      <c r="F1311" s="128"/>
      <c r="G1311" s="128"/>
      <c r="H1311" s="129"/>
      <c r="I1311" s="130"/>
      <c r="J1311" s="23"/>
      <c r="K1311" s="23"/>
      <c r="L1311" s="23"/>
      <c r="M1311" s="131"/>
      <c r="N1311" s="131"/>
      <c r="O1311" s="131"/>
    </row>
    <row r="1312" spans="3:15" x14ac:dyDescent="0.3">
      <c r="C1312" s="18"/>
      <c r="D1312" s="33"/>
      <c r="E1312" s="127"/>
      <c r="F1312" s="128"/>
      <c r="G1312" s="128"/>
      <c r="H1312" s="129"/>
      <c r="I1312" s="130"/>
      <c r="J1312" s="23"/>
      <c r="K1312" s="23"/>
      <c r="L1312" s="23"/>
      <c r="M1312" s="131"/>
      <c r="N1312" s="131"/>
      <c r="O1312" s="131"/>
    </row>
    <row r="1313" spans="3:15" x14ac:dyDescent="0.3">
      <c r="C1313" s="18"/>
      <c r="D1313" s="33"/>
      <c r="E1313" s="127"/>
      <c r="F1313" s="128"/>
      <c r="G1313" s="128"/>
      <c r="H1313" s="129"/>
      <c r="I1313" s="130"/>
      <c r="J1313" s="23"/>
      <c r="K1313" s="23"/>
      <c r="L1313" s="23"/>
      <c r="M1313" s="131"/>
      <c r="N1313" s="131"/>
      <c r="O1313" s="131"/>
    </row>
    <row r="1314" spans="3:15" x14ac:dyDescent="0.3">
      <c r="C1314" s="18"/>
      <c r="D1314" s="33"/>
      <c r="E1314" s="127"/>
      <c r="F1314" s="128"/>
      <c r="G1314" s="128"/>
      <c r="H1314" s="129"/>
      <c r="I1314" s="130"/>
      <c r="J1314" s="23"/>
      <c r="K1314" s="23"/>
      <c r="L1314" s="23"/>
      <c r="M1314" s="131"/>
      <c r="N1314" s="131"/>
      <c r="O1314" s="131"/>
    </row>
    <row r="1315" spans="3:15" x14ac:dyDescent="0.3">
      <c r="C1315" s="18"/>
      <c r="D1315" s="33"/>
      <c r="E1315" s="127"/>
      <c r="F1315" s="128"/>
      <c r="G1315" s="128"/>
      <c r="H1315" s="129"/>
      <c r="I1315" s="130"/>
      <c r="J1315" s="23"/>
      <c r="K1315" s="23"/>
      <c r="L1315" s="23"/>
      <c r="M1315" s="131"/>
      <c r="N1315" s="131"/>
      <c r="O1315" s="131"/>
    </row>
    <row r="1316" spans="3:15" x14ac:dyDescent="0.3">
      <c r="C1316" s="18"/>
      <c r="D1316" s="33"/>
      <c r="E1316" s="127"/>
      <c r="F1316" s="128"/>
      <c r="G1316" s="128"/>
      <c r="H1316" s="129"/>
      <c r="I1316" s="130"/>
      <c r="J1316" s="23"/>
      <c r="K1316" s="23"/>
      <c r="L1316" s="23"/>
      <c r="M1316" s="131"/>
      <c r="N1316" s="131"/>
      <c r="O1316" s="131"/>
    </row>
    <row r="1317" spans="3:15" x14ac:dyDescent="0.3">
      <c r="C1317" s="18"/>
      <c r="D1317" s="33"/>
      <c r="E1317" s="127"/>
      <c r="F1317" s="128"/>
      <c r="G1317" s="128"/>
      <c r="H1317" s="129"/>
      <c r="I1317" s="130"/>
      <c r="J1317" s="23"/>
      <c r="K1317" s="23"/>
      <c r="L1317" s="23"/>
      <c r="M1317" s="131"/>
      <c r="N1317" s="131"/>
      <c r="O1317" s="131"/>
    </row>
    <row r="1318" spans="3:15" x14ac:dyDescent="0.3">
      <c r="C1318" s="18"/>
      <c r="D1318" s="33"/>
      <c r="E1318" s="127"/>
      <c r="F1318" s="128"/>
      <c r="G1318" s="128"/>
      <c r="H1318" s="129"/>
      <c r="I1318" s="130"/>
      <c r="J1318" s="23"/>
      <c r="K1318" s="23"/>
      <c r="L1318" s="23"/>
      <c r="M1318" s="131"/>
      <c r="N1318" s="131"/>
      <c r="O1318" s="131"/>
    </row>
    <row r="1319" spans="3:15" x14ac:dyDescent="0.3">
      <c r="C1319" s="18"/>
      <c r="D1319" s="33"/>
      <c r="E1319" s="127"/>
      <c r="F1319" s="128"/>
      <c r="G1319" s="128"/>
      <c r="H1319" s="129"/>
      <c r="I1319" s="130"/>
      <c r="J1319" s="23"/>
      <c r="K1319" s="23"/>
      <c r="L1319" s="23"/>
      <c r="M1319" s="131"/>
      <c r="N1319" s="131"/>
      <c r="O1319" s="131"/>
    </row>
    <row r="1320" spans="3:15" x14ac:dyDescent="0.3">
      <c r="C1320" s="18"/>
      <c r="D1320" s="33"/>
      <c r="E1320" s="127"/>
      <c r="F1320" s="128"/>
      <c r="G1320" s="128"/>
      <c r="H1320" s="129"/>
      <c r="I1320" s="130"/>
      <c r="J1320" s="23"/>
      <c r="K1320" s="23"/>
      <c r="L1320" s="23"/>
      <c r="M1320" s="131"/>
      <c r="N1320" s="131"/>
      <c r="O1320" s="131"/>
    </row>
    <row r="1321" spans="3:15" x14ac:dyDescent="0.3">
      <c r="C1321" s="18"/>
      <c r="D1321" s="33"/>
      <c r="E1321" s="127"/>
      <c r="F1321" s="128"/>
      <c r="G1321" s="128"/>
      <c r="H1321" s="129"/>
      <c r="I1321" s="130"/>
      <c r="J1321" s="23"/>
      <c r="K1321" s="23"/>
      <c r="L1321" s="23"/>
      <c r="M1321" s="131"/>
      <c r="N1321" s="131"/>
      <c r="O1321" s="131"/>
    </row>
    <row r="1322" spans="3:15" x14ac:dyDescent="0.3">
      <c r="C1322" s="18"/>
      <c r="D1322" s="33"/>
      <c r="E1322" s="127"/>
      <c r="F1322" s="128"/>
      <c r="G1322" s="128"/>
      <c r="H1322" s="129"/>
      <c r="I1322" s="130"/>
      <c r="J1322" s="23"/>
      <c r="K1322" s="23"/>
      <c r="L1322" s="23"/>
      <c r="M1322" s="131"/>
      <c r="N1322" s="131"/>
      <c r="O1322" s="131"/>
    </row>
    <row r="1323" spans="3:15" x14ac:dyDescent="0.3">
      <c r="C1323" s="18"/>
      <c r="D1323" s="33"/>
      <c r="E1323" s="127"/>
      <c r="F1323" s="128"/>
      <c r="G1323" s="128"/>
      <c r="H1323" s="129"/>
      <c r="I1323" s="130"/>
      <c r="J1323" s="23"/>
      <c r="K1323" s="23"/>
      <c r="L1323" s="23"/>
      <c r="M1323" s="131"/>
      <c r="N1323" s="131"/>
      <c r="O1323" s="131"/>
    </row>
    <row r="1324" spans="3:15" x14ac:dyDescent="0.3">
      <c r="C1324" s="18"/>
      <c r="D1324" s="33"/>
      <c r="E1324" s="127"/>
      <c r="F1324" s="128"/>
      <c r="G1324" s="128"/>
      <c r="H1324" s="129"/>
      <c r="I1324" s="130"/>
      <c r="J1324" s="23"/>
      <c r="K1324" s="23"/>
      <c r="L1324" s="23"/>
      <c r="M1324" s="131"/>
      <c r="N1324" s="131"/>
      <c r="O1324" s="131"/>
    </row>
    <row r="1325" spans="3:15" x14ac:dyDescent="0.3">
      <c r="C1325" s="18"/>
      <c r="D1325" s="33"/>
      <c r="E1325" s="127"/>
      <c r="F1325" s="128"/>
      <c r="G1325" s="128"/>
      <c r="H1325" s="129"/>
      <c r="I1325" s="130"/>
      <c r="J1325" s="23"/>
      <c r="K1325" s="23"/>
      <c r="L1325" s="23"/>
      <c r="M1325" s="131"/>
      <c r="N1325" s="131"/>
      <c r="O1325" s="131"/>
    </row>
    <row r="1326" spans="3:15" x14ac:dyDescent="0.3">
      <c r="C1326" s="18"/>
      <c r="D1326" s="33"/>
      <c r="E1326" s="127"/>
      <c r="F1326" s="128"/>
      <c r="G1326" s="128"/>
      <c r="H1326" s="129"/>
      <c r="I1326" s="130"/>
      <c r="J1326" s="23"/>
      <c r="K1326" s="23"/>
      <c r="L1326" s="23"/>
      <c r="M1326" s="131"/>
      <c r="N1326" s="131"/>
      <c r="O1326" s="131"/>
    </row>
    <row r="1327" spans="3:15" x14ac:dyDescent="0.3">
      <c r="C1327" s="18"/>
      <c r="D1327" s="33"/>
      <c r="E1327" s="127"/>
      <c r="F1327" s="128"/>
      <c r="G1327" s="128"/>
      <c r="H1327" s="129"/>
      <c r="I1327" s="130"/>
      <c r="J1327" s="23"/>
      <c r="K1327" s="23"/>
      <c r="L1327" s="23"/>
      <c r="M1327" s="131"/>
      <c r="N1327" s="131"/>
      <c r="O1327" s="131"/>
    </row>
    <row r="1328" spans="3:15" x14ac:dyDescent="0.3">
      <c r="C1328" s="18"/>
      <c r="D1328" s="33"/>
      <c r="E1328" s="127"/>
      <c r="F1328" s="128"/>
      <c r="G1328" s="128"/>
      <c r="H1328" s="129"/>
      <c r="I1328" s="130"/>
      <c r="J1328" s="23"/>
      <c r="K1328" s="23"/>
      <c r="L1328" s="23"/>
      <c r="M1328" s="131"/>
      <c r="N1328" s="131"/>
      <c r="O1328" s="131"/>
    </row>
    <row r="1329" spans="3:15" x14ac:dyDescent="0.3">
      <c r="C1329" s="18"/>
      <c r="D1329" s="33"/>
      <c r="E1329" s="127"/>
      <c r="F1329" s="128"/>
      <c r="G1329" s="128"/>
      <c r="H1329" s="129"/>
      <c r="I1329" s="130"/>
      <c r="J1329" s="23"/>
      <c r="K1329" s="23"/>
      <c r="L1329" s="23"/>
      <c r="M1329" s="131"/>
      <c r="N1329" s="131"/>
      <c r="O1329" s="131"/>
    </row>
    <row r="1330" spans="3:15" x14ac:dyDescent="0.3">
      <c r="C1330" s="18"/>
      <c r="D1330" s="33"/>
      <c r="E1330" s="127"/>
      <c r="F1330" s="128"/>
      <c r="G1330" s="128"/>
      <c r="H1330" s="129"/>
      <c r="I1330" s="130"/>
      <c r="J1330" s="23"/>
      <c r="K1330" s="23"/>
      <c r="L1330" s="23"/>
      <c r="M1330" s="131"/>
      <c r="N1330" s="131"/>
      <c r="O1330" s="131"/>
    </row>
    <row r="1331" spans="3:15" x14ac:dyDescent="0.3">
      <c r="C1331" s="18"/>
      <c r="D1331" s="33"/>
      <c r="E1331" s="127"/>
      <c r="F1331" s="128"/>
      <c r="G1331" s="128"/>
      <c r="H1331" s="129"/>
      <c r="I1331" s="130"/>
      <c r="J1331" s="23"/>
      <c r="K1331" s="23"/>
      <c r="L1331" s="23"/>
      <c r="M1331" s="131"/>
      <c r="N1331" s="131"/>
      <c r="O1331" s="131"/>
    </row>
    <row r="1332" spans="3:15" x14ac:dyDescent="0.3">
      <c r="C1332" s="18"/>
      <c r="D1332" s="33"/>
      <c r="E1332" s="127"/>
      <c r="F1332" s="128"/>
      <c r="G1332" s="128"/>
      <c r="H1332" s="129"/>
      <c r="I1332" s="130"/>
      <c r="J1332" s="23"/>
      <c r="K1332" s="23"/>
      <c r="L1332" s="23"/>
      <c r="M1332" s="131"/>
      <c r="N1332" s="131"/>
      <c r="O1332" s="131"/>
    </row>
    <row r="1333" spans="3:15" x14ac:dyDescent="0.3">
      <c r="C1333" s="18"/>
      <c r="D1333" s="33"/>
      <c r="E1333" s="127"/>
      <c r="F1333" s="128"/>
      <c r="G1333" s="128"/>
      <c r="H1333" s="129"/>
      <c r="I1333" s="130"/>
      <c r="J1333" s="23"/>
      <c r="K1333" s="23"/>
      <c r="L1333" s="23"/>
      <c r="M1333" s="131"/>
      <c r="N1333" s="131"/>
      <c r="O1333" s="131"/>
    </row>
    <row r="1334" spans="3:15" x14ac:dyDescent="0.3">
      <c r="C1334" s="18"/>
      <c r="D1334" s="33"/>
      <c r="E1334" s="127"/>
      <c r="F1334" s="128"/>
      <c r="G1334" s="128"/>
      <c r="H1334" s="129"/>
      <c r="I1334" s="130"/>
      <c r="J1334" s="23"/>
      <c r="K1334" s="23"/>
      <c r="L1334" s="23"/>
      <c r="M1334" s="131"/>
      <c r="N1334" s="131"/>
      <c r="O1334" s="131"/>
    </row>
    <row r="1335" spans="3:15" x14ac:dyDescent="0.3">
      <c r="C1335" s="18"/>
      <c r="D1335" s="33"/>
      <c r="E1335" s="127"/>
      <c r="F1335" s="128"/>
      <c r="G1335" s="128"/>
      <c r="H1335" s="129"/>
      <c r="I1335" s="130"/>
      <c r="J1335" s="23"/>
      <c r="K1335" s="23"/>
      <c r="L1335" s="23"/>
      <c r="M1335" s="131"/>
      <c r="N1335" s="131"/>
      <c r="O1335" s="131"/>
    </row>
    <row r="1336" spans="3:15" x14ac:dyDescent="0.3">
      <c r="C1336" s="18"/>
      <c r="D1336" s="33"/>
      <c r="E1336" s="127"/>
      <c r="F1336" s="128"/>
      <c r="G1336" s="128"/>
      <c r="H1336" s="129"/>
      <c r="I1336" s="130"/>
      <c r="J1336" s="23"/>
      <c r="K1336" s="23"/>
      <c r="L1336" s="23"/>
      <c r="M1336" s="131"/>
      <c r="N1336" s="131"/>
      <c r="O1336" s="131"/>
    </row>
    <row r="1337" spans="3:15" x14ac:dyDescent="0.3">
      <c r="C1337" s="18"/>
      <c r="D1337" s="33"/>
      <c r="E1337" s="127"/>
      <c r="F1337" s="128"/>
      <c r="G1337" s="128"/>
      <c r="H1337" s="129"/>
      <c r="I1337" s="130"/>
      <c r="J1337" s="23"/>
      <c r="K1337" s="23"/>
      <c r="L1337" s="23"/>
      <c r="M1337" s="131"/>
      <c r="N1337" s="131"/>
      <c r="O1337" s="131"/>
    </row>
    <row r="1338" spans="3:15" x14ac:dyDescent="0.3">
      <c r="C1338" s="18"/>
      <c r="D1338" s="33"/>
      <c r="E1338" s="127"/>
      <c r="F1338" s="128"/>
      <c r="G1338" s="128"/>
      <c r="H1338" s="129"/>
      <c r="I1338" s="130"/>
      <c r="J1338" s="23"/>
      <c r="K1338" s="23"/>
      <c r="L1338" s="23"/>
      <c r="M1338" s="131"/>
      <c r="N1338" s="131"/>
      <c r="O1338" s="131"/>
    </row>
    <row r="1339" spans="3:15" x14ac:dyDescent="0.3">
      <c r="C1339" s="18"/>
      <c r="D1339" s="33"/>
      <c r="E1339" s="127"/>
      <c r="F1339" s="128"/>
      <c r="G1339" s="128"/>
      <c r="H1339" s="129"/>
      <c r="I1339" s="130"/>
      <c r="J1339" s="23"/>
      <c r="K1339" s="23"/>
      <c r="L1339" s="23"/>
      <c r="M1339" s="131"/>
      <c r="N1339" s="131"/>
      <c r="O1339" s="131"/>
    </row>
    <row r="1340" spans="3:15" x14ac:dyDescent="0.3">
      <c r="C1340" s="18"/>
      <c r="D1340" s="33"/>
      <c r="E1340" s="127"/>
      <c r="F1340" s="128"/>
      <c r="G1340" s="128"/>
      <c r="H1340" s="129"/>
      <c r="I1340" s="130"/>
      <c r="J1340" s="23"/>
      <c r="K1340" s="23"/>
      <c r="L1340" s="23"/>
      <c r="M1340" s="131"/>
      <c r="N1340" s="131"/>
      <c r="O1340" s="131"/>
    </row>
    <row r="1341" spans="3:15" x14ac:dyDescent="0.3">
      <c r="C1341" s="18"/>
      <c r="D1341" s="33"/>
      <c r="E1341" s="127"/>
      <c r="F1341" s="128"/>
      <c r="G1341" s="128"/>
      <c r="H1341" s="129"/>
      <c r="I1341" s="130"/>
      <c r="J1341" s="23"/>
      <c r="K1341" s="23"/>
      <c r="L1341" s="23"/>
      <c r="M1341" s="131"/>
      <c r="N1341" s="131"/>
      <c r="O1341" s="131"/>
    </row>
    <row r="1342" spans="3:15" x14ac:dyDescent="0.3">
      <c r="C1342" s="18"/>
      <c r="D1342" s="33"/>
      <c r="E1342" s="127"/>
      <c r="F1342" s="128"/>
      <c r="G1342" s="128"/>
      <c r="H1342" s="129"/>
      <c r="I1342" s="130"/>
      <c r="J1342" s="23"/>
      <c r="K1342" s="23"/>
      <c r="L1342" s="23"/>
      <c r="M1342" s="131"/>
      <c r="N1342" s="131"/>
      <c r="O1342" s="131"/>
    </row>
    <row r="1343" spans="3:15" x14ac:dyDescent="0.3">
      <c r="C1343" s="18"/>
      <c r="D1343" s="33"/>
      <c r="E1343" s="127"/>
      <c r="F1343" s="128"/>
      <c r="G1343" s="128"/>
      <c r="H1343" s="129"/>
      <c r="I1343" s="130"/>
      <c r="J1343" s="23"/>
      <c r="K1343" s="23"/>
      <c r="L1343" s="23"/>
      <c r="M1343" s="131"/>
      <c r="N1343" s="131"/>
      <c r="O1343" s="131"/>
    </row>
    <row r="1344" spans="3:15" x14ac:dyDescent="0.3">
      <c r="C1344" s="18"/>
      <c r="D1344" s="33"/>
      <c r="E1344" s="127"/>
      <c r="F1344" s="128"/>
      <c r="G1344" s="128"/>
      <c r="H1344" s="129"/>
      <c r="I1344" s="130"/>
      <c r="J1344" s="23"/>
      <c r="K1344" s="23"/>
      <c r="L1344" s="23"/>
      <c r="M1344" s="131"/>
      <c r="N1344" s="131"/>
      <c r="O1344" s="131"/>
    </row>
    <row r="1345" spans="3:15" x14ac:dyDescent="0.3">
      <c r="C1345" s="18"/>
      <c r="D1345" s="33"/>
      <c r="E1345" s="127"/>
      <c r="F1345" s="128"/>
      <c r="G1345" s="128"/>
      <c r="H1345" s="129"/>
      <c r="I1345" s="130"/>
      <c r="J1345" s="23"/>
      <c r="K1345" s="23"/>
      <c r="L1345" s="23"/>
      <c r="M1345" s="131"/>
      <c r="N1345" s="131"/>
      <c r="O1345" s="131"/>
    </row>
    <row r="1346" spans="3:15" x14ac:dyDescent="0.3">
      <c r="C1346" s="18"/>
      <c r="D1346" s="33"/>
      <c r="E1346" s="127"/>
      <c r="F1346" s="128"/>
      <c r="G1346" s="128"/>
      <c r="H1346" s="129"/>
      <c r="I1346" s="130"/>
      <c r="J1346" s="23"/>
      <c r="K1346" s="23"/>
      <c r="L1346" s="23"/>
      <c r="M1346" s="131"/>
      <c r="N1346" s="131"/>
      <c r="O1346" s="131"/>
    </row>
    <row r="1347" spans="3:15" x14ac:dyDescent="0.3">
      <c r="C1347" s="18"/>
      <c r="D1347" s="33"/>
      <c r="E1347" s="127"/>
      <c r="F1347" s="128"/>
      <c r="G1347" s="128"/>
      <c r="H1347" s="129"/>
      <c r="I1347" s="130"/>
      <c r="J1347" s="23"/>
      <c r="K1347" s="23"/>
      <c r="L1347" s="23"/>
      <c r="M1347" s="131"/>
      <c r="N1347" s="131"/>
      <c r="O1347" s="131"/>
    </row>
    <row r="1348" spans="3:15" x14ac:dyDescent="0.3">
      <c r="C1348" s="18"/>
      <c r="D1348" s="33"/>
      <c r="E1348" s="127"/>
      <c r="F1348" s="128"/>
      <c r="G1348" s="128"/>
      <c r="H1348" s="129"/>
      <c r="I1348" s="130"/>
      <c r="J1348" s="23"/>
      <c r="K1348" s="23"/>
      <c r="L1348" s="23"/>
      <c r="M1348" s="131"/>
      <c r="N1348" s="131"/>
      <c r="O1348" s="131"/>
    </row>
    <row r="1349" spans="3:15" x14ac:dyDescent="0.3">
      <c r="C1349" s="18"/>
      <c r="D1349" s="33"/>
      <c r="E1349" s="127"/>
      <c r="F1349" s="128"/>
      <c r="G1349" s="128"/>
      <c r="H1349" s="129"/>
      <c r="I1349" s="130"/>
      <c r="J1349" s="23"/>
      <c r="K1349" s="23"/>
      <c r="L1349" s="23"/>
      <c r="M1349" s="131"/>
      <c r="N1349" s="131"/>
      <c r="O1349" s="131"/>
    </row>
    <row r="1350" spans="3:15" x14ac:dyDescent="0.3">
      <c r="C1350" s="18"/>
      <c r="D1350" s="33"/>
      <c r="E1350" s="127"/>
      <c r="F1350" s="128"/>
      <c r="G1350" s="128"/>
      <c r="H1350" s="129"/>
      <c r="I1350" s="130"/>
      <c r="J1350" s="23"/>
      <c r="K1350" s="23"/>
      <c r="L1350" s="23"/>
      <c r="M1350" s="131"/>
      <c r="N1350" s="131"/>
      <c r="O1350" s="131"/>
    </row>
    <row r="1351" spans="3:15" x14ac:dyDescent="0.3">
      <c r="C1351" s="18"/>
      <c r="D1351" s="33"/>
      <c r="E1351" s="127"/>
      <c r="F1351" s="128"/>
      <c r="G1351" s="128"/>
      <c r="H1351" s="129"/>
      <c r="I1351" s="130"/>
      <c r="J1351" s="23"/>
      <c r="K1351" s="23"/>
      <c r="L1351" s="23"/>
      <c r="M1351" s="131"/>
      <c r="N1351" s="131"/>
      <c r="O1351" s="131"/>
    </row>
    <row r="1352" spans="3:15" x14ac:dyDescent="0.3">
      <c r="C1352" s="18"/>
      <c r="D1352" s="33"/>
      <c r="E1352" s="127"/>
      <c r="F1352" s="128"/>
      <c r="G1352" s="128"/>
      <c r="H1352" s="129"/>
      <c r="I1352" s="130"/>
      <c r="J1352" s="23"/>
      <c r="K1352" s="23"/>
      <c r="L1352" s="23"/>
      <c r="M1352" s="131"/>
      <c r="N1352" s="131"/>
      <c r="O1352" s="131"/>
    </row>
    <row r="1353" spans="3:15" x14ac:dyDescent="0.3">
      <c r="C1353" s="18"/>
      <c r="D1353" s="33"/>
      <c r="E1353" s="127"/>
      <c r="F1353" s="128"/>
      <c r="G1353" s="128"/>
      <c r="H1353" s="129"/>
      <c r="I1353" s="130"/>
      <c r="J1353" s="23"/>
      <c r="K1353" s="23"/>
      <c r="L1353" s="23"/>
      <c r="M1353" s="131"/>
      <c r="N1353" s="131"/>
      <c r="O1353" s="131"/>
    </row>
    <row r="1354" spans="3:15" x14ac:dyDescent="0.3">
      <c r="C1354" s="18"/>
      <c r="D1354" s="33"/>
      <c r="E1354" s="127"/>
      <c r="F1354" s="128"/>
      <c r="G1354" s="128"/>
      <c r="H1354" s="129"/>
      <c r="I1354" s="130"/>
      <c r="J1354" s="23"/>
      <c r="K1354" s="23"/>
      <c r="L1354" s="23"/>
      <c r="M1354" s="131"/>
      <c r="N1354" s="131"/>
      <c r="O1354" s="131"/>
    </row>
    <row r="1355" spans="3:15" x14ac:dyDescent="0.3">
      <c r="C1355" s="18"/>
      <c r="D1355" s="33"/>
      <c r="E1355" s="127"/>
      <c r="F1355" s="128"/>
      <c r="G1355" s="128"/>
      <c r="H1355" s="129"/>
      <c r="I1355" s="130"/>
      <c r="J1355" s="23"/>
      <c r="K1355" s="23"/>
      <c r="L1355" s="23"/>
      <c r="M1355" s="131"/>
      <c r="N1355" s="131"/>
      <c r="O1355" s="131"/>
    </row>
    <row r="1356" spans="3:15" x14ac:dyDescent="0.3">
      <c r="C1356" s="18"/>
      <c r="D1356" s="33"/>
      <c r="E1356" s="127"/>
      <c r="F1356" s="128"/>
      <c r="G1356" s="128"/>
      <c r="H1356" s="129"/>
      <c r="I1356" s="130"/>
      <c r="J1356" s="23"/>
      <c r="K1356" s="23"/>
      <c r="L1356" s="23"/>
      <c r="M1356" s="131"/>
      <c r="N1356" s="131"/>
      <c r="O1356" s="131"/>
    </row>
    <row r="1357" spans="3:15" x14ac:dyDescent="0.3">
      <c r="C1357" s="18"/>
      <c r="D1357" s="33"/>
      <c r="E1357" s="127"/>
      <c r="F1357" s="128"/>
      <c r="G1357" s="128"/>
      <c r="H1357" s="129"/>
      <c r="I1357" s="130"/>
      <c r="J1357" s="23"/>
      <c r="K1357" s="23"/>
      <c r="L1357" s="23"/>
      <c r="M1357" s="131"/>
      <c r="N1357" s="131"/>
      <c r="O1357" s="131"/>
    </row>
    <row r="1358" spans="3:15" x14ac:dyDescent="0.3">
      <c r="C1358" s="18"/>
      <c r="D1358" s="33"/>
      <c r="E1358" s="127"/>
      <c r="F1358" s="128"/>
      <c r="G1358" s="128"/>
      <c r="H1358" s="129"/>
      <c r="I1358" s="130"/>
      <c r="J1358" s="23"/>
      <c r="K1358" s="23"/>
      <c r="L1358" s="23"/>
      <c r="M1358" s="131"/>
      <c r="N1358" s="131"/>
      <c r="O1358" s="131"/>
    </row>
    <row r="1359" spans="3:15" x14ac:dyDescent="0.3">
      <c r="C1359" s="18"/>
      <c r="D1359" s="33"/>
      <c r="E1359" s="127"/>
      <c r="F1359" s="128"/>
      <c r="G1359" s="128"/>
      <c r="H1359" s="129"/>
      <c r="I1359" s="130"/>
      <c r="J1359" s="23"/>
      <c r="K1359" s="23"/>
      <c r="L1359" s="23"/>
      <c r="M1359" s="131"/>
      <c r="N1359" s="131"/>
      <c r="O1359" s="131"/>
    </row>
    <row r="1360" spans="3:15" x14ac:dyDescent="0.3">
      <c r="C1360" s="18"/>
      <c r="D1360" s="33"/>
      <c r="E1360" s="127"/>
      <c r="F1360" s="128"/>
      <c r="G1360" s="128"/>
      <c r="H1360" s="129"/>
      <c r="I1360" s="130"/>
      <c r="J1360" s="23"/>
      <c r="K1360" s="23"/>
      <c r="L1360" s="23"/>
      <c r="M1360" s="131"/>
      <c r="N1360" s="131"/>
      <c r="O1360" s="131"/>
    </row>
    <row r="1361" spans="3:15" x14ac:dyDescent="0.3">
      <c r="C1361" s="18"/>
      <c r="D1361" s="33"/>
      <c r="E1361" s="127"/>
      <c r="F1361" s="128"/>
      <c r="G1361" s="128"/>
      <c r="H1361" s="129"/>
      <c r="I1361" s="130"/>
      <c r="J1361" s="23"/>
      <c r="K1361" s="23"/>
      <c r="L1361" s="23"/>
      <c r="M1361" s="131"/>
      <c r="N1361" s="131"/>
      <c r="O1361" s="131"/>
    </row>
    <row r="1362" spans="3:15" x14ac:dyDescent="0.3">
      <c r="C1362" s="18"/>
      <c r="D1362" s="33"/>
      <c r="E1362" s="127"/>
      <c r="F1362" s="128"/>
      <c r="G1362" s="128"/>
      <c r="H1362" s="129"/>
      <c r="I1362" s="130"/>
      <c r="J1362" s="23"/>
      <c r="K1362" s="23"/>
      <c r="L1362" s="23"/>
      <c r="M1362" s="131"/>
      <c r="N1362" s="131"/>
      <c r="O1362" s="131"/>
    </row>
    <row r="1363" spans="3:15" x14ac:dyDescent="0.3">
      <c r="C1363" s="18"/>
      <c r="D1363" s="33"/>
      <c r="E1363" s="127"/>
      <c r="F1363" s="128"/>
      <c r="G1363" s="128"/>
      <c r="H1363" s="129"/>
      <c r="I1363" s="130"/>
      <c r="J1363" s="23"/>
      <c r="K1363" s="23"/>
      <c r="L1363" s="23"/>
      <c r="M1363" s="131"/>
      <c r="N1363" s="131"/>
      <c r="O1363" s="131"/>
    </row>
    <row r="1364" spans="3:15" x14ac:dyDescent="0.3">
      <c r="C1364" s="18"/>
      <c r="D1364" s="33"/>
      <c r="E1364" s="127"/>
      <c r="F1364" s="128"/>
      <c r="G1364" s="128"/>
      <c r="H1364" s="129"/>
      <c r="I1364" s="130"/>
      <c r="J1364" s="23"/>
      <c r="K1364" s="23"/>
      <c r="L1364" s="23"/>
      <c r="M1364" s="131"/>
      <c r="N1364" s="131"/>
      <c r="O1364" s="131"/>
    </row>
    <row r="1365" spans="3:15" x14ac:dyDescent="0.3">
      <c r="C1365" s="18"/>
      <c r="D1365" s="33"/>
      <c r="E1365" s="127"/>
      <c r="F1365" s="128"/>
      <c r="G1365" s="128"/>
      <c r="H1365" s="129"/>
      <c r="I1365" s="130"/>
      <c r="J1365" s="23"/>
      <c r="K1365" s="23"/>
      <c r="L1365" s="23"/>
      <c r="M1365" s="131"/>
      <c r="N1365" s="131"/>
      <c r="O1365" s="131"/>
    </row>
    <row r="1366" spans="3:15" x14ac:dyDescent="0.3">
      <c r="C1366" s="18"/>
      <c r="D1366" s="33"/>
      <c r="E1366" s="127"/>
      <c r="F1366" s="128"/>
      <c r="G1366" s="128"/>
      <c r="H1366" s="129"/>
      <c r="I1366" s="130"/>
      <c r="J1366" s="23"/>
      <c r="K1366" s="23"/>
      <c r="L1366" s="23"/>
      <c r="M1366" s="131"/>
      <c r="N1366" s="131"/>
      <c r="O1366" s="131"/>
    </row>
    <row r="1367" spans="3:15" x14ac:dyDescent="0.3">
      <c r="C1367" s="18"/>
      <c r="D1367" s="33"/>
      <c r="E1367" s="127"/>
      <c r="F1367" s="128"/>
      <c r="G1367" s="128"/>
      <c r="H1367" s="129"/>
      <c r="I1367" s="130"/>
      <c r="J1367" s="23"/>
      <c r="K1367" s="23"/>
      <c r="L1367" s="23"/>
      <c r="M1367" s="131"/>
      <c r="N1367" s="131"/>
      <c r="O1367" s="131"/>
    </row>
    <row r="1368" spans="3:15" x14ac:dyDescent="0.3">
      <c r="C1368" s="18"/>
      <c r="D1368" s="33"/>
      <c r="E1368" s="127"/>
      <c r="F1368" s="128"/>
      <c r="G1368" s="128"/>
      <c r="H1368" s="129"/>
      <c r="I1368" s="130"/>
      <c r="J1368" s="23"/>
      <c r="K1368" s="23"/>
      <c r="L1368" s="23"/>
      <c r="M1368" s="131"/>
      <c r="N1368" s="131"/>
      <c r="O1368" s="131"/>
    </row>
    <row r="1369" spans="3:15" x14ac:dyDescent="0.3">
      <c r="C1369" s="18"/>
      <c r="D1369" s="33"/>
      <c r="E1369" s="127"/>
      <c r="F1369" s="128"/>
      <c r="G1369" s="128"/>
      <c r="H1369" s="129"/>
      <c r="I1369" s="130"/>
      <c r="J1369" s="23"/>
      <c r="K1369" s="23"/>
      <c r="L1369" s="23"/>
      <c r="M1369" s="131"/>
      <c r="N1369" s="131"/>
      <c r="O1369" s="131"/>
    </row>
    <row r="1370" spans="3:15" x14ac:dyDescent="0.3">
      <c r="C1370" s="18"/>
      <c r="D1370" s="33"/>
      <c r="E1370" s="127"/>
      <c r="F1370" s="128"/>
      <c r="G1370" s="128"/>
      <c r="H1370" s="129"/>
      <c r="I1370" s="130"/>
      <c r="J1370" s="23"/>
      <c r="K1370" s="23"/>
      <c r="L1370" s="23"/>
      <c r="M1370" s="131"/>
      <c r="N1370" s="131"/>
      <c r="O1370" s="131"/>
    </row>
    <row r="1371" spans="3:15" x14ac:dyDescent="0.3">
      <c r="C1371" s="18"/>
      <c r="D1371" s="33"/>
      <c r="E1371" s="127"/>
      <c r="F1371" s="128"/>
      <c r="G1371" s="128"/>
      <c r="H1371" s="129"/>
      <c r="I1371" s="130"/>
      <c r="J1371" s="23"/>
      <c r="K1371" s="23"/>
      <c r="L1371" s="23"/>
      <c r="M1371" s="131"/>
      <c r="N1371" s="131"/>
      <c r="O1371" s="131"/>
    </row>
    <row r="1372" spans="3:15" x14ac:dyDescent="0.3">
      <c r="C1372" s="18"/>
      <c r="D1372" s="33"/>
      <c r="E1372" s="127"/>
      <c r="F1372" s="128"/>
      <c r="G1372" s="128"/>
      <c r="H1372" s="129"/>
      <c r="I1372" s="130"/>
      <c r="J1372" s="23"/>
      <c r="K1372" s="23"/>
      <c r="L1372" s="23"/>
      <c r="M1372" s="131"/>
      <c r="N1372" s="131"/>
      <c r="O1372" s="131"/>
    </row>
    <row r="1373" spans="3:15" x14ac:dyDescent="0.3">
      <c r="C1373" s="18"/>
      <c r="D1373" s="33"/>
      <c r="E1373" s="127"/>
      <c r="F1373" s="128"/>
      <c r="G1373" s="128"/>
      <c r="H1373" s="129"/>
      <c r="I1373" s="130"/>
      <c r="J1373" s="23"/>
      <c r="K1373" s="23"/>
      <c r="L1373" s="23"/>
      <c r="M1373" s="131"/>
      <c r="N1373" s="131"/>
      <c r="O1373" s="131"/>
    </row>
    <row r="1374" spans="3:15" x14ac:dyDescent="0.3">
      <c r="C1374" s="18"/>
      <c r="D1374" s="33"/>
      <c r="E1374" s="127"/>
      <c r="F1374" s="128"/>
      <c r="G1374" s="128"/>
      <c r="H1374" s="129"/>
      <c r="I1374" s="130"/>
      <c r="J1374" s="23"/>
      <c r="K1374" s="23"/>
      <c r="L1374" s="23"/>
      <c r="M1374" s="131"/>
      <c r="N1374" s="131"/>
      <c r="O1374" s="131"/>
    </row>
    <row r="1375" spans="3:15" x14ac:dyDescent="0.3">
      <c r="C1375" s="18"/>
      <c r="D1375" s="33"/>
      <c r="E1375" s="127"/>
      <c r="F1375" s="128"/>
      <c r="G1375" s="128"/>
      <c r="H1375" s="129"/>
      <c r="I1375" s="130"/>
      <c r="J1375" s="23"/>
      <c r="K1375" s="23"/>
      <c r="L1375" s="23"/>
      <c r="M1375" s="131"/>
      <c r="N1375" s="131"/>
      <c r="O1375" s="131"/>
    </row>
    <row r="1376" spans="3:15" x14ac:dyDescent="0.3">
      <c r="C1376" s="18"/>
      <c r="D1376" s="33"/>
      <c r="E1376" s="127"/>
      <c r="F1376" s="128"/>
      <c r="G1376" s="128"/>
      <c r="H1376" s="129"/>
      <c r="I1376" s="130"/>
      <c r="J1376" s="23"/>
      <c r="K1376" s="23"/>
      <c r="L1376" s="23"/>
      <c r="M1376" s="131"/>
      <c r="N1376" s="131"/>
      <c r="O1376" s="131"/>
    </row>
    <row r="1377" spans="3:15" x14ac:dyDescent="0.3">
      <c r="C1377" s="18"/>
      <c r="D1377" s="33"/>
      <c r="E1377" s="127"/>
      <c r="F1377" s="128"/>
      <c r="G1377" s="128"/>
      <c r="H1377" s="129"/>
      <c r="I1377" s="130"/>
      <c r="J1377" s="23"/>
      <c r="K1377" s="23"/>
      <c r="L1377" s="23"/>
      <c r="M1377" s="131"/>
      <c r="N1377" s="131"/>
      <c r="O1377" s="131"/>
    </row>
    <row r="1378" spans="3:15" x14ac:dyDescent="0.3">
      <c r="C1378" s="18"/>
      <c r="D1378" s="33"/>
      <c r="E1378" s="127"/>
      <c r="F1378" s="128"/>
      <c r="G1378" s="128"/>
      <c r="H1378" s="129"/>
      <c r="I1378" s="130"/>
      <c r="J1378" s="23"/>
      <c r="K1378" s="23"/>
      <c r="L1378" s="23"/>
      <c r="M1378" s="131"/>
      <c r="N1378" s="131"/>
      <c r="O1378" s="131"/>
    </row>
    <row r="1379" spans="3:15" x14ac:dyDescent="0.3">
      <c r="C1379" s="18"/>
      <c r="D1379" s="33"/>
      <c r="E1379" s="127"/>
      <c r="F1379" s="128"/>
      <c r="G1379" s="128"/>
      <c r="H1379" s="129"/>
      <c r="I1379" s="130"/>
      <c r="J1379" s="23"/>
      <c r="K1379" s="23"/>
      <c r="L1379" s="23"/>
      <c r="M1379" s="131"/>
      <c r="N1379" s="131"/>
      <c r="O1379" s="131"/>
    </row>
    <row r="1380" spans="3:15" x14ac:dyDescent="0.3">
      <c r="C1380" s="18"/>
      <c r="D1380" s="33"/>
      <c r="E1380" s="127"/>
      <c r="F1380" s="128"/>
      <c r="G1380" s="128"/>
      <c r="H1380" s="129"/>
      <c r="I1380" s="130"/>
      <c r="J1380" s="23"/>
      <c r="K1380" s="23"/>
      <c r="L1380" s="23"/>
      <c r="M1380" s="131"/>
      <c r="N1380" s="131"/>
      <c r="O1380" s="131"/>
    </row>
    <row r="1381" spans="3:15" x14ac:dyDescent="0.3">
      <c r="C1381" s="18"/>
      <c r="D1381" s="33"/>
      <c r="E1381" s="127"/>
      <c r="F1381" s="128"/>
      <c r="G1381" s="128"/>
      <c r="H1381" s="129"/>
      <c r="I1381" s="130"/>
      <c r="J1381" s="23"/>
      <c r="K1381" s="23"/>
      <c r="L1381" s="23"/>
      <c r="M1381" s="131"/>
      <c r="N1381" s="131"/>
      <c r="O1381" s="131"/>
    </row>
    <row r="1382" spans="3:15" x14ac:dyDescent="0.3">
      <c r="C1382" s="18"/>
      <c r="D1382" s="33"/>
      <c r="E1382" s="127"/>
      <c r="F1382" s="128"/>
      <c r="G1382" s="128"/>
      <c r="H1382" s="129"/>
      <c r="I1382" s="130"/>
      <c r="J1382" s="23"/>
      <c r="K1382" s="23"/>
      <c r="L1382" s="23"/>
      <c r="M1382" s="131"/>
      <c r="N1382" s="131"/>
      <c r="O1382" s="131"/>
    </row>
    <row r="1383" spans="3:15" x14ac:dyDescent="0.3">
      <c r="C1383" s="18"/>
      <c r="D1383" s="33"/>
      <c r="E1383" s="127"/>
      <c r="F1383" s="128"/>
      <c r="G1383" s="128"/>
      <c r="H1383" s="129"/>
      <c r="I1383" s="130"/>
      <c r="J1383" s="23"/>
      <c r="K1383" s="23"/>
      <c r="L1383" s="23"/>
      <c r="M1383" s="131"/>
      <c r="N1383" s="131"/>
      <c r="O1383" s="131"/>
    </row>
    <row r="1384" spans="3:15" x14ac:dyDescent="0.3">
      <c r="C1384" s="18"/>
      <c r="D1384" s="33"/>
      <c r="E1384" s="127"/>
      <c r="F1384" s="128"/>
      <c r="G1384" s="128"/>
      <c r="H1384" s="129"/>
      <c r="I1384" s="130"/>
      <c r="J1384" s="23"/>
      <c r="K1384" s="23"/>
      <c r="L1384" s="23"/>
      <c r="M1384" s="131"/>
      <c r="N1384" s="131"/>
      <c r="O1384" s="131"/>
    </row>
    <row r="1385" spans="3:15" x14ac:dyDescent="0.3">
      <c r="C1385" s="18"/>
      <c r="D1385" s="33"/>
      <c r="E1385" s="127"/>
      <c r="F1385" s="128"/>
      <c r="G1385" s="128"/>
      <c r="H1385" s="129"/>
      <c r="I1385" s="130"/>
      <c r="J1385" s="23"/>
      <c r="K1385" s="23"/>
      <c r="L1385" s="23"/>
      <c r="M1385" s="131"/>
      <c r="N1385" s="131"/>
      <c r="O1385" s="131"/>
    </row>
    <row r="1386" spans="3:15" x14ac:dyDescent="0.3">
      <c r="C1386" s="18"/>
      <c r="D1386" s="33"/>
      <c r="E1386" s="127"/>
      <c r="F1386" s="128"/>
      <c r="G1386" s="128"/>
      <c r="H1386" s="129"/>
      <c r="I1386" s="130"/>
      <c r="J1386" s="23"/>
      <c r="K1386" s="23"/>
      <c r="L1386" s="23"/>
      <c r="M1386" s="131"/>
      <c r="N1386" s="131"/>
      <c r="O1386" s="131"/>
    </row>
    <row r="1387" spans="3:15" x14ac:dyDescent="0.3">
      <c r="C1387" s="18"/>
      <c r="D1387" s="33"/>
      <c r="E1387" s="127"/>
      <c r="F1387" s="128"/>
      <c r="G1387" s="128"/>
      <c r="H1387" s="129"/>
      <c r="I1387" s="130"/>
      <c r="J1387" s="23"/>
      <c r="K1387" s="23"/>
      <c r="L1387" s="23"/>
      <c r="M1387" s="131"/>
      <c r="N1387" s="131"/>
      <c r="O1387" s="131"/>
    </row>
    <row r="1388" spans="3:15" x14ac:dyDescent="0.3">
      <c r="C1388" s="18"/>
      <c r="D1388" s="33"/>
      <c r="E1388" s="127"/>
      <c r="F1388" s="128"/>
      <c r="G1388" s="128"/>
      <c r="H1388" s="129"/>
      <c r="I1388" s="130"/>
      <c r="J1388" s="23"/>
      <c r="K1388" s="23"/>
      <c r="L1388" s="23"/>
      <c r="M1388" s="131"/>
      <c r="N1388" s="131"/>
      <c r="O1388" s="131"/>
    </row>
    <row r="1389" spans="3:15" x14ac:dyDescent="0.3">
      <c r="C1389" s="18"/>
      <c r="D1389" s="33"/>
      <c r="E1389" s="127"/>
      <c r="F1389" s="128"/>
      <c r="G1389" s="128"/>
      <c r="H1389" s="129"/>
      <c r="I1389" s="130"/>
      <c r="J1389" s="23"/>
      <c r="K1389" s="23"/>
      <c r="L1389" s="23"/>
      <c r="M1389" s="131"/>
      <c r="N1389" s="131"/>
      <c r="O1389" s="131"/>
    </row>
    <row r="1390" spans="3:15" x14ac:dyDescent="0.3">
      <c r="C1390" s="18"/>
      <c r="D1390" s="33"/>
      <c r="E1390" s="127"/>
      <c r="F1390" s="128"/>
      <c r="G1390" s="128"/>
      <c r="H1390" s="129"/>
      <c r="I1390" s="130"/>
      <c r="J1390" s="23"/>
      <c r="K1390" s="23"/>
      <c r="L1390" s="23"/>
      <c r="M1390" s="131"/>
      <c r="N1390" s="131"/>
      <c r="O1390" s="131"/>
    </row>
    <row r="1391" spans="3:15" x14ac:dyDescent="0.3">
      <c r="C1391" s="18"/>
      <c r="D1391" s="33"/>
      <c r="E1391" s="127"/>
      <c r="F1391" s="128"/>
      <c r="G1391" s="128"/>
      <c r="H1391" s="129"/>
      <c r="I1391" s="130"/>
      <c r="J1391" s="23"/>
      <c r="K1391" s="23"/>
      <c r="L1391" s="23"/>
      <c r="M1391" s="131"/>
      <c r="N1391" s="131"/>
      <c r="O1391" s="131"/>
    </row>
    <row r="1392" spans="3:15" x14ac:dyDescent="0.3">
      <c r="C1392" s="18"/>
      <c r="D1392" s="33"/>
      <c r="E1392" s="127"/>
      <c r="F1392" s="128"/>
      <c r="G1392" s="128"/>
      <c r="H1392" s="129"/>
      <c r="I1392" s="130"/>
      <c r="J1392" s="23"/>
      <c r="K1392" s="23"/>
      <c r="L1392" s="23"/>
      <c r="M1392" s="131"/>
      <c r="N1392" s="131"/>
      <c r="O1392" s="131"/>
    </row>
    <row r="1393" spans="3:15" x14ac:dyDescent="0.3">
      <c r="C1393" s="18"/>
      <c r="D1393" s="33"/>
      <c r="E1393" s="127"/>
      <c r="F1393" s="128"/>
      <c r="G1393" s="128"/>
      <c r="H1393" s="129"/>
      <c r="I1393" s="130"/>
      <c r="J1393" s="23"/>
      <c r="K1393" s="23"/>
      <c r="L1393" s="23"/>
      <c r="M1393" s="131"/>
      <c r="N1393" s="131"/>
      <c r="O1393" s="131"/>
    </row>
    <row r="1394" spans="3:15" x14ac:dyDescent="0.3">
      <c r="C1394" s="18"/>
      <c r="D1394" s="33"/>
      <c r="E1394" s="127"/>
      <c r="F1394" s="128"/>
      <c r="G1394" s="128"/>
      <c r="H1394" s="129"/>
      <c r="I1394" s="130"/>
      <c r="J1394" s="23"/>
      <c r="K1394" s="23"/>
      <c r="L1394" s="23"/>
      <c r="M1394" s="131"/>
      <c r="N1394" s="131"/>
      <c r="O1394" s="131"/>
    </row>
    <row r="1395" spans="3:15" x14ac:dyDescent="0.3">
      <c r="C1395" s="18"/>
      <c r="D1395" s="33"/>
      <c r="E1395" s="127"/>
      <c r="F1395" s="128"/>
      <c r="G1395" s="128"/>
      <c r="H1395" s="129"/>
      <c r="I1395" s="130"/>
      <c r="J1395" s="23"/>
      <c r="K1395" s="23"/>
      <c r="L1395" s="23"/>
      <c r="M1395" s="131"/>
      <c r="N1395" s="131"/>
      <c r="O1395" s="131"/>
    </row>
    <row r="1396" spans="3:15" x14ac:dyDescent="0.3">
      <c r="C1396" s="18"/>
      <c r="D1396" s="33"/>
      <c r="E1396" s="127"/>
      <c r="F1396" s="128"/>
      <c r="G1396" s="128"/>
      <c r="H1396" s="129"/>
      <c r="I1396" s="130"/>
      <c r="J1396" s="23"/>
      <c r="K1396" s="23"/>
      <c r="L1396" s="23"/>
      <c r="M1396" s="131"/>
      <c r="N1396" s="131"/>
      <c r="O1396" s="131"/>
    </row>
    <row r="1397" spans="3:15" x14ac:dyDescent="0.3">
      <c r="C1397" s="18"/>
      <c r="D1397" s="33"/>
      <c r="E1397" s="127"/>
      <c r="F1397" s="128"/>
      <c r="G1397" s="128"/>
      <c r="H1397" s="129"/>
      <c r="I1397" s="130"/>
      <c r="J1397" s="23"/>
      <c r="K1397" s="23"/>
      <c r="L1397" s="23"/>
      <c r="M1397" s="131"/>
      <c r="N1397" s="131"/>
      <c r="O1397" s="131"/>
    </row>
    <row r="1398" spans="3:15" x14ac:dyDescent="0.3">
      <c r="C1398" s="18"/>
      <c r="D1398" s="33"/>
      <c r="E1398" s="127"/>
      <c r="F1398" s="128"/>
      <c r="G1398" s="128"/>
      <c r="H1398" s="129"/>
      <c r="I1398" s="130"/>
      <c r="J1398" s="23"/>
      <c r="K1398" s="23"/>
      <c r="L1398" s="23"/>
      <c r="M1398" s="131"/>
      <c r="N1398" s="131"/>
      <c r="O1398" s="131"/>
    </row>
    <row r="1399" spans="3:15" x14ac:dyDescent="0.3">
      <c r="C1399" s="18"/>
      <c r="D1399" s="33"/>
      <c r="E1399" s="127"/>
      <c r="F1399" s="128"/>
      <c r="G1399" s="128"/>
      <c r="H1399" s="129"/>
      <c r="I1399" s="130"/>
      <c r="J1399" s="23"/>
      <c r="K1399" s="23"/>
      <c r="L1399" s="23"/>
      <c r="M1399" s="131"/>
      <c r="N1399" s="131"/>
      <c r="O1399" s="131"/>
    </row>
    <row r="1400" spans="3:15" x14ac:dyDescent="0.3">
      <c r="C1400" s="18"/>
      <c r="D1400" s="33"/>
      <c r="E1400" s="127"/>
      <c r="F1400" s="128"/>
      <c r="G1400" s="128"/>
      <c r="H1400" s="129"/>
      <c r="I1400" s="130"/>
      <c r="J1400" s="23"/>
      <c r="K1400" s="23"/>
      <c r="L1400" s="23"/>
      <c r="M1400" s="131"/>
      <c r="N1400" s="131"/>
      <c r="O1400" s="131"/>
    </row>
    <row r="1401" spans="3:15" x14ac:dyDescent="0.3">
      <c r="C1401" s="18"/>
      <c r="D1401" s="33"/>
      <c r="E1401" s="127"/>
      <c r="F1401" s="128"/>
      <c r="G1401" s="128"/>
      <c r="H1401" s="129"/>
      <c r="I1401" s="130"/>
      <c r="J1401" s="23"/>
      <c r="K1401" s="23"/>
      <c r="L1401" s="23"/>
      <c r="M1401" s="131"/>
      <c r="N1401" s="131"/>
      <c r="O1401" s="131"/>
    </row>
    <row r="1402" spans="3:15" x14ac:dyDescent="0.3">
      <c r="C1402" s="18"/>
      <c r="D1402" s="33"/>
      <c r="E1402" s="127"/>
      <c r="F1402" s="128"/>
      <c r="G1402" s="128"/>
      <c r="H1402" s="129"/>
      <c r="I1402" s="130"/>
      <c r="J1402" s="23"/>
      <c r="K1402" s="23"/>
      <c r="L1402" s="23"/>
      <c r="M1402" s="131"/>
      <c r="N1402" s="131"/>
      <c r="O1402" s="131"/>
    </row>
    <row r="1403" spans="3:15" x14ac:dyDescent="0.3">
      <c r="D1403" s="33"/>
      <c r="E1403" s="127"/>
      <c r="F1403" s="128"/>
      <c r="G1403" s="128"/>
      <c r="H1403" s="129"/>
      <c r="I1403" s="130"/>
      <c r="J1403" s="23"/>
      <c r="K1403" s="23"/>
      <c r="L1403" s="23"/>
      <c r="M1403" s="131"/>
      <c r="N1403" s="131"/>
      <c r="O1403" s="131"/>
    </row>
    <row r="1404" spans="3:15" x14ac:dyDescent="0.3">
      <c r="D1404" s="33"/>
      <c r="E1404" s="127"/>
      <c r="F1404" s="128"/>
      <c r="G1404" s="128"/>
      <c r="H1404" s="129"/>
      <c r="I1404" s="130"/>
      <c r="J1404" s="23"/>
      <c r="K1404" s="23"/>
      <c r="L1404" s="23"/>
      <c r="M1404" s="131"/>
      <c r="N1404" s="131"/>
      <c r="O1404" s="131"/>
    </row>
    <row r="1405" spans="3:15" x14ac:dyDescent="0.3">
      <c r="D1405" s="33"/>
      <c r="E1405" s="127"/>
      <c r="F1405" s="128"/>
      <c r="G1405" s="128"/>
      <c r="H1405" s="129"/>
      <c r="I1405" s="130"/>
      <c r="J1405" s="23"/>
      <c r="K1405" s="23"/>
      <c r="L1405" s="23"/>
      <c r="M1405" s="131"/>
      <c r="N1405" s="131"/>
      <c r="O1405" s="131"/>
    </row>
    <row r="1406" spans="3:15" x14ac:dyDescent="0.3">
      <c r="D1406" s="33"/>
      <c r="E1406" s="127"/>
      <c r="F1406" s="128"/>
      <c r="G1406" s="128"/>
      <c r="H1406" s="129"/>
      <c r="I1406" s="130"/>
      <c r="J1406" s="23"/>
      <c r="K1406" s="23"/>
      <c r="L1406" s="23"/>
      <c r="M1406" s="131"/>
      <c r="N1406" s="131"/>
      <c r="O1406" s="131"/>
    </row>
    <row r="1407" spans="3:15" x14ac:dyDescent="0.3">
      <c r="D1407" s="33"/>
      <c r="E1407" s="127"/>
      <c r="F1407" s="128"/>
      <c r="G1407" s="128"/>
      <c r="H1407" s="129"/>
      <c r="I1407" s="130"/>
      <c r="J1407" s="23"/>
      <c r="K1407" s="23"/>
      <c r="L1407" s="23"/>
      <c r="M1407" s="131"/>
      <c r="N1407" s="131"/>
      <c r="O1407" s="131"/>
    </row>
    <row r="1408" spans="3:15" x14ac:dyDescent="0.3">
      <c r="D1408" s="33"/>
      <c r="E1408" s="127"/>
      <c r="F1408" s="128"/>
      <c r="G1408" s="128"/>
      <c r="H1408" s="129"/>
      <c r="I1408" s="130"/>
      <c r="J1408" s="23"/>
      <c r="K1408" s="23"/>
      <c r="L1408" s="23"/>
      <c r="M1408" s="131"/>
      <c r="N1408" s="131"/>
      <c r="O1408" s="131"/>
    </row>
    <row r="1409" spans="4:15" x14ac:dyDescent="0.3">
      <c r="D1409" s="33"/>
      <c r="E1409" s="127"/>
      <c r="F1409" s="128"/>
      <c r="G1409" s="128"/>
      <c r="H1409" s="129"/>
      <c r="I1409" s="130"/>
      <c r="J1409" s="23"/>
      <c r="K1409" s="23"/>
      <c r="L1409" s="23"/>
      <c r="M1409" s="131"/>
      <c r="N1409" s="131"/>
      <c r="O1409" s="131"/>
    </row>
    <row r="1410" spans="4:15" x14ac:dyDescent="0.3">
      <c r="D1410" s="33"/>
      <c r="E1410" s="127"/>
      <c r="F1410" s="128"/>
      <c r="G1410" s="128"/>
      <c r="H1410" s="129"/>
      <c r="I1410" s="130"/>
      <c r="J1410" s="23"/>
      <c r="K1410" s="23"/>
      <c r="L1410" s="23"/>
      <c r="M1410" s="131"/>
      <c r="N1410" s="131"/>
      <c r="O1410" s="131"/>
    </row>
    <row r="1411" spans="4:15" x14ac:dyDescent="0.3">
      <c r="D1411" s="33"/>
      <c r="E1411" s="127"/>
      <c r="F1411" s="128"/>
      <c r="G1411" s="128"/>
      <c r="H1411" s="129"/>
      <c r="I1411" s="130"/>
      <c r="J1411" s="23"/>
      <c r="K1411" s="23"/>
      <c r="L1411" s="23"/>
      <c r="M1411" s="131"/>
      <c r="N1411" s="131"/>
      <c r="O1411" s="131"/>
    </row>
    <row r="1412" spans="4:15" x14ac:dyDescent="0.3">
      <c r="D1412" s="33"/>
      <c r="E1412" s="127"/>
      <c r="F1412" s="128"/>
      <c r="G1412" s="128"/>
      <c r="H1412" s="129"/>
      <c r="I1412" s="130"/>
      <c r="J1412" s="23"/>
      <c r="K1412" s="23"/>
      <c r="L1412" s="23"/>
      <c r="M1412" s="131"/>
      <c r="N1412" s="131"/>
      <c r="O1412" s="131"/>
    </row>
    <row r="1413" spans="4:15" x14ac:dyDescent="0.3">
      <c r="D1413" s="33"/>
      <c r="E1413" s="127"/>
      <c r="F1413" s="128"/>
      <c r="G1413" s="128"/>
      <c r="H1413" s="129"/>
      <c r="I1413" s="130"/>
      <c r="J1413" s="23"/>
      <c r="K1413" s="23"/>
      <c r="L1413" s="23"/>
      <c r="M1413" s="131"/>
      <c r="N1413" s="131"/>
      <c r="O1413" s="131"/>
    </row>
    <row r="1414" spans="4:15" x14ac:dyDescent="0.3">
      <c r="D1414" s="33"/>
      <c r="E1414" s="127"/>
      <c r="F1414" s="128"/>
      <c r="G1414" s="128"/>
      <c r="H1414" s="129"/>
      <c r="I1414" s="130"/>
      <c r="J1414" s="23"/>
      <c r="K1414" s="23"/>
      <c r="L1414" s="23"/>
      <c r="M1414" s="131"/>
      <c r="N1414" s="131"/>
      <c r="O1414" s="131"/>
    </row>
    <row r="1415" spans="4:15" x14ac:dyDescent="0.3">
      <c r="D1415" s="33"/>
      <c r="E1415" s="127"/>
      <c r="F1415" s="128"/>
      <c r="G1415" s="128"/>
      <c r="H1415" s="129"/>
      <c r="I1415" s="130"/>
      <c r="J1415" s="23"/>
      <c r="K1415" s="23"/>
      <c r="L1415" s="23"/>
      <c r="M1415" s="131"/>
      <c r="N1415" s="131"/>
      <c r="O1415" s="131"/>
    </row>
    <row r="1416" spans="4:15" x14ac:dyDescent="0.3">
      <c r="D1416" s="33"/>
      <c r="E1416" s="127"/>
      <c r="F1416" s="128"/>
      <c r="G1416" s="128"/>
      <c r="H1416" s="129"/>
      <c r="I1416" s="130"/>
      <c r="J1416" s="23"/>
      <c r="K1416" s="23"/>
      <c r="L1416" s="23"/>
      <c r="M1416" s="131"/>
      <c r="N1416" s="131"/>
      <c r="O1416" s="131"/>
    </row>
    <row r="1417" spans="4:15" x14ac:dyDescent="0.3">
      <c r="D1417" s="33"/>
      <c r="E1417" s="127"/>
      <c r="F1417" s="128"/>
      <c r="G1417" s="128"/>
      <c r="H1417" s="129"/>
      <c r="I1417" s="130"/>
      <c r="J1417" s="23"/>
      <c r="K1417" s="23"/>
      <c r="L1417" s="23"/>
      <c r="M1417" s="131"/>
      <c r="N1417" s="131"/>
      <c r="O1417" s="131"/>
    </row>
    <row r="1418" spans="4:15" x14ac:dyDescent="0.3">
      <c r="D1418" s="33"/>
      <c r="E1418" s="127"/>
      <c r="F1418" s="128"/>
      <c r="G1418" s="128"/>
      <c r="H1418" s="129"/>
      <c r="I1418" s="130"/>
      <c r="J1418" s="23"/>
      <c r="K1418" s="23"/>
      <c r="L1418" s="23"/>
      <c r="M1418" s="131"/>
      <c r="N1418" s="131"/>
      <c r="O1418" s="131"/>
    </row>
    <row r="1419" spans="4:15" x14ac:dyDescent="0.3">
      <c r="D1419" s="33"/>
      <c r="E1419" s="127"/>
      <c r="F1419" s="128"/>
      <c r="G1419" s="128"/>
      <c r="H1419" s="129"/>
      <c r="I1419" s="130"/>
      <c r="J1419" s="23"/>
      <c r="K1419" s="23"/>
      <c r="L1419" s="23"/>
      <c r="M1419" s="131"/>
      <c r="N1419" s="131"/>
      <c r="O1419" s="131"/>
    </row>
    <row r="1420" spans="4:15" x14ac:dyDescent="0.3">
      <c r="D1420" s="33"/>
      <c r="E1420" s="127"/>
      <c r="F1420" s="128"/>
      <c r="G1420" s="128"/>
      <c r="H1420" s="129"/>
      <c r="I1420" s="130"/>
      <c r="J1420" s="23"/>
      <c r="K1420" s="23"/>
      <c r="L1420" s="23"/>
      <c r="M1420" s="131"/>
      <c r="N1420" s="131"/>
      <c r="O1420" s="131"/>
    </row>
    <row r="1421" spans="4:15" x14ac:dyDescent="0.3">
      <c r="D1421" s="33"/>
      <c r="E1421" s="127"/>
      <c r="F1421" s="128"/>
      <c r="G1421" s="128"/>
      <c r="H1421" s="129"/>
      <c r="I1421" s="130"/>
      <c r="J1421" s="23"/>
      <c r="K1421" s="23"/>
      <c r="L1421" s="23"/>
      <c r="M1421" s="131"/>
      <c r="N1421" s="131"/>
      <c r="O1421" s="131"/>
    </row>
    <row r="1422" spans="4:15" x14ac:dyDescent="0.3">
      <c r="D1422" s="33"/>
      <c r="E1422" s="127"/>
      <c r="F1422" s="128"/>
      <c r="G1422" s="128"/>
      <c r="H1422" s="129"/>
      <c r="I1422" s="130"/>
      <c r="J1422" s="23"/>
      <c r="K1422" s="23"/>
      <c r="L1422" s="23"/>
      <c r="M1422" s="131"/>
      <c r="N1422" s="131"/>
      <c r="O1422" s="131"/>
    </row>
    <row r="1423" spans="4:15" x14ac:dyDescent="0.3">
      <c r="D1423" s="33"/>
      <c r="E1423" s="127"/>
      <c r="F1423" s="128"/>
      <c r="G1423" s="128"/>
      <c r="H1423" s="129"/>
      <c r="I1423" s="130"/>
      <c r="J1423" s="23"/>
      <c r="K1423" s="23"/>
      <c r="L1423" s="23"/>
      <c r="M1423" s="131"/>
      <c r="N1423" s="131"/>
      <c r="O1423" s="131"/>
    </row>
    <row r="1424" spans="4:15" x14ac:dyDescent="0.3">
      <c r="D1424" s="33"/>
      <c r="E1424" s="127"/>
      <c r="F1424" s="128"/>
      <c r="G1424" s="128"/>
      <c r="H1424" s="129"/>
      <c r="I1424" s="130"/>
      <c r="J1424" s="23"/>
      <c r="K1424" s="23"/>
      <c r="L1424" s="23"/>
      <c r="M1424" s="131"/>
      <c r="N1424" s="131"/>
      <c r="O1424" s="131"/>
    </row>
    <row r="1425" spans="4:15" x14ac:dyDescent="0.3">
      <c r="D1425" s="33"/>
      <c r="E1425" s="127"/>
      <c r="F1425" s="128"/>
      <c r="G1425" s="128"/>
      <c r="H1425" s="129"/>
      <c r="I1425" s="130"/>
      <c r="J1425" s="23"/>
      <c r="K1425" s="23"/>
      <c r="L1425" s="23"/>
      <c r="M1425" s="131"/>
      <c r="N1425" s="131"/>
      <c r="O1425" s="131"/>
    </row>
    <row r="1426" spans="4:15" x14ac:dyDescent="0.3">
      <c r="D1426" s="33"/>
      <c r="E1426" s="127"/>
      <c r="F1426" s="128"/>
      <c r="G1426" s="128"/>
      <c r="H1426" s="129"/>
      <c r="I1426" s="130"/>
      <c r="J1426" s="23"/>
      <c r="K1426" s="23"/>
      <c r="L1426" s="23"/>
      <c r="M1426" s="131"/>
      <c r="N1426" s="131"/>
      <c r="O1426" s="131"/>
    </row>
    <row r="1427" spans="4:15" x14ac:dyDescent="0.3">
      <c r="D1427" s="33"/>
      <c r="E1427" s="127"/>
      <c r="F1427" s="128"/>
      <c r="G1427" s="128"/>
      <c r="H1427" s="129"/>
      <c r="I1427" s="130"/>
      <c r="J1427" s="23"/>
      <c r="K1427" s="23"/>
      <c r="L1427" s="23"/>
      <c r="M1427" s="131"/>
      <c r="N1427" s="131"/>
      <c r="O1427" s="131"/>
    </row>
    <row r="1428" spans="4:15" x14ac:dyDescent="0.3">
      <c r="D1428" s="33"/>
      <c r="E1428" s="127"/>
      <c r="F1428" s="128"/>
      <c r="G1428" s="128"/>
      <c r="H1428" s="129"/>
      <c r="I1428" s="130"/>
      <c r="J1428" s="23"/>
      <c r="K1428" s="23"/>
      <c r="L1428" s="23"/>
      <c r="M1428" s="131"/>
      <c r="N1428" s="131"/>
      <c r="O1428" s="131"/>
    </row>
    <row r="1429" spans="4:15" x14ac:dyDescent="0.3">
      <c r="D1429" s="33"/>
      <c r="E1429" s="127"/>
      <c r="F1429" s="128"/>
      <c r="G1429" s="128"/>
      <c r="H1429" s="129"/>
      <c r="I1429" s="130"/>
      <c r="J1429" s="23"/>
      <c r="K1429" s="23"/>
      <c r="L1429" s="23"/>
      <c r="M1429" s="131"/>
      <c r="N1429" s="131"/>
      <c r="O1429" s="131"/>
    </row>
    <row r="1430" spans="4:15" x14ac:dyDescent="0.3">
      <c r="D1430" s="33"/>
      <c r="E1430" s="127"/>
      <c r="F1430" s="128"/>
      <c r="G1430" s="128"/>
      <c r="H1430" s="129"/>
      <c r="I1430" s="130"/>
      <c r="J1430" s="23"/>
      <c r="K1430" s="23"/>
      <c r="L1430" s="23"/>
      <c r="M1430" s="131"/>
      <c r="N1430" s="131"/>
      <c r="O1430" s="131"/>
    </row>
    <row r="1431" spans="4:15" x14ac:dyDescent="0.3">
      <c r="D1431" s="33"/>
      <c r="E1431" s="127"/>
      <c r="F1431" s="128"/>
      <c r="G1431" s="128"/>
      <c r="H1431" s="129"/>
      <c r="I1431" s="130"/>
      <c r="J1431" s="23"/>
      <c r="K1431" s="23"/>
      <c r="L1431" s="23"/>
      <c r="M1431" s="131"/>
      <c r="N1431" s="131"/>
      <c r="O1431" s="131"/>
    </row>
    <row r="1432" spans="4:15" x14ac:dyDescent="0.3">
      <c r="D1432" s="33"/>
      <c r="E1432" s="127"/>
      <c r="F1432" s="128"/>
      <c r="G1432" s="128"/>
      <c r="H1432" s="129"/>
      <c r="I1432" s="130"/>
      <c r="J1432" s="23"/>
      <c r="K1432" s="23"/>
      <c r="L1432" s="23"/>
      <c r="M1432" s="131"/>
      <c r="N1432" s="131"/>
      <c r="O1432" s="131"/>
    </row>
    <row r="1433" spans="4:15" x14ac:dyDescent="0.3">
      <c r="D1433" s="33"/>
      <c r="E1433" s="127"/>
      <c r="F1433" s="128"/>
      <c r="G1433" s="128"/>
      <c r="H1433" s="129"/>
      <c r="I1433" s="130"/>
      <c r="J1433" s="23"/>
      <c r="K1433" s="23"/>
      <c r="L1433" s="23"/>
      <c r="M1433" s="131"/>
      <c r="N1433" s="131"/>
      <c r="O1433" s="131"/>
    </row>
    <row r="1434" spans="4:15" x14ac:dyDescent="0.3">
      <c r="D1434" s="33"/>
      <c r="E1434" s="127"/>
      <c r="F1434" s="128"/>
      <c r="G1434" s="128"/>
      <c r="H1434" s="129"/>
      <c r="I1434" s="130"/>
      <c r="J1434" s="23"/>
      <c r="K1434" s="23"/>
      <c r="L1434" s="23"/>
      <c r="M1434" s="131"/>
      <c r="N1434" s="131"/>
      <c r="O1434" s="131"/>
    </row>
    <row r="1435" spans="4:15" x14ac:dyDescent="0.3">
      <c r="D1435" s="33"/>
      <c r="E1435" s="127"/>
      <c r="F1435" s="128"/>
      <c r="G1435" s="128"/>
      <c r="H1435" s="129"/>
      <c r="I1435" s="130"/>
      <c r="J1435" s="23"/>
      <c r="K1435" s="23"/>
      <c r="L1435" s="23"/>
      <c r="M1435" s="131"/>
      <c r="N1435" s="131"/>
      <c r="O1435" s="131"/>
    </row>
    <row r="1436" spans="4:15" x14ac:dyDescent="0.3">
      <c r="D1436" s="33"/>
      <c r="E1436" s="127"/>
      <c r="F1436" s="128"/>
      <c r="G1436" s="128"/>
      <c r="H1436" s="129"/>
      <c r="I1436" s="130"/>
      <c r="J1436" s="23"/>
      <c r="K1436" s="23"/>
      <c r="L1436" s="23"/>
      <c r="M1436" s="131"/>
      <c r="N1436" s="131"/>
      <c r="O1436" s="131"/>
    </row>
    <row r="1437" spans="4:15" x14ac:dyDescent="0.3">
      <c r="D1437" s="33"/>
      <c r="E1437" s="127"/>
      <c r="F1437" s="128"/>
      <c r="G1437" s="128"/>
      <c r="H1437" s="129"/>
      <c r="I1437" s="130"/>
      <c r="J1437" s="23"/>
      <c r="K1437" s="23"/>
      <c r="L1437" s="23"/>
      <c r="M1437" s="131"/>
      <c r="N1437" s="131"/>
      <c r="O1437" s="131"/>
    </row>
    <row r="1438" spans="4:15" x14ac:dyDescent="0.3">
      <c r="D1438" s="33"/>
      <c r="E1438" s="127"/>
      <c r="F1438" s="128"/>
      <c r="G1438" s="128"/>
      <c r="H1438" s="129"/>
      <c r="I1438" s="130"/>
      <c r="J1438" s="23"/>
      <c r="K1438" s="23"/>
      <c r="L1438" s="23"/>
      <c r="M1438" s="131"/>
      <c r="N1438" s="131"/>
      <c r="O1438" s="131"/>
    </row>
    <row r="1439" spans="4:15" x14ac:dyDescent="0.3">
      <c r="D1439" s="33"/>
      <c r="E1439" s="127"/>
      <c r="F1439" s="128"/>
      <c r="G1439" s="128"/>
      <c r="H1439" s="129"/>
      <c r="I1439" s="130"/>
      <c r="J1439" s="23"/>
      <c r="K1439" s="23"/>
      <c r="L1439" s="23"/>
      <c r="M1439" s="131"/>
      <c r="N1439" s="131"/>
      <c r="O1439" s="131"/>
    </row>
    <row r="1440" spans="4:15" x14ac:dyDescent="0.3">
      <c r="D1440" s="33"/>
      <c r="E1440" s="127"/>
      <c r="F1440" s="128"/>
      <c r="G1440" s="128"/>
      <c r="H1440" s="129"/>
      <c r="I1440" s="130"/>
      <c r="J1440" s="23"/>
      <c r="K1440" s="23"/>
      <c r="L1440" s="23"/>
      <c r="M1440" s="131"/>
      <c r="N1440" s="131"/>
      <c r="O1440" s="131"/>
    </row>
    <row r="1441" spans="4:15" x14ac:dyDescent="0.3">
      <c r="D1441" s="33"/>
      <c r="E1441" s="127"/>
      <c r="F1441" s="128"/>
      <c r="G1441" s="128"/>
      <c r="H1441" s="129"/>
      <c r="I1441" s="130"/>
      <c r="J1441" s="23"/>
      <c r="K1441" s="23"/>
      <c r="L1441" s="23"/>
      <c r="M1441" s="131"/>
      <c r="N1441" s="131"/>
      <c r="O1441" s="131"/>
    </row>
    <row r="1442" spans="4:15" x14ac:dyDescent="0.3">
      <c r="D1442" s="33"/>
      <c r="E1442" s="127"/>
      <c r="F1442" s="128"/>
      <c r="G1442" s="128"/>
      <c r="H1442" s="129"/>
      <c r="I1442" s="130"/>
      <c r="J1442" s="23"/>
      <c r="K1442" s="23"/>
      <c r="L1442" s="23"/>
      <c r="M1442" s="131"/>
      <c r="N1442" s="131"/>
      <c r="O1442" s="131"/>
    </row>
    <row r="1443" spans="4:15" x14ac:dyDescent="0.3">
      <c r="D1443" s="33"/>
      <c r="E1443" s="127"/>
      <c r="F1443" s="128"/>
      <c r="G1443" s="128"/>
      <c r="H1443" s="129"/>
      <c r="I1443" s="130"/>
      <c r="J1443" s="23"/>
      <c r="K1443" s="23"/>
      <c r="L1443" s="23"/>
      <c r="M1443" s="131"/>
      <c r="N1443" s="131"/>
      <c r="O1443" s="131"/>
    </row>
    <row r="1444" spans="4:15" x14ac:dyDescent="0.3">
      <c r="D1444" s="33"/>
      <c r="E1444" s="127"/>
      <c r="F1444" s="128"/>
      <c r="G1444" s="128"/>
      <c r="H1444" s="129"/>
      <c r="I1444" s="130"/>
      <c r="J1444" s="23"/>
      <c r="K1444" s="23"/>
      <c r="L1444" s="23"/>
      <c r="M1444" s="131"/>
      <c r="N1444" s="131"/>
      <c r="O1444" s="131"/>
    </row>
    <row r="1445" spans="4:15" x14ac:dyDescent="0.3">
      <c r="D1445" s="33"/>
      <c r="E1445" s="127"/>
      <c r="F1445" s="128"/>
      <c r="G1445" s="128"/>
      <c r="H1445" s="129"/>
      <c r="I1445" s="130"/>
      <c r="J1445" s="23"/>
      <c r="K1445" s="23"/>
      <c r="L1445" s="23"/>
      <c r="M1445" s="131"/>
      <c r="N1445" s="131"/>
      <c r="O1445" s="131"/>
    </row>
    <row r="1446" spans="4:15" x14ac:dyDescent="0.3">
      <c r="D1446" s="33"/>
      <c r="E1446" s="127"/>
      <c r="F1446" s="128"/>
      <c r="G1446" s="128"/>
      <c r="H1446" s="129"/>
      <c r="I1446" s="130"/>
      <c r="J1446" s="23"/>
      <c r="K1446" s="23"/>
      <c r="L1446" s="23"/>
      <c r="M1446" s="131"/>
      <c r="N1446" s="131"/>
      <c r="O1446" s="131"/>
    </row>
    <row r="1447" spans="4:15" x14ac:dyDescent="0.3">
      <c r="D1447" s="33"/>
      <c r="E1447" s="127"/>
      <c r="F1447" s="128"/>
      <c r="G1447" s="128"/>
      <c r="H1447" s="129"/>
      <c r="I1447" s="130"/>
      <c r="J1447" s="23"/>
      <c r="K1447" s="23"/>
      <c r="L1447" s="23"/>
      <c r="M1447" s="131"/>
      <c r="N1447" s="131"/>
      <c r="O1447" s="131"/>
    </row>
    <row r="1448" spans="4:15" x14ac:dyDescent="0.3">
      <c r="D1448" s="33"/>
      <c r="E1448" s="127"/>
      <c r="F1448" s="128"/>
      <c r="G1448" s="128"/>
      <c r="H1448" s="129"/>
      <c r="I1448" s="130"/>
      <c r="J1448" s="23"/>
      <c r="K1448" s="23"/>
      <c r="L1448" s="23"/>
      <c r="M1448" s="131"/>
      <c r="N1448" s="131"/>
      <c r="O1448" s="131"/>
    </row>
    <row r="1449" spans="4:15" x14ac:dyDescent="0.3">
      <c r="D1449" s="33"/>
      <c r="E1449" s="127"/>
      <c r="F1449" s="128"/>
      <c r="G1449" s="128"/>
      <c r="H1449" s="129"/>
      <c r="I1449" s="130"/>
      <c r="J1449" s="23"/>
      <c r="K1449" s="23"/>
      <c r="L1449" s="23"/>
      <c r="M1449" s="131"/>
      <c r="N1449" s="131"/>
      <c r="O1449" s="131"/>
    </row>
    <row r="1450" spans="4:15" x14ac:dyDescent="0.3">
      <c r="D1450" s="33"/>
      <c r="E1450" s="127"/>
      <c r="F1450" s="128"/>
      <c r="G1450" s="128"/>
      <c r="H1450" s="129"/>
      <c r="I1450" s="130"/>
      <c r="J1450" s="23"/>
      <c r="K1450" s="23"/>
      <c r="L1450" s="23"/>
      <c r="M1450" s="131"/>
      <c r="N1450" s="131"/>
      <c r="O1450" s="131"/>
    </row>
    <row r="1451" spans="4:15" x14ac:dyDescent="0.3">
      <c r="D1451" s="33"/>
      <c r="E1451" s="127"/>
      <c r="F1451" s="128"/>
      <c r="G1451" s="128"/>
      <c r="H1451" s="129"/>
      <c r="I1451" s="130"/>
      <c r="J1451" s="23"/>
      <c r="K1451" s="23"/>
      <c r="L1451" s="23"/>
      <c r="M1451" s="131"/>
      <c r="N1451" s="131"/>
      <c r="O1451" s="131"/>
    </row>
    <row r="1452" spans="4:15" x14ac:dyDescent="0.3">
      <c r="D1452" s="33"/>
      <c r="E1452" s="127"/>
      <c r="F1452" s="128"/>
      <c r="G1452" s="128"/>
      <c r="H1452" s="129"/>
      <c r="I1452" s="130"/>
      <c r="J1452" s="23"/>
      <c r="K1452" s="23"/>
      <c r="L1452" s="23"/>
      <c r="M1452" s="131"/>
      <c r="N1452" s="131"/>
      <c r="O1452" s="131"/>
    </row>
    <row r="1453" spans="4:15" x14ac:dyDescent="0.3">
      <c r="D1453" s="33"/>
      <c r="E1453" s="127"/>
      <c r="F1453" s="128"/>
      <c r="G1453" s="128"/>
      <c r="H1453" s="129"/>
      <c r="I1453" s="130"/>
      <c r="J1453" s="23"/>
      <c r="K1453" s="23"/>
      <c r="L1453" s="23"/>
      <c r="M1453" s="131"/>
      <c r="N1453" s="131"/>
      <c r="O1453" s="131"/>
    </row>
    <row r="1454" spans="4:15" x14ac:dyDescent="0.3">
      <c r="D1454" s="33"/>
      <c r="E1454" s="127"/>
      <c r="F1454" s="128"/>
      <c r="G1454" s="128"/>
      <c r="H1454" s="129"/>
      <c r="I1454" s="130"/>
      <c r="J1454" s="23"/>
      <c r="K1454" s="23"/>
      <c r="L1454" s="23"/>
      <c r="M1454" s="131"/>
      <c r="N1454" s="131"/>
      <c r="O1454" s="131"/>
    </row>
    <row r="1455" spans="4:15" x14ac:dyDescent="0.3">
      <c r="D1455" s="33"/>
      <c r="E1455" s="127"/>
      <c r="F1455" s="128"/>
      <c r="G1455" s="128"/>
      <c r="H1455" s="129"/>
      <c r="I1455" s="130"/>
      <c r="J1455" s="23"/>
      <c r="K1455" s="23"/>
      <c r="L1455" s="23"/>
      <c r="M1455" s="131"/>
      <c r="N1455" s="131"/>
      <c r="O1455" s="131"/>
    </row>
    <row r="1456" spans="4:15" x14ac:dyDescent="0.3">
      <c r="D1456" s="33"/>
      <c r="E1456" s="127"/>
      <c r="F1456" s="128"/>
      <c r="G1456" s="128"/>
      <c r="H1456" s="129"/>
      <c r="I1456" s="130"/>
      <c r="J1456" s="23"/>
      <c r="K1456" s="23"/>
      <c r="L1456" s="23"/>
      <c r="M1456" s="131"/>
      <c r="N1456" s="131"/>
      <c r="O1456" s="131"/>
    </row>
    <row r="1457" spans="4:15" x14ac:dyDescent="0.3">
      <c r="D1457" s="33"/>
      <c r="E1457" s="127"/>
      <c r="F1457" s="128"/>
      <c r="G1457" s="128"/>
      <c r="H1457" s="129"/>
      <c r="I1457" s="130"/>
      <c r="J1457" s="23"/>
      <c r="K1457" s="23"/>
      <c r="L1457" s="23"/>
      <c r="M1457" s="131"/>
      <c r="N1457" s="131"/>
      <c r="O1457" s="131"/>
    </row>
    <row r="1458" spans="4:15" x14ac:dyDescent="0.3">
      <c r="D1458" s="33"/>
      <c r="E1458" s="127"/>
      <c r="F1458" s="128"/>
      <c r="G1458" s="128"/>
      <c r="H1458" s="129"/>
      <c r="I1458" s="130"/>
      <c r="J1458" s="23"/>
      <c r="K1458" s="23"/>
      <c r="L1458" s="23"/>
      <c r="M1458" s="131"/>
      <c r="N1458" s="131"/>
      <c r="O1458" s="131"/>
    </row>
    <row r="1459" spans="4:15" x14ac:dyDescent="0.3">
      <c r="D1459" s="33"/>
      <c r="E1459" s="127"/>
      <c r="F1459" s="128"/>
      <c r="G1459" s="128"/>
      <c r="H1459" s="129"/>
      <c r="I1459" s="130"/>
      <c r="J1459" s="23"/>
      <c r="K1459" s="23"/>
      <c r="L1459" s="23"/>
      <c r="M1459" s="131"/>
      <c r="N1459" s="131"/>
      <c r="O1459" s="131"/>
    </row>
    <row r="1460" spans="4:15" x14ac:dyDescent="0.3">
      <c r="D1460" s="33"/>
      <c r="E1460" s="127"/>
      <c r="F1460" s="128"/>
      <c r="G1460" s="128"/>
      <c r="H1460" s="129"/>
      <c r="I1460" s="130"/>
      <c r="J1460" s="23"/>
      <c r="K1460" s="23"/>
      <c r="L1460" s="23"/>
      <c r="M1460" s="131"/>
      <c r="N1460" s="131"/>
      <c r="O1460" s="131"/>
    </row>
    <row r="1461" spans="4:15" x14ac:dyDescent="0.3">
      <c r="D1461" s="33"/>
      <c r="E1461" s="127"/>
      <c r="F1461" s="128"/>
      <c r="G1461" s="128"/>
      <c r="H1461" s="129"/>
      <c r="I1461" s="130"/>
      <c r="J1461" s="23"/>
      <c r="K1461" s="23"/>
      <c r="L1461" s="23"/>
      <c r="M1461" s="131"/>
      <c r="N1461" s="131"/>
      <c r="O1461" s="131"/>
    </row>
    <row r="1462" spans="4:15" x14ac:dyDescent="0.3">
      <c r="D1462" s="33"/>
      <c r="E1462" s="127"/>
      <c r="F1462" s="128"/>
      <c r="G1462" s="128"/>
      <c r="H1462" s="129"/>
      <c r="I1462" s="130"/>
      <c r="J1462" s="23"/>
      <c r="K1462" s="23"/>
      <c r="L1462" s="23"/>
      <c r="M1462" s="131"/>
      <c r="N1462" s="131"/>
      <c r="O1462" s="131"/>
    </row>
    <row r="1463" spans="4:15" x14ac:dyDescent="0.3">
      <c r="D1463" s="33"/>
      <c r="E1463" s="127"/>
      <c r="F1463" s="128"/>
      <c r="G1463" s="128"/>
      <c r="H1463" s="129"/>
      <c r="I1463" s="130"/>
      <c r="J1463" s="23"/>
      <c r="K1463" s="23"/>
      <c r="L1463" s="23"/>
      <c r="M1463" s="131"/>
      <c r="N1463" s="131"/>
      <c r="O1463" s="131"/>
    </row>
    <row r="1464" spans="4:15" x14ac:dyDescent="0.3">
      <c r="D1464" s="33"/>
      <c r="E1464" s="127"/>
      <c r="F1464" s="128"/>
      <c r="G1464" s="128"/>
      <c r="H1464" s="129"/>
      <c r="I1464" s="130"/>
      <c r="J1464" s="23"/>
      <c r="K1464" s="23"/>
      <c r="L1464" s="23"/>
      <c r="M1464" s="131"/>
      <c r="N1464" s="131"/>
      <c r="O1464" s="131"/>
    </row>
    <row r="1465" spans="4:15" x14ac:dyDescent="0.3">
      <c r="D1465" s="33"/>
      <c r="E1465" s="127"/>
      <c r="F1465" s="128"/>
      <c r="G1465" s="128"/>
      <c r="H1465" s="129"/>
      <c r="I1465" s="130"/>
      <c r="J1465" s="23"/>
      <c r="K1465" s="23"/>
      <c r="L1465" s="23"/>
      <c r="M1465" s="131"/>
      <c r="N1465" s="131"/>
      <c r="O1465" s="131"/>
    </row>
    <row r="1466" spans="4:15" x14ac:dyDescent="0.3">
      <c r="D1466" s="33"/>
      <c r="E1466" s="127"/>
      <c r="F1466" s="128"/>
      <c r="G1466" s="128"/>
      <c r="H1466" s="129"/>
      <c r="I1466" s="130"/>
      <c r="J1466" s="23"/>
      <c r="K1466" s="23"/>
      <c r="L1466" s="23"/>
      <c r="M1466" s="131"/>
      <c r="N1466" s="131"/>
      <c r="O1466" s="131"/>
    </row>
    <row r="1467" spans="4:15" x14ac:dyDescent="0.3">
      <c r="D1467" s="33"/>
      <c r="E1467" s="127"/>
      <c r="F1467" s="128"/>
      <c r="G1467" s="128"/>
      <c r="H1467" s="129"/>
      <c r="I1467" s="130"/>
      <c r="J1467" s="23"/>
      <c r="K1467" s="23"/>
      <c r="L1467" s="23"/>
      <c r="M1467" s="131"/>
      <c r="N1467" s="131"/>
      <c r="O1467" s="131"/>
    </row>
    <row r="1468" spans="4:15" x14ac:dyDescent="0.3">
      <c r="D1468" s="33"/>
      <c r="E1468" s="127"/>
      <c r="F1468" s="128"/>
      <c r="G1468" s="128"/>
      <c r="H1468" s="129"/>
      <c r="I1468" s="130"/>
      <c r="J1468" s="23"/>
      <c r="K1468" s="23"/>
      <c r="L1468" s="23"/>
      <c r="M1468" s="131"/>
      <c r="N1468" s="131"/>
      <c r="O1468" s="131"/>
    </row>
    <row r="1469" spans="4:15" x14ac:dyDescent="0.3">
      <c r="D1469" s="33"/>
      <c r="E1469" s="127"/>
      <c r="F1469" s="128"/>
      <c r="G1469" s="128"/>
      <c r="H1469" s="129"/>
      <c r="I1469" s="130"/>
      <c r="J1469" s="23"/>
      <c r="K1469" s="23"/>
      <c r="L1469" s="23"/>
      <c r="M1469" s="131"/>
      <c r="N1469" s="131"/>
      <c r="O1469" s="131"/>
    </row>
    <row r="1470" spans="4:15" x14ac:dyDescent="0.3">
      <c r="D1470" s="33"/>
      <c r="E1470" s="127"/>
      <c r="F1470" s="128"/>
      <c r="G1470" s="128"/>
      <c r="H1470" s="129"/>
      <c r="I1470" s="130"/>
      <c r="J1470" s="23"/>
      <c r="K1470" s="23"/>
      <c r="L1470" s="23"/>
      <c r="M1470" s="131"/>
      <c r="N1470" s="131"/>
      <c r="O1470" s="131"/>
    </row>
    <row r="1471" spans="4:15" x14ac:dyDescent="0.3">
      <c r="D1471" s="33"/>
      <c r="E1471" s="127"/>
      <c r="F1471" s="128"/>
      <c r="G1471" s="128"/>
      <c r="H1471" s="129"/>
      <c r="I1471" s="130"/>
      <c r="J1471" s="23"/>
      <c r="K1471" s="23"/>
      <c r="L1471" s="23"/>
      <c r="M1471" s="131"/>
      <c r="N1471" s="131"/>
      <c r="O1471" s="131"/>
    </row>
    <row r="1472" spans="4:15" x14ac:dyDescent="0.3">
      <c r="D1472" s="33"/>
      <c r="E1472" s="127"/>
      <c r="F1472" s="128"/>
      <c r="G1472" s="128"/>
      <c r="H1472" s="129"/>
      <c r="I1472" s="130"/>
      <c r="J1472" s="23"/>
      <c r="K1472" s="23"/>
      <c r="L1472" s="23"/>
      <c r="M1472" s="131"/>
      <c r="N1472" s="131"/>
      <c r="O1472" s="131"/>
    </row>
    <row r="1473" spans="4:15" x14ac:dyDescent="0.3">
      <c r="D1473" s="33"/>
      <c r="E1473" s="127"/>
      <c r="F1473" s="128"/>
      <c r="G1473" s="128"/>
      <c r="H1473" s="129"/>
      <c r="I1473" s="130"/>
      <c r="J1473" s="23"/>
      <c r="K1473" s="23"/>
      <c r="L1473" s="23"/>
      <c r="M1473" s="131"/>
      <c r="N1473" s="131"/>
      <c r="O1473" s="131"/>
    </row>
    <row r="1474" spans="4:15" x14ac:dyDescent="0.3">
      <c r="D1474" s="33"/>
      <c r="E1474" s="127"/>
      <c r="F1474" s="128"/>
      <c r="G1474" s="128"/>
      <c r="H1474" s="129"/>
      <c r="I1474" s="130"/>
      <c r="J1474" s="23"/>
      <c r="K1474" s="23"/>
      <c r="L1474" s="23"/>
      <c r="M1474" s="131"/>
      <c r="N1474" s="131"/>
      <c r="O1474" s="131"/>
    </row>
    <row r="1475" spans="4:15" x14ac:dyDescent="0.3">
      <c r="D1475" s="33"/>
      <c r="E1475" s="127"/>
      <c r="F1475" s="128"/>
      <c r="G1475" s="128"/>
      <c r="H1475" s="129"/>
      <c r="I1475" s="130"/>
      <c r="J1475" s="23"/>
      <c r="K1475" s="23"/>
      <c r="L1475" s="23"/>
      <c r="M1475" s="131"/>
      <c r="N1475" s="131"/>
      <c r="O1475" s="131"/>
    </row>
    <row r="1476" spans="4:15" x14ac:dyDescent="0.3">
      <c r="D1476" s="33"/>
      <c r="E1476" s="127"/>
      <c r="F1476" s="128"/>
      <c r="G1476" s="128"/>
      <c r="H1476" s="129"/>
      <c r="I1476" s="130"/>
      <c r="J1476" s="23"/>
      <c r="K1476" s="23"/>
      <c r="L1476" s="23"/>
      <c r="M1476" s="131"/>
      <c r="N1476" s="131"/>
      <c r="O1476" s="131"/>
    </row>
    <row r="1477" spans="4:15" x14ac:dyDescent="0.3">
      <c r="D1477" s="33"/>
      <c r="E1477" s="127"/>
      <c r="F1477" s="128"/>
      <c r="G1477" s="128"/>
      <c r="H1477" s="129"/>
      <c r="I1477" s="130"/>
      <c r="J1477" s="23"/>
      <c r="K1477" s="23"/>
      <c r="L1477" s="23"/>
      <c r="M1477" s="131"/>
      <c r="N1477" s="131"/>
      <c r="O1477" s="131"/>
    </row>
    <row r="1478" spans="4:15" x14ac:dyDescent="0.3">
      <c r="D1478" s="33"/>
      <c r="E1478" s="127"/>
      <c r="F1478" s="128"/>
      <c r="G1478" s="128"/>
      <c r="H1478" s="129"/>
      <c r="I1478" s="130"/>
      <c r="J1478" s="23"/>
      <c r="K1478" s="23"/>
      <c r="L1478" s="23"/>
      <c r="M1478" s="131"/>
      <c r="N1478" s="131"/>
      <c r="O1478" s="131"/>
    </row>
    <row r="1479" spans="4:15" x14ac:dyDescent="0.3">
      <c r="D1479" s="33"/>
      <c r="E1479" s="127"/>
      <c r="F1479" s="128"/>
      <c r="G1479" s="128"/>
      <c r="H1479" s="129"/>
      <c r="I1479" s="130"/>
      <c r="J1479" s="23"/>
      <c r="K1479" s="23"/>
      <c r="L1479" s="23"/>
      <c r="M1479" s="131"/>
      <c r="N1479" s="131"/>
      <c r="O1479" s="131"/>
    </row>
    <row r="1480" spans="4:15" x14ac:dyDescent="0.3">
      <c r="D1480" s="33"/>
      <c r="E1480" s="127"/>
      <c r="F1480" s="128"/>
      <c r="G1480" s="128"/>
      <c r="H1480" s="129"/>
      <c r="I1480" s="130"/>
      <c r="J1480" s="23"/>
      <c r="K1480" s="23"/>
      <c r="L1480" s="23"/>
      <c r="M1480" s="131"/>
      <c r="N1480" s="131"/>
      <c r="O1480" s="131"/>
    </row>
    <row r="1481" spans="4:15" x14ac:dyDescent="0.3">
      <c r="D1481" s="33"/>
      <c r="E1481" s="127"/>
      <c r="F1481" s="128"/>
      <c r="G1481" s="128"/>
      <c r="H1481" s="129"/>
      <c r="I1481" s="130"/>
      <c r="J1481" s="23"/>
      <c r="K1481" s="23"/>
      <c r="L1481" s="23"/>
      <c r="M1481" s="131"/>
      <c r="N1481" s="131"/>
      <c r="O1481" s="131"/>
    </row>
    <row r="1482" spans="4:15" x14ac:dyDescent="0.3">
      <c r="D1482" s="33"/>
      <c r="E1482" s="127"/>
      <c r="F1482" s="128"/>
      <c r="G1482" s="128"/>
      <c r="H1482" s="129"/>
      <c r="I1482" s="130"/>
      <c r="J1482" s="23"/>
      <c r="K1482" s="23"/>
      <c r="L1482" s="23"/>
      <c r="M1482" s="131"/>
      <c r="N1482" s="131"/>
      <c r="O1482" s="131"/>
    </row>
    <row r="1483" spans="4:15" x14ac:dyDescent="0.3">
      <c r="D1483" s="33"/>
      <c r="E1483" s="127"/>
      <c r="F1483" s="128"/>
      <c r="G1483" s="128"/>
      <c r="H1483" s="129"/>
      <c r="I1483" s="130"/>
      <c r="J1483" s="23"/>
      <c r="K1483" s="23"/>
      <c r="L1483" s="23"/>
      <c r="M1483" s="131"/>
      <c r="N1483" s="131"/>
      <c r="O1483" s="131"/>
    </row>
    <row r="1484" spans="4:15" x14ac:dyDescent="0.3">
      <c r="D1484" s="33"/>
      <c r="E1484" s="127"/>
      <c r="F1484" s="128"/>
      <c r="G1484" s="128"/>
      <c r="H1484" s="129"/>
      <c r="I1484" s="130"/>
      <c r="J1484" s="23"/>
      <c r="K1484" s="23"/>
      <c r="L1484" s="23"/>
      <c r="M1484" s="131"/>
      <c r="N1484" s="131"/>
      <c r="O1484" s="131"/>
    </row>
    <row r="1485" spans="4:15" x14ac:dyDescent="0.3">
      <c r="D1485" s="33"/>
      <c r="E1485" s="127"/>
      <c r="F1485" s="128"/>
      <c r="G1485" s="128"/>
      <c r="H1485" s="129"/>
      <c r="I1485" s="130"/>
      <c r="J1485" s="23"/>
      <c r="K1485" s="23"/>
      <c r="L1485" s="23"/>
      <c r="M1485" s="131"/>
      <c r="N1485" s="131"/>
      <c r="O1485" s="131"/>
    </row>
    <row r="1486" spans="4:15" x14ac:dyDescent="0.3">
      <c r="D1486" s="33"/>
      <c r="E1486" s="127"/>
      <c r="F1486" s="128"/>
      <c r="G1486" s="128"/>
      <c r="H1486" s="129"/>
      <c r="I1486" s="130"/>
      <c r="J1486" s="23"/>
      <c r="K1486" s="23"/>
      <c r="L1486" s="23"/>
      <c r="M1486" s="131"/>
      <c r="N1486" s="131"/>
      <c r="O1486" s="131"/>
    </row>
    <row r="1487" spans="4:15" x14ac:dyDescent="0.3">
      <c r="D1487" s="33"/>
      <c r="E1487" s="127"/>
      <c r="F1487" s="128"/>
      <c r="G1487" s="128"/>
      <c r="H1487" s="129"/>
      <c r="I1487" s="130"/>
      <c r="J1487" s="23"/>
      <c r="K1487" s="23"/>
      <c r="L1487" s="23"/>
      <c r="M1487" s="131"/>
      <c r="N1487" s="131"/>
      <c r="O1487" s="131"/>
    </row>
    <row r="1488" spans="4:15" x14ac:dyDescent="0.3">
      <c r="D1488" s="33"/>
      <c r="E1488" s="127"/>
      <c r="F1488" s="128"/>
      <c r="G1488" s="128"/>
      <c r="H1488" s="129"/>
      <c r="I1488" s="130"/>
      <c r="J1488" s="23"/>
      <c r="K1488" s="23"/>
      <c r="L1488" s="23"/>
      <c r="M1488" s="131"/>
      <c r="N1488" s="131"/>
      <c r="O1488" s="131"/>
    </row>
    <row r="1489" spans="4:15" x14ac:dyDescent="0.3">
      <c r="D1489" s="33"/>
      <c r="E1489" s="127"/>
      <c r="F1489" s="128"/>
      <c r="G1489" s="128"/>
      <c r="H1489" s="129"/>
      <c r="I1489" s="130"/>
      <c r="J1489" s="23"/>
      <c r="K1489" s="23"/>
      <c r="L1489" s="23"/>
      <c r="M1489" s="131"/>
      <c r="N1489" s="131"/>
      <c r="O1489" s="131"/>
    </row>
    <row r="1490" spans="4:15" x14ac:dyDescent="0.3">
      <c r="D1490" s="33"/>
      <c r="E1490" s="127"/>
      <c r="F1490" s="128"/>
      <c r="G1490" s="128"/>
      <c r="H1490" s="129"/>
      <c r="I1490" s="130"/>
      <c r="J1490" s="23"/>
      <c r="K1490" s="23"/>
      <c r="L1490" s="23"/>
      <c r="M1490" s="131"/>
      <c r="N1490" s="131"/>
      <c r="O1490" s="131"/>
    </row>
    <row r="1491" spans="4:15" x14ac:dyDescent="0.3">
      <c r="D1491" s="33"/>
      <c r="E1491" s="127"/>
      <c r="F1491" s="128"/>
      <c r="G1491" s="128"/>
      <c r="H1491" s="129"/>
      <c r="I1491" s="130"/>
      <c r="J1491" s="23"/>
      <c r="K1491" s="23"/>
      <c r="L1491" s="23"/>
      <c r="M1491" s="131"/>
      <c r="N1491" s="131"/>
      <c r="O1491" s="131"/>
    </row>
    <row r="1492" spans="4:15" x14ac:dyDescent="0.3">
      <c r="D1492" s="33"/>
      <c r="E1492" s="127"/>
      <c r="F1492" s="128"/>
      <c r="G1492" s="128"/>
      <c r="H1492" s="129"/>
      <c r="I1492" s="130"/>
      <c r="J1492" s="23"/>
      <c r="K1492" s="23"/>
      <c r="L1492" s="23"/>
      <c r="M1492" s="131"/>
      <c r="N1492" s="131"/>
      <c r="O1492" s="131"/>
    </row>
    <row r="1493" spans="4:15" x14ac:dyDescent="0.3">
      <c r="D1493" s="33"/>
      <c r="E1493" s="127"/>
      <c r="F1493" s="128"/>
      <c r="G1493" s="128"/>
      <c r="H1493" s="129"/>
      <c r="I1493" s="130"/>
      <c r="J1493" s="23"/>
      <c r="K1493" s="23"/>
      <c r="L1493" s="23"/>
      <c r="M1493" s="131"/>
      <c r="N1493" s="131"/>
      <c r="O1493" s="131"/>
    </row>
    <row r="1494" spans="4:15" x14ac:dyDescent="0.3">
      <c r="D1494" s="33"/>
      <c r="E1494" s="127"/>
      <c r="F1494" s="128"/>
      <c r="G1494" s="128"/>
      <c r="H1494" s="129"/>
      <c r="I1494" s="130"/>
      <c r="J1494" s="23"/>
      <c r="K1494" s="23"/>
      <c r="L1494" s="23"/>
      <c r="M1494" s="131"/>
      <c r="N1494" s="131"/>
      <c r="O1494" s="131"/>
    </row>
    <row r="1495" spans="4:15" x14ac:dyDescent="0.3">
      <c r="D1495" s="33"/>
      <c r="E1495" s="127"/>
      <c r="F1495" s="128"/>
      <c r="G1495" s="128"/>
      <c r="H1495" s="129"/>
      <c r="I1495" s="130"/>
      <c r="J1495" s="23"/>
      <c r="K1495" s="23"/>
      <c r="L1495" s="23"/>
      <c r="M1495" s="131"/>
      <c r="N1495" s="131"/>
      <c r="O1495" s="131"/>
    </row>
    <row r="1496" spans="4:15" x14ac:dyDescent="0.3">
      <c r="D1496" s="33"/>
      <c r="E1496" s="127"/>
      <c r="F1496" s="128"/>
      <c r="G1496" s="128"/>
      <c r="H1496" s="129"/>
      <c r="I1496" s="130"/>
      <c r="J1496" s="23"/>
      <c r="K1496" s="23"/>
      <c r="L1496" s="23"/>
      <c r="M1496" s="131"/>
      <c r="N1496" s="131"/>
      <c r="O1496" s="131"/>
    </row>
    <row r="1497" spans="4:15" x14ac:dyDescent="0.3">
      <c r="D1497" s="33"/>
      <c r="E1497" s="127"/>
      <c r="F1497" s="128"/>
      <c r="G1497" s="128"/>
      <c r="H1497" s="129"/>
      <c r="I1497" s="130"/>
      <c r="J1497" s="23"/>
      <c r="K1497" s="23"/>
      <c r="L1497" s="23"/>
      <c r="M1497" s="131"/>
      <c r="N1497" s="131"/>
      <c r="O1497" s="131"/>
    </row>
    <row r="1498" spans="4:15" x14ac:dyDescent="0.3">
      <c r="D1498" s="33"/>
      <c r="E1498" s="127"/>
      <c r="F1498" s="128"/>
      <c r="G1498" s="128"/>
      <c r="H1498" s="129"/>
      <c r="I1498" s="130"/>
      <c r="J1498" s="23"/>
      <c r="K1498" s="23"/>
      <c r="L1498" s="23"/>
      <c r="M1498" s="131"/>
      <c r="N1498" s="131"/>
      <c r="O1498" s="131"/>
    </row>
    <row r="1499" spans="4:15" x14ac:dyDescent="0.3">
      <c r="D1499" s="33"/>
      <c r="E1499" s="127"/>
      <c r="F1499" s="128"/>
      <c r="G1499" s="128"/>
      <c r="H1499" s="129"/>
      <c r="I1499" s="130"/>
      <c r="J1499" s="23"/>
      <c r="K1499" s="23"/>
      <c r="L1499" s="23"/>
      <c r="M1499" s="131"/>
      <c r="N1499" s="131"/>
      <c r="O1499" s="131"/>
    </row>
    <row r="1500" spans="4:15" x14ac:dyDescent="0.3">
      <c r="D1500" s="33"/>
      <c r="E1500" s="127"/>
      <c r="F1500" s="128"/>
      <c r="G1500" s="128"/>
      <c r="H1500" s="129"/>
      <c r="I1500" s="130"/>
      <c r="J1500" s="23"/>
      <c r="K1500" s="23"/>
      <c r="L1500" s="23"/>
      <c r="M1500" s="131"/>
      <c r="N1500" s="131"/>
      <c r="O1500" s="131"/>
    </row>
    <row r="1501" spans="4:15" x14ac:dyDescent="0.3">
      <c r="D1501" s="33"/>
      <c r="E1501" s="127"/>
      <c r="F1501" s="128"/>
      <c r="G1501" s="128"/>
      <c r="H1501" s="129"/>
      <c r="I1501" s="130"/>
      <c r="J1501" s="23"/>
      <c r="K1501" s="23"/>
      <c r="L1501" s="23"/>
      <c r="M1501" s="131"/>
      <c r="N1501" s="131"/>
      <c r="O1501" s="131"/>
    </row>
    <row r="1502" spans="4:15" x14ac:dyDescent="0.3">
      <c r="D1502" s="33"/>
      <c r="E1502" s="127"/>
      <c r="F1502" s="128"/>
      <c r="G1502" s="128"/>
      <c r="H1502" s="129"/>
      <c r="I1502" s="130"/>
      <c r="J1502" s="23"/>
      <c r="K1502" s="23"/>
      <c r="L1502" s="23"/>
      <c r="M1502" s="131"/>
      <c r="N1502" s="131"/>
      <c r="O1502" s="131"/>
    </row>
    <row r="1503" spans="4:15" x14ac:dyDescent="0.3">
      <c r="D1503" s="33"/>
      <c r="E1503" s="127"/>
      <c r="F1503" s="128"/>
      <c r="G1503" s="128"/>
      <c r="H1503" s="129"/>
      <c r="I1503" s="130"/>
      <c r="J1503" s="23"/>
      <c r="K1503" s="23"/>
      <c r="L1503" s="23"/>
      <c r="M1503" s="131"/>
      <c r="N1503" s="131"/>
      <c r="O1503" s="131"/>
    </row>
    <row r="1504" spans="4:15" x14ac:dyDescent="0.3">
      <c r="D1504" s="33"/>
      <c r="E1504" s="127"/>
      <c r="F1504" s="128"/>
      <c r="G1504" s="128"/>
      <c r="H1504" s="129"/>
      <c r="I1504" s="130"/>
      <c r="J1504" s="23"/>
      <c r="K1504" s="23"/>
      <c r="L1504" s="23"/>
      <c r="M1504" s="131"/>
      <c r="N1504" s="131"/>
      <c r="O1504" s="131"/>
    </row>
    <row r="1505" spans="4:15" x14ac:dyDescent="0.3">
      <c r="D1505" s="33"/>
      <c r="E1505" s="127"/>
      <c r="F1505" s="128"/>
      <c r="G1505" s="128"/>
      <c r="H1505" s="129"/>
      <c r="I1505" s="130"/>
      <c r="J1505" s="23"/>
      <c r="K1505" s="23"/>
      <c r="L1505" s="23"/>
      <c r="M1505" s="131"/>
      <c r="N1505" s="131"/>
      <c r="O1505" s="131"/>
    </row>
    <row r="1506" spans="4:15" x14ac:dyDescent="0.3">
      <c r="D1506" s="33"/>
      <c r="E1506" s="127"/>
      <c r="F1506" s="128"/>
      <c r="G1506" s="128"/>
      <c r="H1506" s="129"/>
      <c r="I1506" s="130"/>
      <c r="J1506" s="23"/>
      <c r="K1506" s="23"/>
      <c r="L1506" s="23"/>
      <c r="M1506" s="131"/>
      <c r="N1506" s="131"/>
      <c r="O1506" s="131"/>
    </row>
    <row r="1507" spans="4:15" x14ac:dyDescent="0.3">
      <c r="D1507" s="33"/>
      <c r="E1507" s="127"/>
      <c r="F1507" s="128"/>
      <c r="G1507" s="128"/>
      <c r="H1507" s="129"/>
      <c r="I1507" s="130"/>
      <c r="J1507" s="23"/>
      <c r="K1507" s="23"/>
      <c r="L1507" s="23"/>
      <c r="M1507" s="131"/>
      <c r="N1507" s="131"/>
      <c r="O1507" s="131"/>
    </row>
    <row r="1508" spans="4:15" x14ac:dyDescent="0.3">
      <c r="D1508" s="33"/>
      <c r="E1508" s="127"/>
      <c r="F1508" s="128"/>
      <c r="G1508" s="128"/>
      <c r="H1508" s="129"/>
      <c r="I1508" s="130"/>
      <c r="J1508" s="23"/>
      <c r="K1508" s="23"/>
      <c r="L1508" s="23"/>
      <c r="M1508" s="131"/>
      <c r="N1508" s="131"/>
      <c r="O1508" s="131"/>
    </row>
    <row r="1509" spans="4:15" x14ac:dyDescent="0.3">
      <c r="D1509" s="33"/>
      <c r="E1509" s="127"/>
      <c r="F1509" s="128"/>
      <c r="G1509" s="128"/>
      <c r="H1509" s="129"/>
      <c r="I1509" s="130"/>
      <c r="J1509" s="23"/>
      <c r="K1509" s="23"/>
      <c r="L1509" s="23"/>
      <c r="M1509" s="131"/>
      <c r="N1509" s="131"/>
      <c r="O1509" s="131"/>
    </row>
    <row r="1510" spans="4:15" x14ac:dyDescent="0.3">
      <c r="D1510" s="33"/>
      <c r="E1510" s="127"/>
      <c r="F1510" s="128"/>
      <c r="G1510" s="128"/>
      <c r="H1510" s="129"/>
      <c r="I1510" s="130"/>
      <c r="J1510" s="23"/>
      <c r="K1510" s="23"/>
      <c r="L1510" s="23"/>
      <c r="M1510" s="131"/>
      <c r="N1510" s="131"/>
      <c r="O1510" s="131"/>
    </row>
    <row r="1511" spans="4:15" x14ac:dyDescent="0.3">
      <c r="D1511" s="33"/>
      <c r="E1511" s="127"/>
      <c r="F1511" s="128"/>
      <c r="G1511" s="128"/>
      <c r="H1511" s="129"/>
      <c r="I1511" s="130"/>
      <c r="J1511" s="23"/>
      <c r="K1511" s="23"/>
      <c r="L1511" s="23"/>
      <c r="M1511" s="131"/>
      <c r="N1511" s="131"/>
      <c r="O1511" s="131"/>
    </row>
    <row r="1512" spans="4:15" x14ac:dyDescent="0.3">
      <c r="D1512" s="33"/>
      <c r="E1512" s="127"/>
      <c r="F1512" s="128"/>
      <c r="G1512" s="128"/>
      <c r="H1512" s="129"/>
      <c r="I1512" s="130"/>
      <c r="J1512" s="23"/>
      <c r="K1512" s="23"/>
      <c r="L1512" s="23"/>
      <c r="M1512" s="131"/>
      <c r="N1512" s="131"/>
      <c r="O1512" s="131"/>
    </row>
    <row r="1513" spans="4:15" x14ac:dyDescent="0.3">
      <c r="D1513" s="33"/>
      <c r="E1513" s="127"/>
      <c r="F1513" s="128"/>
      <c r="G1513" s="128"/>
      <c r="H1513" s="129"/>
      <c r="I1513" s="130"/>
      <c r="J1513" s="23"/>
      <c r="K1513" s="23"/>
      <c r="L1513" s="23"/>
      <c r="M1513" s="131"/>
      <c r="N1513" s="131"/>
      <c r="O1513" s="131"/>
    </row>
    <row r="1514" spans="4:15" x14ac:dyDescent="0.3">
      <c r="D1514" s="33"/>
      <c r="E1514" s="127"/>
      <c r="F1514" s="128"/>
      <c r="G1514" s="128"/>
      <c r="H1514" s="129"/>
      <c r="I1514" s="130"/>
      <c r="J1514" s="23"/>
      <c r="K1514" s="23"/>
      <c r="L1514" s="23"/>
      <c r="M1514" s="131"/>
      <c r="N1514" s="131"/>
      <c r="O1514" s="131"/>
    </row>
    <row r="1515" spans="4:15" x14ac:dyDescent="0.3">
      <c r="D1515" s="33"/>
      <c r="E1515" s="127"/>
      <c r="F1515" s="128"/>
      <c r="G1515" s="128"/>
      <c r="H1515" s="129"/>
      <c r="I1515" s="130"/>
      <c r="J1515" s="23"/>
      <c r="K1515" s="23"/>
      <c r="L1515" s="23"/>
      <c r="M1515" s="131"/>
      <c r="N1515" s="131"/>
      <c r="O1515" s="131"/>
    </row>
    <row r="1516" spans="4:15" x14ac:dyDescent="0.3">
      <c r="D1516" s="33"/>
      <c r="E1516" s="127"/>
      <c r="F1516" s="128"/>
      <c r="G1516" s="128"/>
      <c r="H1516" s="129"/>
      <c r="I1516" s="130"/>
      <c r="J1516" s="23"/>
      <c r="K1516" s="23"/>
      <c r="L1516" s="23"/>
      <c r="M1516" s="131"/>
      <c r="N1516" s="131"/>
      <c r="O1516" s="131"/>
    </row>
    <row r="1517" spans="4:15" x14ac:dyDescent="0.3">
      <c r="D1517" s="33"/>
      <c r="E1517" s="127"/>
      <c r="F1517" s="128"/>
      <c r="G1517" s="128"/>
      <c r="H1517" s="129"/>
      <c r="I1517" s="130"/>
      <c r="J1517" s="23"/>
      <c r="K1517" s="23"/>
      <c r="L1517" s="23"/>
      <c r="M1517" s="131"/>
      <c r="N1517" s="131"/>
      <c r="O1517" s="131"/>
    </row>
    <row r="1518" spans="4:15" x14ac:dyDescent="0.3">
      <c r="D1518" s="33"/>
      <c r="E1518" s="127"/>
      <c r="F1518" s="128"/>
      <c r="G1518" s="128"/>
      <c r="H1518" s="129"/>
      <c r="I1518" s="130"/>
      <c r="J1518" s="23"/>
      <c r="K1518" s="23"/>
      <c r="L1518" s="23"/>
      <c r="M1518" s="131"/>
      <c r="N1518" s="131"/>
      <c r="O1518" s="131"/>
    </row>
    <row r="1519" spans="4:15" x14ac:dyDescent="0.3">
      <c r="D1519" s="33"/>
      <c r="E1519" s="127"/>
      <c r="F1519" s="128"/>
      <c r="G1519" s="128"/>
      <c r="H1519" s="129"/>
      <c r="I1519" s="130"/>
      <c r="J1519" s="23"/>
      <c r="K1519" s="23"/>
      <c r="L1519" s="23"/>
      <c r="M1519" s="131"/>
      <c r="N1519" s="131"/>
      <c r="O1519" s="131"/>
    </row>
    <row r="1520" spans="4:15" x14ac:dyDescent="0.3">
      <c r="D1520" s="33"/>
      <c r="E1520" s="127"/>
      <c r="F1520" s="128"/>
      <c r="G1520" s="128"/>
      <c r="H1520" s="129"/>
      <c r="I1520" s="130"/>
      <c r="J1520" s="23"/>
      <c r="K1520" s="23"/>
      <c r="L1520" s="23"/>
      <c r="M1520" s="131"/>
      <c r="N1520" s="131"/>
      <c r="O1520" s="131"/>
    </row>
    <row r="1521" spans="4:15" x14ac:dyDescent="0.3">
      <c r="D1521" s="33"/>
      <c r="E1521" s="127"/>
      <c r="F1521" s="128"/>
      <c r="G1521" s="128"/>
      <c r="H1521" s="129"/>
      <c r="I1521" s="130"/>
      <c r="J1521" s="23"/>
      <c r="K1521" s="23"/>
      <c r="L1521" s="23"/>
      <c r="M1521" s="131"/>
      <c r="N1521" s="131"/>
      <c r="O1521" s="131"/>
    </row>
    <row r="1522" spans="4:15" x14ac:dyDescent="0.3">
      <c r="D1522" s="33"/>
      <c r="E1522" s="127"/>
      <c r="F1522" s="128"/>
      <c r="G1522" s="128"/>
      <c r="H1522" s="129"/>
      <c r="I1522" s="130"/>
      <c r="J1522" s="23"/>
      <c r="K1522" s="23"/>
      <c r="L1522" s="23"/>
      <c r="M1522" s="131"/>
      <c r="N1522" s="131"/>
      <c r="O1522" s="131"/>
    </row>
    <row r="1523" spans="4:15" x14ac:dyDescent="0.3">
      <c r="D1523" s="33"/>
      <c r="E1523" s="127"/>
      <c r="F1523" s="128"/>
      <c r="G1523" s="128"/>
      <c r="H1523" s="129"/>
      <c r="I1523" s="130"/>
      <c r="J1523" s="23"/>
      <c r="K1523" s="23"/>
      <c r="L1523" s="23"/>
      <c r="M1523" s="131"/>
      <c r="N1523" s="131"/>
      <c r="O1523" s="131"/>
    </row>
    <row r="1524" spans="4:15" x14ac:dyDescent="0.3">
      <c r="D1524" s="33"/>
      <c r="E1524" s="127"/>
      <c r="F1524" s="128"/>
      <c r="G1524" s="128"/>
      <c r="H1524" s="129"/>
      <c r="I1524" s="130"/>
      <c r="J1524" s="23"/>
      <c r="K1524" s="23"/>
      <c r="L1524" s="23"/>
      <c r="M1524" s="131"/>
      <c r="N1524" s="131"/>
      <c r="O1524" s="131"/>
    </row>
    <row r="1525" spans="4:15" x14ac:dyDescent="0.3">
      <c r="D1525" s="33"/>
      <c r="E1525" s="127"/>
      <c r="F1525" s="128"/>
      <c r="G1525" s="128"/>
      <c r="H1525" s="129"/>
      <c r="I1525" s="130"/>
      <c r="J1525" s="23"/>
      <c r="K1525" s="23"/>
      <c r="L1525" s="23"/>
      <c r="M1525" s="131"/>
      <c r="N1525" s="131"/>
      <c r="O1525" s="131"/>
    </row>
    <row r="1526" spans="4:15" x14ac:dyDescent="0.3">
      <c r="D1526" s="33"/>
      <c r="E1526" s="127"/>
      <c r="F1526" s="128"/>
      <c r="G1526" s="128"/>
      <c r="H1526" s="129"/>
      <c r="I1526" s="130"/>
      <c r="J1526" s="23"/>
      <c r="K1526" s="23"/>
      <c r="L1526" s="23"/>
      <c r="M1526" s="131"/>
      <c r="N1526" s="131"/>
      <c r="O1526" s="131"/>
    </row>
    <row r="1527" spans="4:15" x14ac:dyDescent="0.3">
      <c r="D1527" s="33"/>
      <c r="E1527" s="127"/>
      <c r="F1527" s="128"/>
      <c r="G1527" s="128"/>
      <c r="H1527" s="129"/>
      <c r="I1527" s="130"/>
      <c r="J1527" s="23"/>
      <c r="K1527" s="23"/>
      <c r="L1527" s="23"/>
      <c r="M1527" s="131"/>
      <c r="N1527" s="131"/>
      <c r="O1527" s="131"/>
    </row>
    <row r="1528" spans="4:15" x14ac:dyDescent="0.3">
      <c r="D1528" s="33"/>
      <c r="E1528" s="127"/>
      <c r="F1528" s="128"/>
      <c r="G1528" s="128"/>
      <c r="H1528" s="129"/>
      <c r="I1528" s="130"/>
      <c r="J1528" s="23"/>
      <c r="K1528" s="23"/>
      <c r="L1528" s="23"/>
      <c r="M1528" s="131"/>
      <c r="N1528" s="131"/>
      <c r="O1528" s="131"/>
    </row>
    <row r="1529" spans="4:15" x14ac:dyDescent="0.3">
      <c r="D1529" s="33"/>
      <c r="E1529" s="127"/>
      <c r="F1529" s="128"/>
      <c r="G1529" s="128"/>
      <c r="H1529" s="129"/>
      <c r="I1529" s="130"/>
      <c r="J1529" s="23"/>
      <c r="K1529" s="23"/>
      <c r="L1529" s="23"/>
      <c r="M1529" s="131"/>
      <c r="N1529" s="131"/>
      <c r="O1529" s="131"/>
    </row>
    <row r="1530" spans="4:15" x14ac:dyDescent="0.3">
      <c r="D1530" s="33"/>
      <c r="E1530" s="127"/>
      <c r="F1530" s="128"/>
      <c r="G1530" s="128"/>
      <c r="H1530" s="129"/>
      <c r="I1530" s="130"/>
      <c r="J1530" s="23"/>
      <c r="K1530" s="23"/>
      <c r="L1530" s="23"/>
      <c r="M1530" s="131"/>
      <c r="N1530" s="131"/>
      <c r="O1530" s="131"/>
    </row>
    <row r="1531" spans="4:15" x14ac:dyDescent="0.3">
      <c r="D1531" s="33"/>
      <c r="E1531" s="127"/>
      <c r="F1531" s="128"/>
      <c r="G1531" s="128"/>
      <c r="H1531" s="129"/>
      <c r="I1531" s="130"/>
      <c r="J1531" s="23"/>
      <c r="K1531" s="23"/>
      <c r="L1531" s="23"/>
      <c r="M1531" s="131"/>
      <c r="N1531" s="131"/>
      <c r="O1531" s="131"/>
    </row>
    <row r="1532" spans="4:15" x14ac:dyDescent="0.3">
      <c r="D1532" s="33"/>
      <c r="E1532" s="127"/>
      <c r="F1532" s="128"/>
      <c r="G1532" s="128"/>
      <c r="H1532" s="129"/>
      <c r="I1532" s="130"/>
      <c r="J1532" s="23"/>
      <c r="K1532" s="23"/>
      <c r="L1532" s="23"/>
      <c r="M1532" s="131"/>
      <c r="N1532" s="131"/>
      <c r="O1532" s="131"/>
    </row>
    <row r="1533" spans="4:15" x14ac:dyDescent="0.3">
      <c r="D1533" s="33"/>
      <c r="E1533" s="127"/>
      <c r="F1533" s="128"/>
      <c r="G1533" s="128"/>
      <c r="H1533" s="129"/>
      <c r="I1533" s="130"/>
      <c r="J1533" s="23"/>
      <c r="K1533" s="23"/>
      <c r="L1533" s="23"/>
      <c r="M1533" s="131"/>
      <c r="N1533" s="131"/>
      <c r="O1533" s="131"/>
    </row>
    <row r="1534" spans="4:15" x14ac:dyDescent="0.3">
      <c r="D1534" s="33"/>
      <c r="E1534" s="127"/>
      <c r="F1534" s="128"/>
      <c r="G1534" s="128"/>
      <c r="H1534" s="129"/>
      <c r="I1534" s="130"/>
      <c r="J1534" s="23"/>
      <c r="K1534" s="23"/>
      <c r="L1534" s="23"/>
      <c r="M1534" s="131"/>
      <c r="N1534" s="131"/>
      <c r="O1534" s="131"/>
    </row>
    <row r="1535" spans="4:15" x14ac:dyDescent="0.3">
      <c r="D1535" s="33"/>
      <c r="E1535" s="127"/>
      <c r="F1535" s="128"/>
      <c r="G1535" s="128"/>
      <c r="H1535" s="129"/>
      <c r="I1535" s="130"/>
      <c r="J1535" s="23"/>
      <c r="K1535" s="23"/>
      <c r="L1535" s="23"/>
      <c r="M1535" s="131"/>
      <c r="N1535" s="131"/>
      <c r="O1535" s="131"/>
    </row>
    <row r="1536" spans="4:15" x14ac:dyDescent="0.3">
      <c r="D1536" s="33"/>
      <c r="E1536" s="127"/>
      <c r="F1536" s="128"/>
      <c r="G1536" s="128"/>
      <c r="H1536" s="129"/>
      <c r="I1536" s="130"/>
      <c r="J1536" s="23"/>
      <c r="K1536" s="23"/>
      <c r="L1536" s="23"/>
      <c r="M1536" s="131"/>
      <c r="N1536" s="131"/>
      <c r="O1536" s="131"/>
    </row>
    <row r="1537" spans="4:15" x14ac:dyDescent="0.3">
      <c r="D1537" s="33"/>
      <c r="E1537" s="127"/>
      <c r="F1537" s="128"/>
      <c r="G1537" s="128"/>
      <c r="H1537" s="129"/>
      <c r="I1537" s="130"/>
      <c r="J1537" s="23"/>
      <c r="K1537" s="23"/>
      <c r="L1537" s="23"/>
      <c r="M1537" s="131"/>
      <c r="N1537" s="131"/>
      <c r="O1537" s="131"/>
    </row>
    <row r="1538" spans="4:15" x14ac:dyDescent="0.3">
      <c r="D1538" s="33"/>
      <c r="E1538" s="127"/>
      <c r="F1538" s="128"/>
      <c r="G1538" s="128"/>
      <c r="H1538" s="129"/>
      <c r="I1538" s="130"/>
      <c r="J1538" s="23"/>
      <c r="K1538" s="23"/>
      <c r="L1538" s="23"/>
      <c r="M1538" s="131"/>
      <c r="N1538" s="131"/>
      <c r="O1538" s="131"/>
    </row>
    <row r="1539" spans="4:15" x14ac:dyDescent="0.3">
      <c r="D1539" s="33"/>
      <c r="E1539" s="127"/>
      <c r="F1539" s="128"/>
      <c r="G1539" s="128"/>
      <c r="H1539" s="129"/>
      <c r="I1539" s="130"/>
      <c r="J1539" s="23"/>
      <c r="K1539" s="23"/>
      <c r="L1539" s="23"/>
      <c r="M1539" s="131"/>
      <c r="N1539" s="131"/>
      <c r="O1539" s="131"/>
    </row>
    <row r="1540" spans="4:15" x14ac:dyDescent="0.3">
      <c r="D1540" s="33"/>
      <c r="E1540" s="127"/>
      <c r="F1540" s="128"/>
      <c r="G1540" s="128"/>
      <c r="H1540" s="129"/>
      <c r="I1540" s="130"/>
      <c r="J1540" s="23"/>
      <c r="K1540" s="23"/>
      <c r="L1540" s="23"/>
      <c r="M1540" s="131"/>
      <c r="N1540" s="131"/>
      <c r="O1540" s="131"/>
    </row>
    <row r="1541" spans="4:15" x14ac:dyDescent="0.3">
      <c r="D1541" s="33"/>
      <c r="E1541" s="127"/>
      <c r="F1541" s="128"/>
      <c r="G1541" s="128"/>
      <c r="H1541" s="129"/>
      <c r="I1541" s="130"/>
      <c r="J1541" s="23"/>
      <c r="K1541" s="23"/>
      <c r="L1541" s="23"/>
      <c r="M1541" s="131"/>
      <c r="N1541" s="131"/>
      <c r="O1541" s="131"/>
    </row>
    <row r="1542" spans="4:15" x14ac:dyDescent="0.3">
      <c r="D1542" s="33"/>
      <c r="E1542" s="127"/>
      <c r="F1542" s="128"/>
      <c r="G1542" s="128"/>
      <c r="H1542" s="129"/>
      <c r="I1542" s="130"/>
      <c r="J1542" s="23"/>
      <c r="K1542" s="23"/>
      <c r="L1542" s="23"/>
      <c r="M1542" s="131"/>
      <c r="N1542" s="131"/>
      <c r="O1542" s="131"/>
    </row>
    <row r="1543" spans="4:15" x14ac:dyDescent="0.3">
      <c r="D1543" s="33"/>
      <c r="E1543" s="127"/>
      <c r="F1543" s="128"/>
      <c r="G1543" s="128"/>
      <c r="H1543" s="129"/>
      <c r="I1543" s="130"/>
      <c r="J1543" s="23"/>
      <c r="K1543" s="23"/>
      <c r="L1543" s="23"/>
      <c r="M1543" s="131"/>
      <c r="N1543" s="131"/>
      <c r="O1543" s="131"/>
    </row>
    <row r="1544" spans="4:15" x14ac:dyDescent="0.3">
      <c r="D1544" s="33"/>
      <c r="E1544" s="127"/>
      <c r="F1544" s="128"/>
      <c r="G1544" s="128"/>
      <c r="H1544" s="129"/>
      <c r="I1544" s="130"/>
      <c r="J1544" s="23"/>
      <c r="K1544" s="23"/>
      <c r="L1544" s="23"/>
      <c r="M1544" s="131"/>
      <c r="N1544" s="131"/>
      <c r="O1544" s="131"/>
    </row>
    <row r="1545" spans="4:15" x14ac:dyDescent="0.3">
      <c r="D1545" s="33"/>
      <c r="E1545" s="127"/>
      <c r="F1545" s="128"/>
      <c r="G1545" s="128"/>
      <c r="H1545" s="129"/>
      <c r="I1545" s="130"/>
      <c r="J1545" s="23"/>
      <c r="K1545" s="23"/>
      <c r="L1545" s="23"/>
      <c r="M1545" s="131"/>
      <c r="N1545" s="131"/>
      <c r="O1545" s="131"/>
    </row>
    <row r="1546" spans="4:15" x14ac:dyDescent="0.3">
      <c r="D1546" s="33"/>
      <c r="E1546" s="127"/>
      <c r="F1546" s="128"/>
      <c r="G1546" s="128"/>
      <c r="H1546" s="129"/>
      <c r="I1546" s="130"/>
      <c r="J1546" s="23"/>
      <c r="K1546" s="23"/>
      <c r="L1546" s="23"/>
      <c r="M1546" s="131"/>
      <c r="N1546" s="131"/>
      <c r="O1546" s="131"/>
    </row>
    <row r="1547" spans="4:15" x14ac:dyDescent="0.3">
      <c r="D1547" s="33"/>
      <c r="E1547" s="127"/>
      <c r="F1547" s="128"/>
      <c r="G1547" s="128"/>
      <c r="H1547" s="129"/>
      <c r="I1547" s="130"/>
      <c r="J1547" s="23"/>
      <c r="K1547" s="23"/>
      <c r="L1547" s="23"/>
      <c r="M1547" s="131"/>
      <c r="N1547" s="131"/>
      <c r="O1547" s="131"/>
    </row>
    <row r="1548" spans="4:15" x14ac:dyDescent="0.3">
      <c r="D1548" s="33"/>
      <c r="E1548" s="127"/>
      <c r="F1548" s="128"/>
      <c r="G1548" s="128"/>
      <c r="H1548" s="129"/>
      <c r="I1548" s="130"/>
      <c r="J1548" s="23"/>
      <c r="K1548" s="23"/>
      <c r="L1548" s="23"/>
      <c r="M1548" s="131"/>
      <c r="N1548" s="131"/>
      <c r="O1548" s="131"/>
    </row>
    <row r="1549" spans="4:15" x14ac:dyDescent="0.3">
      <c r="D1549" s="33"/>
      <c r="E1549" s="127"/>
      <c r="F1549" s="128"/>
      <c r="G1549" s="128"/>
      <c r="H1549" s="129"/>
      <c r="I1549" s="130"/>
      <c r="J1549" s="23"/>
      <c r="K1549" s="23"/>
      <c r="L1549" s="23"/>
      <c r="M1549" s="131"/>
      <c r="N1549" s="131"/>
      <c r="O1549" s="131"/>
    </row>
    <row r="1550" spans="4:15" x14ac:dyDescent="0.3">
      <c r="D1550" s="33"/>
      <c r="E1550" s="127"/>
      <c r="F1550" s="128"/>
      <c r="G1550" s="128"/>
      <c r="H1550" s="129"/>
      <c r="I1550" s="130"/>
      <c r="J1550" s="23"/>
      <c r="K1550" s="23"/>
      <c r="L1550" s="23"/>
      <c r="M1550" s="131"/>
      <c r="N1550" s="131"/>
      <c r="O1550" s="131"/>
    </row>
    <row r="1551" spans="4:15" x14ac:dyDescent="0.3">
      <c r="D1551" s="33"/>
      <c r="E1551" s="127"/>
      <c r="F1551" s="128"/>
      <c r="G1551" s="128"/>
      <c r="H1551" s="129"/>
      <c r="I1551" s="130"/>
      <c r="J1551" s="23"/>
      <c r="K1551" s="23"/>
      <c r="L1551" s="23"/>
      <c r="M1551" s="131"/>
      <c r="N1551" s="131"/>
      <c r="O1551" s="131"/>
    </row>
    <row r="1552" spans="4:15" x14ac:dyDescent="0.3">
      <c r="D1552" s="33"/>
      <c r="E1552" s="127"/>
      <c r="F1552" s="128"/>
      <c r="G1552" s="128"/>
      <c r="H1552" s="129"/>
      <c r="I1552" s="130"/>
      <c r="J1552" s="23"/>
      <c r="K1552" s="23"/>
      <c r="L1552" s="23"/>
      <c r="M1552" s="131"/>
      <c r="N1552" s="131"/>
      <c r="O1552" s="131"/>
    </row>
    <row r="1553" spans="4:15" x14ac:dyDescent="0.3">
      <c r="D1553" s="33"/>
      <c r="E1553" s="127"/>
      <c r="F1553" s="128"/>
      <c r="G1553" s="128"/>
      <c r="H1553" s="129"/>
      <c r="I1553" s="130"/>
      <c r="J1553" s="23"/>
      <c r="K1553" s="23"/>
      <c r="L1553" s="23"/>
      <c r="M1553" s="131"/>
      <c r="N1553" s="131"/>
      <c r="O1553" s="131"/>
    </row>
    <row r="1554" spans="4:15" x14ac:dyDescent="0.3">
      <c r="D1554" s="33"/>
      <c r="E1554" s="127"/>
      <c r="F1554" s="128"/>
      <c r="G1554" s="128"/>
      <c r="H1554" s="129"/>
      <c r="I1554" s="130"/>
      <c r="J1554" s="23"/>
      <c r="K1554" s="23"/>
      <c r="L1554" s="23"/>
      <c r="M1554" s="131"/>
      <c r="N1554" s="131"/>
      <c r="O1554" s="131"/>
    </row>
    <row r="1555" spans="4:15" x14ac:dyDescent="0.3">
      <c r="D1555" s="33"/>
      <c r="E1555" s="127"/>
      <c r="F1555" s="128"/>
      <c r="G1555" s="128"/>
      <c r="H1555" s="129"/>
      <c r="I1555" s="130"/>
      <c r="J1555" s="23"/>
      <c r="K1555" s="23"/>
      <c r="L1555" s="23"/>
      <c r="M1555" s="131"/>
      <c r="N1555" s="131"/>
      <c r="O1555" s="131"/>
    </row>
    <row r="1556" spans="4:15" x14ac:dyDescent="0.3">
      <c r="D1556" s="33"/>
      <c r="E1556" s="127"/>
      <c r="F1556" s="128"/>
      <c r="G1556" s="128"/>
      <c r="H1556" s="129"/>
      <c r="I1556" s="130"/>
      <c r="J1556" s="23"/>
      <c r="K1556" s="23"/>
      <c r="L1556" s="23"/>
      <c r="M1556" s="131"/>
      <c r="N1556" s="131"/>
      <c r="O1556" s="131"/>
    </row>
    <row r="1557" spans="4:15" x14ac:dyDescent="0.3">
      <c r="D1557" s="33"/>
      <c r="E1557" s="127"/>
      <c r="F1557" s="128"/>
      <c r="G1557" s="128"/>
      <c r="H1557" s="129"/>
      <c r="I1557" s="130"/>
      <c r="J1557" s="23"/>
      <c r="K1557" s="23"/>
      <c r="L1557" s="23"/>
      <c r="M1557" s="131"/>
      <c r="N1557" s="131"/>
      <c r="O1557" s="131"/>
    </row>
    <row r="1558" spans="4:15" x14ac:dyDescent="0.3">
      <c r="D1558" s="33"/>
      <c r="E1558" s="127"/>
      <c r="F1558" s="128"/>
      <c r="G1558" s="128"/>
      <c r="H1558" s="129"/>
      <c r="I1558" s="130"/>
      <c r="J1558" s="23"/>
      <c r="K1558" s="23"/>
      <c r="L1558" s="23"/>
      <c r="M1558" s="131"/>
      <c r="N1558" s="131"/>
      <c r="O1558" s="131"/>
    </row>
    <row r="1559" spans="4:15" x14ac:dyDescent="0.3">
      <c r="D1559" s="33"/>
      <c r="E1559" s="127"/>
      <c r="F1559" s="128"/>
      <c r="G1559" s="128"/>
      <c r="H1559" s="129"/>
      <c r="I1559" s="130"/>
      <c r="J1559" s="23"/>
      <c r="K1559" s="23"/>
      <c r="L1559" s="23"/>
      <c r="M1559" s="131"/>
      <c r="N1559" s="131"/>
      <c r="O1559" s="131"/>
    </row>
    <row r="1560" spans="4:15" x14ac:dyDescent="0.3">
      <c r="D1560" s="33"/>
      <c r="E1560" s="127"/>
      <c r="F1560" s="128"/>
      <c r="G1560" s="128"/>
      <c r="H1560" s="129"/>
      <c r="I1560" s="130"/>
      <c r="J1560" s="23"/>
      <c r="K1560" s="23"/>
      <c r="L1560" s="23"/>
      <c r="M1560" s="131"/>
      <c r="N1560" s="131"/>
      <c r="O1560" s="131"/>
    </row>
    <row r="1561" spans="4:15" x14ac:dyDescent="0.3">
      <c r="D1561" s="33"/>
      <c r="E1561" s="127"/>
      <c r="F1561" s="128"/>
      <c r="G1561" s="128"/>
      <c r="H1561" s="129"/>
      <c r="I1561" s="130"/>
      <c r="J1561" s="23"/>
      <c r="K1561" s="23"/>
      <c r="L1561" s="23"/>
      <c r="M1561" s="131"/>
      <c r="N1561" s="131"/>
      <c r="O1561" s="131"/>
    </row>
    <row r="1562" spans="4:15" x14ac:dyDescent="0.3">
      <c r="D1562" s="33"/>
      <c r="E1562" s="127"/>
      <c r="F1562" s="128"/>
      <c r="G1562" s="128"/>
      <c r="H1562" s="129"/>
      <c r="I1562" s="130"/>
      <c r="J1562" s="23"/>
      <c r="K1562" s="23"/>
      <c r="L1562" s="23"/>
      <c r="M1562" s="131"/>
      <c r="N1562" s="131"/>
      <c r="O1562" s="131"/>
    </row>
    <row r="1563" spans="4:15" x14ac:dyDescent="0.3">
      <c r="D1563" s="33"/>
      <c r="E1563" s="127"/>
      <c r="F1563" s="128"/>
      <c r="G1563" s="128"/>
      <c r="H1563" s="129"/>
      <c r="I1563" s="130"/>
      <c r="J1563" s="23"/>
      <c r="K1563" s="23"/>
      <c r="L1563" s="23"/>
      <c r="M1563" s="131"/>
      <c r="N1563" s="131"/>
      <c r="O1563" s="131"/>
    </row>
    <row r="1564" spans="4:15" x14ac:dyDescent="0.3">
      <c r="D1564" s="33"/>
      <c r="E1564" s="127"/>
      <c r="F1564" s="128"/>
      <c r="G1564" s="128"/>
      <c r="H1564" s="129"/>
      <c r="I1564" s="130"/>
      <c r="J1564" s="23"/>
      <c r="K1564" s="23"/>
      <c r="L1564" s="23"/>
      <c r="M1564" s="131"/>
      <c r="N1564" s="131"/>
      <c r="O1564" s="131"/>
    </row>
    <row r="1565" spans="4:15" x14ac:dyDescent="0.3">
      <c r="D1565" s="33"/>
      <c r="E1565" s="127"/>
      <c r="F1565" s="128"/>
      <c r="G1565" s="128"/>
      <c r="H1565" s="129"/>
      <c r="I1565" s="130"/>
      <c r="J1565" s="23"/>
      <c r="K1565" s="23"/>
      <c r="L1565" s="23"/>
      <c r="M1565" s="131"/>
      <c r="N1565" s="131"/>
      <c r="O1565" s="131"/>
    </row>
    <row r="1566" spans="4:15" x14ac:dyDescent="0.3">
      <c r="D1566" s="33"/>
      <c r="E1566" s="127"/>
      <c r="F1566" s="128"/>
      <c r="G1566" s="128"/>
      <c r="H1566" s="129"/>
      <c r="I1566" s="130"/>
      <c r="J1566" s="23"/>
      <c r="K1566" s="23"/>
      <c r="L1566" s="23"/>
      <c r="M1566" s="131"/>
      <c r="N1566" s="131"/>
      <c r="O1566" s="131"/>
    </row>
    <row r="1567" spans="4:15" x14ac:dyDescent="0.3">
      <c r="D1567" s="33"/>
      <c r="E1567" s="127"/>
      <c r="F1567" s="128"/>
      <c r="G1567" s="128"/>
      <c r="H1567" s="129"/>
      <c r="I1567" s="130"/>
      <c r="J1567" s="23"/>
      <c r="K1567" s="23"/>
      <c r="L1567" s="23"/>
      <c r="M1567" s="131"/>
      <c r="N1567" s="131"/>
      <c r="O1567" s="131"/>
    </row>
    <row r="1568" spans="4:15" x14ac:dyDescent="0.3">
      <c r="D1568" s="33"/>
      <c r="E1568" s="127"/>
      <c r="F1568" s="128"/>
      <c r="G1568" s="128"/>
      <c r="H1568" s="129"/>
      <c r="I1568" s="130"/>
      <c r="J1568" s="23"/>
      <c r="K1568" s="23"/>
      <c r="L1568" s="23"/>
      <c r="M1568" s="131"/>
      <c r="N1568" s="131"/>
      <c r="O1568" s="131"/>
    </row>
    <row r="1569" spans="4:15" x14ac:dyDescent="0.3">
      <c r="D1569" s="33"/>
      <c r="E1569" s="127"/>
      <c r="F1569" s="128"/>
      <c r="G1569" s="128"/>
      <c r="H1569" s="129"/>
      <c r="I1569" s="130"/>
      <c r="J1569" s="23"/>
      <c r="K1569" s="23"/>
      <c r="L1569" s="23"/>
      <c r="M1569" s="131"/>
      <c r="N1569" s="131"/>
      <c r="O1569" s="131"/>
    </row>
    <row r="1570" spans="4:15" x14ac:dyDescent="0.3">
      <c r="D1570" s="33"/>
      <c r="E1570" s="127"/>
      <c r="F1570" s="128"/>
      <c r="G1570" s="128"/>
      <c r="H1570" s="129"/>
      <c r="I1570" s="130"/>
      <c r="J1570" s="23"/>
      <c r="K1570" s="23"/>
      <c r="L1570" s="23"/>
      <c r="M1570" s="131"/>
      <c r="N1570" s="131"/>
      <c r="O1570" s="131"/>
    </row>
    <row r="1571" spans="4:15" x14ac:dyDescent="0.3">
      <c r="D1571" s="33"/>
      <c r="E1571" s="127"/>
      <c r="F1571" s="128"/>
      <c r="G1571" s="128"/>
      <c r="H1571" s="129"/>
      <c r="I1571" s="130"/>
      <c r="J1571" s="23"/>
      <c r="K1571" s="23"/>
      <c r="L1571" s="23"/>
      <c r="M1571" s="131"/>
      <c r="N1571" s="131"/>
      <c r="O1571" s="131"/>
    </row>
    <row r="1572" spans="4:15" x14ac:dyDescent="0.3">
      <c r="D1572" s="33"/>
      <c r="E1572" s="127"/>
      <c r="F1572" s="128"/>
      <c r="G1572" s="128"/>
      <c r="H1572" s="129"/>
      <c r="I1572" s="130"/>
      <c r="J1572" s="23"/>
      <c r="K1572" s="23"/>
      <c r="L1572" s="23"/>
      <c r="M1572" s="131"/>
      <c r="N1572" s="131"/>
      <c r="O1572" s="131"/>
    </row>
    <row r="1573" spans="4:15" x14ac:dyDescent="0.3">
      <c r="D1573" s="33"/>
      <c r="E1573" s="127"/>
      <c r="F1573" s="128"/>
      <c r="G1573" s="128"/>
      <c r="H1573" s="129"/>
      <c r="I1573" s="130"/>
      <c r="J1573" s="23"/>
      <c r="K1573" s="23"/>
      <c r="L1573" s="23"/>
      <c r="M1573" s="131"/>
      <c r="N1573" s="131"/>
      <c r="O1573" s="131"/>
    </row>
    <row r="1574" spans="4:15" x14ac:dyDescent="0.3">
      <c r="D1574" s="33"/>
      <c r="E1574" s="127"/>
      <c r="F1574" s="128"/>
      <c r="G1574" s="128"/>
      <c r="H1574" s="129"/>
      <c r="I1574" s="130"/>
      <c r="J1574" s="23"/>
      <c r="K1574" s="23"/>
      <c r="L1574" s="23"/>
      <c r="M1574" s="131"/>
      <c r="N1574" s="131"/>
      <c r="O1574" s="131"/>
    </row>
    <row r="1575" spans="4:15" x14ac:dyDescent="0.3">
      <c r="D1575" s="33"/>
      <c r="E1575" s="127"/>
      <c r="F1575" s="128"/>
      <c r="G1575" s="128"/>
      <c r="H1575" s="129"/>
      <c r="I1575" s="130"/>
      <c r="J1575" s="23"/>
      <c r="K1575" s="23"/>
      <c r="L1575" s="23"/>
      <c r="M1575" s="131"/>
      <c r="N1575" s="131"/>
      <c r="O1575" s="131"/>
    </row>
    <row r="1576" spans="4:15" x14ac:dyDescent="0.3">
      <c r="D1576" s="33"/>
      <c r="E1576" s="127"/>
      <c r="F1576" s="128"/>
      <c r="G1576" s="128"/>
      <c r="H1576" s="129"/>
      <c r="I1576" s="130"/>
      <c r="J1576" s="23"/>
      <c r="K1576" s="23"/>
      <c r="L1576" s="23"/>
      <c r="M1576" s="131"/>
      <c r="N1576" s="131"/>
      <c r="O1576" s="131"/>
    </row>
    <row r="1577" spans="4:15" x14ac:dyDescent="0.3">
      <c r="D1577" s="33"/>
      <c r="E1577" s="127"/>
      <c r="F1577" s="128"/>
      <c r="G1577" s="128"/>
      <c r="H1577" s="129"/>
      <c r="I1577" s="130"/>
      <c r="J1577" s="23"/>
      <c r="K1577" s="23"/>
      <c r="L1577" s="23"/>
      <c r="M1577" s="131"/>
      <c r="N1577" s="131"/>
      <c r="O1577" s="131"/>
    </row>
    <row r="1578" spans="4:15" x14ac:dyDescent="0.3">
      <c r="D1578" s="33"/>
      <c r="E1578" s="127"/>
      <c r="F1578" s="128"/>
      <c r="G1578" s="128"/>
      <c r="H1578" s="129"/>
      <c r="I1578" s="130"/>
      <c r="J1578" s="23"/>
      <c r="K1578" s="23"/>
      <c r="L1578" s="23"/>
      <c r="M1578" s="131"/>
      <c r="N1578" s="131"/>
      <c r="O1578" s="131"/>
    </row>
    <row r="1579" spans="4:15" x14ac:dyDescent="0.3">
      <c r="D1579" s="33"/>
      <c r="E1579" s="127"/>
      <c r="F1579" s="128"/>
      <c r="G1579" s="128"/>
      <c r="H1579" s="129"/>
      <c r="I1579" s="130"/>
      <c r="J1579" s="23"/>
      <c r="K1579" s="23"/>
      <c r="L1579" s="23"/>
      <c r="M1579" s="131"/>
      <c r="N1579" s="131"/>
      <c r="O1579" s="131"/>
    </row>
    <row r="1580" spans="4:15" x14ac:dyDescent="0.3">
      <c r="D1580" s="33"/>
      <c r="E1580" s="127"/>
      <c r="F1580" s="128"/>
      <c r="G1580" s="128"/>
      <c r="H1580" s="129"/>
      <c r="I1580" s="130"/>
      <c r="J1580" s="23"/>
      <c r="K1580" s="23"/>
      <c r="L1580" s="23"/>
      <c r="M1580" s="131"/>
      <c r="N1580" s="131"/>
      <c r="O1580" s="131"/>
    </row>
    <row r="1581" spans="4:15" x14ac:dyDescent="0.3">
      <c r="D1581" s="33"/>
      <c r="E1581" s="127"/>
      <c r="F1581" s="128"/>
      <c r="G1581" s="128"/>
      <c r="H1581" s="129"/>
      <c r="I1581" s="130"/>
      <c r="J1581" s="23"/>
      <c r="K1581" s="23"/>
      <c r="L1581" s="23"/>
      <c r="M1581" s="131"/>
      <c r="N1581" s="131"/>
      <c r="O1581" s="131"/>
    </row>
    <row r="1582" spans="4:15" x14ac:dyDescent="0.3">
      <c r="D1582" s="33"/>
      <c r="E1582" s="127"/>
      <c r="F1582" s="128"/>
      <c r="G1582" s="128"/>
      <c r="H1582" s="129"/>
      <c r="I1582" s="130"/>
      <c r="J1582" s="23"/>
      <c r="K1582" s="23"/>
      <c r="L1582" s="23"/>
      <c r="M1582" s="131"/>
      <c r="N1582" s="131"/>
      <c r="O1582" s="131"/>
    </row>
    <row r="1583" spans="4:15" x14ac:dyDescent="0.3">
      <c r="D1583" s="33"/>
      <c r="E1583" s="127"/>
      <c r="F1583" s="128"/>
      <c r="G1583" s="128"/>
      <c r="H1583" s="129"/>
      <c r="I1583" s="130"/>
      <c r="J1583" s="23"/>
      <c r="K1583" s="23"/>
      <c r="L1583" s="23"/>
      <c r="M1583" s="131"/>
      <c r="N1583" s="131"/>
      <c r="O1583" s="131"/>
    </row>
    <row r="1584" spans="4:15" x14ac:dyDescent="0.3">
      <c r="D1584" s="33"/>
      <c r="E1584" s="127"/>
      <c r="F1584" s="128"/>
      <c r="G1584" s="128"/>
      <c r="H1584" s="129"/>
      <c r="I1584" s="130"/>
      <c r="J1584" s="23"/>
      <c r="K1584" s="23"/>
      <c r="L1584" s="23"/>
      <c r="M1584" s="131"/>
      <c r="N1584" s="131"/>
      <c r="O1584" s="131"/>
    </row>
    <row r="1585" spans="4:15" x14ac:dyDescent="0.3">
      <c r="D1585" s="33"/>
      <c r="E1585" s="127"/>
      <c r="F1585" s="128"/>
      <c r="G1585" s="128"/>
      <c r="H1585" s="129"/>
      <c r="I1585" s="130"/>
      <c r="J1585" s="23"/>
      <c r="K1585" s="23"/>
      <c r="L1585" s="23"/>
      <c r="M1585" s="131"/>
      <c r="N1585" s="131"/>
      <c r="O1585" s="131"/>
    </row>
    <row r="1586" spans="4:15" x14ac:dyDescent="0.3">
      <c r="D1586" s="33"/>
      <c r="E1586" s="127"/>
      <c r="F1586" s="128"/>
      <c r="G1586" s="128"/>
      <c r="H1586" s="129"/>
      <c r="I1586" s="130"/>
      <c r="J1586" s="23"/>
      <c r="K1586" s="23"/>
      <c r="L1586" s="23"/>
      <c r="M1586" s="131"/>
      <c r="N1586" s="131"/>
      <c r="O1586" s="131"/>
    </row>
    <row r="1587" spans="4:15" x14ac:dyDescent="0.3">
      <c r="D1587" s="33"/>
      <c r="E1587" s="127"/>
      <c r="F1587" s="128"/>
      <c r="G1587" s="128"/>
      <c r="H1587" s="129"/>
      <c r="I1587" s="130"/>
      <c r="J1587" s="23"/>
      <c r="K1587" s="23"/>
      <c r="L1587" s="23"/>
      <c r="M1587" s="131"/>
      <c r="N1587" s="131"/>
      <c r="O1587" s="131"/>
    </row>
    <row r="1588" spans="4:15" x14ac:dyDescent="0.3">
      <c r="D1588" s="33"/>
      <c r="E1588" s="127"/>
      <c r="F1588" s="128"/>
      <c r="G1588" s="128"/>
      <c r="H1588" s="129"/>
      <c r="I1588" s="130"/>
      <c r="J1588" s="23"/>
      <c r="K1588" s="23"/>
      <c r="L1588" s="23"/>
      <c r="M1588" s="131"/>
      <c r="N1588" s="131"/>
      <c r="O1588" s="131"/>
    </row>
    <row r="1589" spans="4:15" x14ac:dyDescent="0.3">
      <c r="D1589" s="33"/>
      <c r="E1589" s="127"/>
      <c r="F1589" s="128"/>
      <c r="G1589" s="128"/>
      <c r="H1589" s="129"/>
      <c r="I1589" s="130"/>
      <c r="J1589" s="23"/>
      <c r="K1589" s="23"/>
      <c r="L1589" s="23"/>
      <c r="M1589" s="131"/>
      <c r="N1589" s="131"/>
      <c r="O1589" s="131"/>
    </row>
    <row r="1590" spans="4:15" x14ac:dyDescent="0.3">
      <c r="D1590" s="33"/>
      <c r="E1590" s="127"/>
      <c r="F1590" s="128"/>
      <c r="G1590" s="128"/>
      <c r="H1590" s="129"/>
      <c r="I1590" s="130"/>
      <c r="J1590" s="23"/>
      <c r="K1590" s="23"/>
      <c r="L1590" s="23"/>
      <c r="M1590" s="131"/>
      <c r="N1590" s="131"/>
      <c r="O1590" s="131"/>
    </row>
    <row r="1591" spans="4:15" x14ac:dyDescent="0.3">
      <c r="D1591" s="33"/>
      <c r="E1591" s="127"/>
      <c r="F1591" s="128"/>
      <c r="G1591" s="128"/>
      <c r="H1591" s="129"/>
      <c r="I1591" s="130"/>
      <c r="J1591" s="23"/>
      <c r="K1591" s="23"/>
      <c r="L1591" s="23"/>
      <c r="M1591" s="131"/>
      <c r="N1591" s="131"/>
      <c r="O1591" s="131"/>
    </row>
    <row r="1592" spans="4:15" x14ac:dyDescent="0.3">
      <c r="D1592" s="33"/>
      <c r="E1592" s="127"/>
      <c r="F1592" s="128"/>
      <c r="G1592" s="128"/>
      <c r="H1592" s="129"/>
      <c r="I1592" s="130"/>
      <c r="J1592" s="23"/>
      <c r="K1592" s="23"/>
      <c r="L1592" s="23"/>
      <c r="M1592" s="131"/>
      <c r="N1592" s="131"/>
      <c r="O1592" s="131"/>
    </row>
    <row r="1593" spans="4:15" x14ac:dyDescent="0.3">
      <c r="D1593" s="33"/>
      <c r="E1593" s="127"/>
      <c r="F1593" s="128"/>
      <c r="G1593" s="128"/>
      <c r="H1593" s="129"/>
      <c r="I1593" s="130"/>
      <c r="J1593" s="23"/>
      <c r="K1593" s="23"/>
      <c r="L1593" s="23"/>
      <c r="M1593" s="131"/>
      <c r="N1593" s="131"/>
      <c r="O1593" s="131"/>
    </row>
    <row r="1594" spans="4:15" x14ac:dyDescent="0.3">
      <c r="D1594" s="33"/>
      <c r="E1594" s="127"/>
      <c r="F1594" s="128"/>
      <c r="G1594" s="128"/>
      <c r="H1594" s="129"/>
      <c r="I1594" s="130"/>
      <c r="J1594" s="23"/>
      <c r="K1594" s="23"/>
      <c r="L1594" s="23"/>
      <c r="M1594" s="131"/>
      <c r="N1594" s="131"/>
      <c r="O1594" s="131"/>
    </row>
    <row r="1595" spans="4:15" x14ac:dyDescent="0.3">
      <c r="D1595" s="33"/>
      <c r="E1595" s="127"/>
      <c r="F1595" s="128"/>
      <c r="G1595" s="128"/>
      <c r="H1595" s="129"/>
      <c r="I1595" s="130"/>
      <c r="J1595" s="23"/>
      <c r="K1595" s="23"/>
      <c r="L1595" s="23"/>
      <c r="M1595" s="131"/>
      <c r="N1595" s="131"/>
      <c r="O1595" s="131"/>
    </row>
    <row r="1596" spans="4:15" x14ac:dyDescent="0.3">
      <c r="D1596" s="33"/>
      <c r="E1596" s="127"/>
      <c r="F1596" s="128"/>
      <c r="G1596" s="128"/>
      <c r="H1596" s="129"/>
      <c r="I1596" s="130"/>
      <c r="J1596" s="23"/>
      <c r="K1596" s="23"/>
      <c r="L1596" s="23"/>
      <c r="M1596" s="131"/>
      <c r="N1596" s="131"/>
      <c r="O1596" s="131"/>
    </row>
    <row r="1597" spans="4:15" x14ac:dyDescent="0.3">
      <c r="D1597" s="33"/>
      <c r="E1597" s="127"/>
      <c r="F1597" s="128"/>
      <c r="G1597" s="128"/>
      <c r="H1597" s="129"/>
      <c r="I1597" s="130"/>
      <c r="J1597" s="23"/>
      <c r="K1597" s="23"/>
      <c r="L1597" s="23"/>
      <c r="M1597" s="131"/>
      <c r="N1597" s="131"/>
      <c r="O1597" s="131"/>
    </row>
    <row r="1598" spans="4:15" x14ac:dyDescent="0.3">
      <c r="D1598" s="33"/>
      <c r="E1598" s="127"/>
      <c r="F1598" s="128"/>
      <c r="G1598" s="128"/>
      <c r="H1598" s="129"/>
      <c r="I1598" s="130"/>
      <c r="J1598" s="23"/>
      <c r="K1598" s="23"/>
      <c r="L1598" s="23"/>
      <c r="M1598" s="131"/>
      <c r="N1598" s="131"/>
      <c r="O1598" s="131"/>
    </row>
    <row r="1599" spans="4:15" x14ac:dyDescent="0.3">
      <c r="D1599" s="33"/>
      <c r="E1599" s="127"/>
      <c r="F1599" s="128"/>
      <c r="G1599" s="128"/>
      <c r="H1599" s="129"/>
      <c r="I1599" s="130"/>
      <c r="J1599" s="23"/>
      <c r="K1599" s="23"/>
      <c r="L1599" s="23"/>
      <c r="M1599" s="131"/>
      <c r="N1599" s="131"/>
      <c r="O1599" s="131"/>
    </row>
    <row r="1600" spans="4:15" x14ac:dyDescent="0.3">
      <c r="D1600" s="33"/>
      <c r="E1600" s="127"/>
      <c r="F1600" s="128"/>
      <c r="G1600" s="128"/>
      <c r="H1600" s="129"/>
      <c r="I1600" s="130"/>
      <c r="J1600" s="23"/>
      <c r="K1600" s="23"/>
      <c r="L1600" s="23"/>
      <c r="M1600" s="131"/>
      <c r="N1600" s="131"/>
      <c r="O1600" s="131"/>
    </row>
    <row r="1601" spans="4:15" x14ac:dyDescent="0.3">
      <c r="D1601" s="33"/>
      <c r="E1601" s="127"/>
      <c r="F1601" s="128"/>
      <c r="G1601" s="128"/>
      <c r="H1601" s="129"/>
      <c r="I1601" s="130"/>
      <c r="J1601" s="23"/>
      <c r="K1601" s="23"/>
      <c r="L1601" s="23"/>
      <c r="M1601" s="131"/>
      <c r="N1601" s="131"/>
      <c r="O1601" s="131"/>
    </row>
    <row r="1602" spans="4:15" x14ac:dyDescent="0.3">
      <c r="D1602" s="33"/>
      <c r="E1602" s="127"/>
      <c r="F1602" s="128"/>
      <c r="G1602" s="128"/>
      <c r="H1602" s="129"/>
      <c r="I1602" s="130"/>
      <c r="J1602" s="23"/>
      <c r="K1602" s="23"/>
      <c r="L1602" s="23"/>
      <c r="M1602" s="131"/>
      <c r="N1602" s="131"/>
      <c r="O1602" s="131"/>
    </row>
    <row r="1603" spans="4:15" x14ac:dyDescent="0.3">
      <c r="D1603" s="33"/>
      <c r="E1603" s="127"/>
      <c r="F1603" s="128"/>
      <c r="G1603" s="128"/>
      <c r="H1603" s="129"/>
      <c r="I1603" s="130"/>
      <c r="J1603" s="23"/>
      <c r="K1603" s="23"/>
      <c r="L1603" s="23"/>
      <c r="M1603" s="131"/>
      <c r="N1603" s="131"/>
      <c r="O1603" s="131"/>
    </row>
    <row r="1604" spans="4:15" x14ac:dyDescent="0.3">
      <c r="D1604" s="33"/>
      <c r="E1604" s="127"/>
      <c r="F1604" s="128"/>
      <c r="G1604" s="128"/>
      <c r="H1604" s="129"/>
      <c r="I1604" s="130"/>
      <c r="J1604" s="23"/>
      <c r="K1604" s="23"/>
      <c r="L1604" s="23"/>
      <c r="M1604" s="131"/>
      <c r="N1604" s="131"/>
      <c r="O1604" s="131"/>
    </row>
    <row r="1605" spans="4:15" x14ac:dyDescent="0.3">
      <c r="D1605" s="33"/>
      <c r="E1605" s="127"/>
      <c r="F1605" s="128"/>
      <c r="G1605" s="128"/>
      <c r="H1605" s="129"/>
      <c r="I1605" s="130"/>
      <c r="J1605" s="23"/>
      <c r="K1605" s="23"/>
      <c r="L1605" s="23"/>
      <c r="M1605" s="131"/>
      <c r="N1605" s="131"/>
      <c r="O1605" s="131"/>
    </row>
    <row r="1606" spans="4:15" x14ac:dyDescent="0.3">
      <c r="D1606" s="33"/>
      <c r="E1606" s="127"/>
      <c r="F1606" s="128"/>
      <c r="G1606" s="128"/>
      <c r="H1606" s="129"/>
      <c r="I1606" s="130"/>
      <c r="J1606" s="23"/>
      <c r="K1606" s="23"/>
      <c r="L1606" s="23"/>
      <c r="M1606" s="131"/>
      <c r="N1606" s="131"/>
      <c r="O1606" s="131"/>
    </row>
    <row r="1607" spans="4:15" x14ac:dyDescent="0.3">
      <c r="D1607" s="33"/>
      <c r="E1607" s="127"/>
      <c r="F1607" s="128"/>
      <c r="G1607" s="128"/>
      <c r="H1607" s="129"/>
      <c r="I1607" s="130"/>
      <c r="J1607" s="23"/>
      <c r="K1607" s="23"/>
      <c r="L1607" s="23"/>
      <c r="M1607" s="131"/>
      <c r="N1607" s="131"/>
      <c r="O1607" s="131"/>
    </row>
    <row r="1608" spans="4:15" x14ac:dyDescent="0.3">
      <c r="D1608" s="33"/>
      <c r="E1608" s="127"/>
      <c r="F1608" s="128"/>
      <c r="G1608" s="128"/>
      <c r="H1608" s="129"/>
      <c r="I1608" s="130"/>
      <c r="J1608" s="23"/>
      <c r="K1608" s="23"/>
      <c r="L1608" s="23"/>
      <c r="M1608" s="131"/>
      <c r="N1608" s="131"/>
      <c r="O1608" s="131"/>
    </row>
    <row r="1609" spans="4:15" x14ac:dyDescent="0.3">
      <c r="D1609" s="33"/>
      <c r="E1609" s="127"/>
      <c r="F1609" s="128"/>
      <c r="G1609" s="128"/>
      <c r="H1609" s="129"/>
      <c r="I1609" s="130"/>
      <c r="J1609" s="23"/>
      <c r="K1609" s="23"/>
      <c r="L1609" s="23"/>
      <c r="M1609" s="131"/>
      <c r="N1609" s="131"/>
      <c r="O1609" s="131"/>
    </row>
    <row r="1610" spans="4:15" x14ac:dyDescent="0.3">
      <c r="D1610" s="33"/>
      <c r="E1610" s="127"/>
      <c r="F1610" s="128"/>
      <c r="G1610" s="128"/>
      <c r="H1610" s="129"/>
      <c r="I1610" s="130"/>
      <c r="J1610" s="23"/>
      <c r="K1610" s="23"/>
      <c r="L1610" s="23"/>
      <c r="M1610" s="131"/>
      <c r="N1610" s="131"/>
      <c r="O1610" s="131"/>
    </row>
    <row r="1611" spans="4:15" x14ac:dyDescent="0.3">
      <c r="D1611" s="33"/>
      <c r="E1611" s="127"/>
      <c r="F1611" s="128"/>
      <c r="G1611" s="128"/>
      <c r="H1611" s="129"/>
      <c r="I1611" s="130"/>
      <c r="J1611" s="23"/>
      <c r="K1611" s="23"/>
      <c r="L1611" s="23"/>
      <c r="M1611" s="131"/>
      <c r="N1611" s="131"/>
      <c r="O1611" s="131"/>
    </row>
    <row r="1612" spans="4:15" x14ac:dyDescent="0.3">
      <c r="D1612" s="33"/>
      <c r="E1612" s="127"/>
      <c r="F1612" s="128"/>
      <c r="G1612" s="128"/>
      <c r="H1612" s="129"/>
      <c r="I1612" s="130"/>
      <c r="J1612" s="23"/>
      <c r="K1612" s="23"/>
      <c r="L1612" s="23"/>
      <c r="M1612" s="131"/>
      <c r="N1612" s="131"/>
      <c r="O1612" s="131"/>
    </row>
    <row r="1613" spans="4:15" x14ac:dyDescent="0.3">
      <c r="D1613" s="33"/>
      <c r="E1613" s="127"/>
      <c r="F1613" s="128"/>
      <c r="G1613" s="128"/>
      <c r="H1613" s="129"/>
      <c r="I1613" s="130"/>
      <c r="J1613" s="23"/>
      <c r="K1613" s="23"/>
      <c r="L1613" s="23"/>
      <c r="M1613" s="131"/>
      <c r="N1613" s="131"/>
      <c r="O1613" s="131"/>
    </row>
    <row r="1614" spans="4:15" x14ac:dyDescent="0.3">
      <c r="D1614" s="33"/>
      <c r="E1614" s="127"/>
      <c r="F1614" s="128"/>
      <c r="G1614" s="128"/>
      <c r="H1614" s="129"/>
      <c r="I1614" s="130"/>
      <c r="J1614" s="23"/>
      <c r="K1614" s="23"/>
      <c r="L1614" s="23"/>
      <c r="M1614" s="131"/>
      <c r="N1614" s="131"/>
      <c r="O1614" s="131"/>
    </row>
    <row r="1615" spans="4:15" x14ac:dyDescent="0.3">
      <c r="D1615" s="33"/>
      <c r="E1615" s="127"/>
      <c r="F1615" s="128"/>
      <c r="G1615" s="128"/>
      <c r="H1615" s="129"/>
      <c r="I1615" s="130"/>
      <c r="J1615" s="23"/>
      <c r="K1615" s="23"/>
      <c r="L1615" s="23"/>
      <c r="M1615" s="131"/>
      <c r="N1615" s="131"/>
      <c r="O1615" s="131"/>
    </row>
    <row r="1616" spans="4:15" x14ac:dyDescent="0.3">
      <c r="D1616" s="33"/>
      <c r="E1616" s="127"/>
      <c r="F1616" s="128"/>
      <c r="G1616" s="128"/>
      <c r="H1616" s="129"/>
      <c r="I1616" s="130"/>
      <c r="J1616" s="23"/>
      <c r="K1616" s="23"/>
      <c r="L1616" s="23"/>
      <c r="M1616" s="131"/>
      <c r="N1616" s="131"/>
      <c r="O1616" s="131"/>
    </row>
    <row r="1617" spans="4:15" x14ac:dyDescent="0.3">
      <c r="D1617" s="33"/>
      <c r="E1617" s="127"/>
      <c r="F1617" s="128"/>
      <c r="G1617" s="128"/>
      <c r="H1617" s="129"/>
      <c r="I1617" s="130"/>
      <c r="J1617" s="23"/>
      <c r="K1617" s="23"/>
      <c r="L1617" s="23"/>
      <c r="M1617" s="131"/>
      <c r="N1617" s="131"/>
      <c r="O1617" s="131"/>
    </row>
    <row r="1618" spans="4:15" x14ac:dyDescent="0.3">
      <c r="D1618" s="33"/>
      <c r="E1618" s="127"/>
      <c r="F1618" s="128"/>
      <c r="G1618" s="128"/>
      <c r="H1618" s="129"/>
      <c r="I1618" s="130"/>
      <c r="J1618" s="23"/>
      <c r="K1618" s="23"/>
      <c r="L1618" s="23"/>
      <c r="M1618" s="131"/>
      <c r="N1618" s="131"/>
      <c r="O1618" s="131"/>
    </row>
    <row r="1619" spans="4:15" x14ac:dyDescent="0.3">
      <c r="D1619" s="33"/>
      <c r="E1619" s="127"/>
      <c r="F1619" s="128"/>
      <c r="G1619" s="128"/>
      <c r="H1619" s="129"/>
      <c r="I1619" s="130"/>
      <c r="J1619" s="23"/>
      <c r="K1619" s="23"/>
      <c r="L1619" s="23"/>
      <c r="M1619" s="131"/>
      <c r="N1619" s="131"/>
      <c r="O1619" s="131"/>
    </row>
    <row r="1620" spans="4:15" x14ac:dyDescent="0.3">
      <c r="D1620" s="33"/>
      <c r="E1620" s="127"/>
      <c r="F1620" s="128"/>
      <c r="G1620" s="128"/>
      <c r="H1620" s="129"/>
      <c r="I1620" s="130"/>
      <c r="J1620" s="23"/>
      <c r="K1620" s="23"/>
      <c r="L1620" s="23"/>
      <c r="M1620" s="131"/>
      <c r="N1620" s="131"/>
      <c r="O1620" s="131"/>
    </row>
    <row r="1621" spans="4:15" x14ac:dyDescent="0.3">
      <c r="D1621" s="33"/>
      <c r="E1621" s="127"/>
      <c r="F1621" s="128"/>
      <c r="G1621" s="128"/>
      <c r="H1621" s="129"/>
      <c r="I1621" s="130"/>
      <c r="J1621" s="23"/>
      <c r="K1621" s="23"/>
      <c r="L1621" s="23"/>
      <c r="M1621" s="131"/>
      <c r="N1621" s="131"/>
      <c r="O1621" s="131"/>
    </row>
    <row r="1622" spans="4:15" x14ac:dyDescent="0.3">
      <c r="D1622" s="33"/>
      <c r="E1622" s="127"/>
      <c r="F1622" s="128"/>
      <c r="G1622" s="128"/>
      <c r="H1622" s="129"/>
      <c r="I1622" s="130"/>
      <c r="J1622" s="23"/>
      <c r="K1622" s="23"/>
      <c r="L1622" s="23"/>
      <c r="M1622" s="131"/>
      <c r="N1622" s="131"/>
      <c r="O1622" s="131"/>
    </row>
    <row r="1623" spans="4:15" x14ac:dyDescent="0.3">
      <c r="D1623" s="33"/>
      <c r="E1623" s="127"/>
      <c r="F1623" s="128"/>
      <c r="G1623" s="128"/>
      <c r="H1623" s="129"/>
      <c r="I1623" s="130"/>
      <c r="J1623" s="23"/>
      <c r="K1623" s="23"/>
      <c r="L1623" s="23"/>
      <c r="M1623" s="131"/>
      <c r="N1623" s="131"/>
      <c r="O1623" s="131"/>
    </row>
    <row r="1624" spans="4:15" x14ac:dyDescent="0.3">
      <c r="D1624" s="33"/>
      <c r="E1624" s="127"/>
      <c r="F1624" s="128"/>
      <c r="G1624" s="128"/>
      <c r="H1624" s="129"/>
      <c r="I1624" s="130"/>
      <c r="J1624" s="23"/>
      <c r="K1624" s="23"/>
      <c r="L1624" s="23"/>
      <c r="M1624" s="131"/>
      <c r="N1624" s="131"/>
      <c r="O1624" s="131"/>
    </row>
    <row r="1625" spans="4:15" x14ac:dyDescent="0.3">
      <c r="D1625" s="33"/>
      <c r="E1625" s="127"/>
      <c r="F1625" s="128"/>
      <c r="G1625" s="128"/>
      <c r="H1625" s="129"/>
      <c r="I1625" s="130"/>
      <c r="J1625" s="23"/>
      <c r="K1625" s="23"/>
      <c r="L1625" s="23"/>
      <c r="M1625" s="131"/>
      <c r="N1625" s="131"/>
      <c r="O1625" s="131"/>
    </row>
    <row r="1626" spans="4:15" x14ac:dyDescent="0.3">
      <c r="D1626" s="33"/>
      <c r="E1626" s="127"/>
      <c r="F1626" s="128"/>
      <c r="G1626" s="128"/>
      <c r="H1626" s="129"/>
      <c r="I1626" s="130"/>
      <c r="J1626" s="23"/>
      <c r="K1626" s="23"/>
      <c r="L1626" s="23"/>
      <c r="M1626" s="131"/>
      <c r="N1626" s="131"/>
      <c r="O1626" s="131"/>
    </row>
    <row r="1627" spans="4:15" x14ac:dyDescent="0.3">
      <c r="D1627" s="33"/>
      <c r="E1627" s="127"/>
      <c r="F1627" s="128"/>
      <c r="G1627" s="128"/>
      <c r="H1627" s="129"/>
      <c r="I1627" s="130"/>
      <c r="J1627" s="23"/>
      <c r="K1627" s="23"/>
      <c r="L1627" s="23"/>
      <c r="M1627" s="131"/>
      <c r="N1627" s="131"/>
      <c r="O1627" s="131"/>
    </row>
    <row r="1628" spans="4:15" x14ac:dyDescent="0.3">
      <c r="D1628" s="33"/>
      <c r="E1628" s="127"/>
      <c r="F1628" s="128"/>
      <c r="G1628" s="128"/>
      <c r="H1628" s="129"/>
      <c r="I1628" s="130"/>
      <c r="J1628" s="23"/>
      <c r="K1628" s="23"/>
      <c r="L1628" s="23"/>
      <c r="M1628" s="131"/>
      <c r="N1628" s="131"/>
      <c r="O1628" s="131"/>
    </row>
    <row r="1629" spans="4:15" x14ac:dyDescent="0.3">
      <c r="D1629" s="33"/>
      <c r="E1629" s="127"/>
      <c r="F1629" s="128"/>
      <c r="G1629" s="128"/>
      <c r="H1629" s="129"/>
      <c r="I1629" s="130"/>
      <c r="J1629" s="23"/>
      <c r="K1629" s="23"/>
      <c r="L1629" s="23"/>
      <c r="M1629" s="131"/>
      <c r="N1629" s="131"/>
      <c r="O1629" s="131"/>
    </row>
    <row r="1630" spans="4:15" x14ac:dyDescent="0.3">
      <c r="D1630" s="33"/>
      <c r="E1630" s="127"/>
      <c r="F1630" s="128"/>
      <c r="G1630" s="128"/>
      <c r="H1630" s="129"/>
      <c r="I1630" s="130"/>
      <c r="J1630" s="23"/>
      <c r="K1630" s="23"/>
      <c r="L1630" s="23"/>
      <c r="M1630" s="131"/>
      <c r="N1630" s="131"/>
      <c r="O1630" s="131"/>
    </row>
    <row r="1631" spans="4:15" x14ac:dyDescent="0.3">
      <c r="D1631" s="33"/>
      <c r="E1631" s="127"/>
      <c r="F1631" s="128"/>
      <c r="G1631" s="128"/>
      <c r="H1631" s="129"/>
      <c r="I1631" s="130"/>
      <c r="J1631" s="23"/>
      <c r="K1631" s="23"/>
      <c r="L1631" s="23"/>
      <c r="M1631" s="131"/>
      <c r="N1631" s="131"/>
      <c r="O1631" s="131"/>
    </row>
    <row r="1632" spans="4:15" x14ac:dyDescent="0.3">
      <c r="D1632" s="33"/>
      <c r="E1632" s="127"/>
      <c r="F1632" s="128"/>
      <c r="G1632" s="128"/>
      <c r="H1632" s="129"/>
      <c r="I1632" s="130"/>
      <c r="J1632" s="23"/>
      <c r="K1632" s="23"/>
      <c r="L1632" s="23"/>
      <c r="M1632" s="131"/>
      <c r="N1632" s="131"/>
      <c r="O1632" s="131"/>
    </row>
    <row r="1633" spans="4:15" x14ac:dyDescent="0.3">
      <c r="D1633" s="33"/>
      <c r="E1633" s="127"/>
      <c r="F1633" s="128"/>
      <c r="G1633" s="128"/>
      <c r="H1633" s="129"/>
      <c r="I1633" s="130"/>
      <c r="J1633" s="23"/>
      <c r="K1633" s="23"/>
      <c r="L1633" s="23"/>
      <c r="M1633" s="131"/>
      <c r="N1633" s="131"/>
      <c r="O1633" s="131"/>
    </row>
    <row r="1634" spans="4:15" x14ac:dyDescent="0.3">
      <c r="D1634" s="33"/>
      <c r="E1634" s="127"/>
      <c r="F1634" s="128"/>
      <c r="G1634" s="128"/>
      <c r="H1634" s="129"/>
      <c r="I1634" s="130"/>
      <c r="J1634" s="23"/>
      <c r="K1634" s="23"/>
      <c r="L1634" s="23"/>
      <c r="M1634" s="131"/>
      <c r="N1634" s="131"/>
      <c r="O1634" s="131"/>
    </row>
    <row r="1635" spans="4:15" x14ac:dyDescent="0.3">
      <c r="D1635" s="33"/>
      <c r="E1635" s="127"/>
      <c r="F1635" s="128"/>
      <c r="G1635" s="128"/>
      <c r="H1635" s="129"/>
      <c r="I1635" s="130"/>
      <c r="J1635" s="23"/>
      <c r="K1635" s="23"/>
      <c r="L1635" s="23"/>
      <c r="M1635" s="131"/>
      <c r="N1635" s="131"/>
      <c r="O1635" s="131"/>
    </row>
    <row r="1636" spans="4:15" x14ac:dyDescent="0.3">
      <c r="D1636" s="33"/>
      <c r="E1636" s="127"/>
      <c r="F1636" s="128"/>
      <c r="G1636" s="128"/>
      <c r="H1636" s="129"/>
      <c r="I1636" s="130"/>
      <c r="J1636" s="23"/>
      <c r="K1636" s="23"/>
      <c r="L1636" s="23"/>
      <c r="M1636" s="131"/>
      <c r="N1636" s="131"/>
      <c r="O1636" s="131"/>
    </row>
    <row r="1637" spans="4:15" x14ac:dyDescent="0.3">
      <c r="D1637" s="33"/>
      <c r="E1637" s="127"/>
      <c r="F1637" s="128"/>
      <c r="G1637" s="128"/>
      <c r="H1637" s="129"/>
      <c r="I1637" s="130"/>
      <c r="J1637" s="23"/>
      <c r="K1637" s="23"/>
      <c r="L1637" s="23"/>
      <c r="M1637" s="131"/>
      <c r="N1637" s="131"/>
      <c r="O1637" s="131"/>
    </row>
    <row r="1638" spans="4:15" x14ac:dyDescent="0.3">
      <c r="D1638" s="33"/>
      <c r="E1638" s="127"/>
      <c r="F1638" s="128"/>
      <c r="G1638" s="128"/>
      <c r="H1638" s="129"/>
      <c r="I1638" s="130"/>
      <c r="J1638" s="23"/>
      <c r="K1638" s="23"/>
      <c r="L1638" s="23"/>
      <c r="M1638" s="131"/>
      <c r="N1638" s="131"/>
      <c r="O1638" s="131"/>
    </row>
    <row r="1639" spans="4:15" x14ac:dyDescent="0.3">
      <c r="D1639" s="33"/>
      <c r="E1639" s="127"/>
      <c r="F1639" s="128"/>
      <c r="G1639" s="128"/>
      <c r="H1639" s="129"/>
      <c r="I1639" s="130"/>
      <c r="J1639" s="23"/>
      <c r="K1639" s="23"/>
      <c r="L1639" s="23"/>
      <c r="M1639" s="131"/>
      <c r="N1639" s="131"/>
      <c r="O1639" s="131"/>
    </row>
    <row r="1640" spans="4:15" x14ac:dyDescent="0.3">
      <c r="D1640" s="33"/>
      <c r="E1640" s="127"/>
      <c r="F1640" s="128"/>
      <c r="G1640" s="128"/>
      <c r="H1640" s="129"/>
      <c r="I1640" s="130"/>
      <c r="J1640" s="23"/>
      <c r="K1640" s="23"/>
      <c r="L1640" s="23"/>
      <c r="M1640" s="131"/>
      <c r="N1640" s="131"/>
      <c r="O1640" s="131"/>
    </row>
    <row r="1641" spans="4:15" x14ac:dyDescent="0.3">
      <c r="D1641" s="33"/>
      <c r="E1641" s="127"/>
      <c r="F1641" s="128"/>
      <c r="G1641" s="128"/>
      <c r="H1641" s="129"/>
      <c r="I1641" s="130"/>
      <c r="J1641" s="23"/>
      <c r="K1641" s="23"/>
      <c r="L1641" s="23"/>
      <c r="M1641" s="131"/>
      <c r="N1641" s="131"/>
      <c r="O1641" s="131"/>
    </row>
    <row r="1642" spans="4:15" x14ac:dyDescent="0.3">
      <c r="D1642" s="33"/>
      <c r="E1642" s="127"/>
      <c r="F1642" s="128"/>
      <c r="G1642" s="128"/>
      <c r="H1642" s="129"/>
      <c r="I1642" s="130"/>
      <c r="J1642" s="23"/>
      <c r="K1642" s="23"/>
      <c r="L1642" s="23"/>
      <c r="M1642" s="131"/>
      <c r="N1642" s="131"/>
      <c r="O1642" s="131"/>
    </row>
    <row r="1643" spans="4:15" x14ac:dyDescent="0.3">
      <c r="D1643" s="33"/>
      <c r="E1643" s="127"/>
      <c r="F1643" s="128"/>
      <c r="G1643" s="128"/>
      <c r="H1643" s="129"/>
      <c r="I1643" s="130"/>
      <c r="J1643" s="23"/>
      <c r="K1643" s="23"/>
      <c r="L1643" s="23"/>
      <c r="M1643" s="131"/>
      <c r="N1643" s="131"/>
      <c r="O1643" s="131"/>
    </row>
    <row r="1644" spans="4:15" x14ac:dyDescent="0.3">
      <c r="D1644" s="33"/>
      <c r="E1644" s="127"/>
      <c r="F1644" s="128"/>
      <c r="G1644" s="128"/>
      <c r="H1644" s="129"/>
      <c r="I1644" s="130"/>
      <c r="J1644" s="23"/>
      <c r="K1644" s="23"/>
      <c r="L1644" s="23"/>
      <c r="M1644" s="131"/>
      <c r="N1644" s="131"/>
      <c r="O1644" s="131"/>
    </row>
    <row r="1645" spans="4:15" x14ac:dyDescent="0.3">
      <c r="D1645" s="33"/>
      <c r="E1645" s="127"/>
      <c r="F1645" s="128"/>
      <c r="G1645" s="128"/>
      <c r="H1645" s="129"/>
      <c r="I1645" s="130"/>
      <c r="J1645" s="23"/>
      <c r="K1645" s="23"/>
      <c r="L1645" s="23"/>
      <c r="M1645" s="131"/>
      <c r="N1645" s="131"/>
      <c r="O1645" s="131"/>
    </row>
    <row r="1646" spans="4:15" x14ac:dyDescent="0.3">
      <c r="D1646" s="33"/>
      <c r="E1646" s="127"/>
      <c r="F1646" s="128"/>
      <c r="G1646" s="128"/>
      <c r="H1646" s="129"/>
      <c r="I1646" s="130"/>
      <c r="J1646" s="23"/>
      <c r="K1646" s="23"/>
      <c r="L1646" s="23"/>
      <c r="M1646" s="131"/>
      <c r="N1646" s="131"/>
      <c r="O1646" s="131"/>
    </row>
    <row r="1647" spans="4:15" x14ac:dyDescent="0.3">
      <c r="D1647" s="33"/>
      <c r="E1647" s="127"/>
      <c r="F1647" s="128"/>
      <c r="G1647" s="128"/>
      <c r="H1647" s="129"/>
      <c r="I1647" s="130"/>
      <c r="J1647" s="23"/>
      <c r="K1647" s="23"/>
      <c r="L1647" s="23"/>
      <c r="M1647" s="131"/>
      <c r="N1647" s="131"/>
      <c r="O1647" s="131"/>
    </row>
    <row r="1648" spans="4:15" x14ac:dyDescent="0.3">
      <c r="D1648" s="33"/>
      <c r="E1648" s="127"/>
      <c r="F1648" s="128"/>
      <c r="G1648" s="128"/>
      <c r="H1648" s="129"/>
      <c r="I1648" s="130"/>
      <c r="J1648" s="23"/>
      <c r="K1648" s="23"/>
      <c r="L1648" s="23"/>
      <c r="M1648" s="131"/>
      <c r="N1648" s="131"/>
      <c r="O1648" s="131"/>
    </row>
    <row r="1649" spans="4:15" x14ac:dyDescent="0.3">
      <c r="D1649" s="33"/>
      <c r="E1649" s="127"/>
      <c r="F1649" s="128"/>
      <c r="G1649" s="128"/>
      <c r="H1649" s="129"/>
      <c r="I1649" s="130"/>
      <c r="J1649" s="23"/>
      <c r="K1649" s="23"/>
      <c r="L1649" s="23"/>
      <c r="M1649" s="131"/>
      <c r="N1649" s="131"/>
      <c r="O1649" s="131"/>
    </row>
    <row r="1650" spans="4:15" x14ac:dyDescent="0.3">
      <c r="D1650" s="33"/>
      <c r="E1650" s="127"/>
      <c r="F1650" s="128"/>
      <c r="G1650" s="128"/>
      <c r="H1650" s="129"/>
      <c r="I1650" s="130"/>
      <c r="J1650" s="23"/>
      <c r="K1650" s="23"/>
      <c r="L1650" s="23"/>
      <c r="M1650" s="131"/>
      <c r="N1650" s="131"/>
      <c r="O1650" s="131"/>
    </row>
    <row r="1651" spans="4:15" x14ac:dyDescent="0.3">
      <c r="D1651" s="33"/>
      <c r="E1651" s="127"/>
      <c r="F1651" s="128"/>
      <c r="G1651" s="128"/>
      <c r="H1651" s="129"/>
      <c r="I1651" s="130"/>
      <c r="J1651" s="23"/>
      <c r="K1651" s="23"/>
      <c r="L1651" s="23"/>
      <c r="M1651" s="131"/>
      <c r="N1651" s="131"/>
      <c r="O1651" s="131"/>
    </row>
    <row r="1652" spans="4:15" x14ac:dyDescent="0.3">
      <c r="D1652" s="33"/>
      <c r="E1652" s="127"/>
      <c r="F1652" s="128"/>
      <c r="G1652" s="128"/>
      <c r="H1652" s="129"/>
      <c r="I1652" s="130"/>
      <c r="J1652" s="23"/>
      <c r="K1652" s="23"/>
      <c r="L1652" s="23"/>
      <c r="M1652" s="131"/>
      <c r="N1652" s="131"/>
      <c r="O1652" s="131"/>
    </row>
    <row r="1653" spans="4:15" x14ac:dyDescent="0.3">
      <c r="D1653" s="33"/>
      <c r="E1653" s="127"/>
      <c r="F1653" s="128"/>
      <c r="G1653" s="128"/>
      <c r="H1653" s="129"/>
      <c r="I1653" s="130"/>
      <c r="J1653" s="23"/>
      <c r="K1653" s="23"/>
      <c r="L1653" s="23"/>
      <c r="M1653" s="131"/>
      <c r="N1653" s="131"/>
      <c r="O1653" s="131"/>
    </row>
    <row r="1654" spans="4:15" x14ac:dyDescent="0.3">
      <c r="D1654" s="33"/>
      <c r="E1654" s="127"/>
      <c r="F1654" s="128"/>
      <c r="G1654" s="128"/>
      <c r="H1654" s="129"/>
      <c r="I1654" s="130"/>
      <c r="J1654" s="23"/>
      <c r="K1654" s="23"/>
      <c r="L1654" s="23"/>
      <c r="M1654" s="131"/>
      <c r="N1654" s="131"/>
      <c r="O1654" s="131"/>
    </row>
    <row r="1655" spans="4:15" x14ac:dyDescent="0.3">
      <c r="D1655" s="33"/>
      <c r="E1655" s="127"/>
      <c r="F1655" s="128"/>
      <c r="G1655" s="128"/>
      <c r="H1655" s="129"/>
      <c r="I1655" s="130"/>
      <c r="J1655" s="23"/>
      <c r="K1655" s="23"/>
      <c r="L1655" s="23"/>
      <c r="M1655" s="131"/>
      <c r="N1655" s="131"/>
      <c r="O1655" s="131"/>
    </row>
    <row r="1656" spans="4:15" x14ac:dyDescent="0.3">
      <c r="D1656" s="33"/>
      <c r="E1656" s="127"/>
      <c r="F1656" s="128"/>
      <c r="G1656" s="128"/>
      <c r="H1656" s="129"/>
      <c r="I1656" s="130"/>
      <c r="J1656" s="23"/>
      <c r="K1656" s="23"/>
      <c r="L1656" s="23"/>
      <c r="M1656" s="131"/>
      <c r="N1656" s="131"/>
      <c r="O1656" s="131"/>
    </row>
    <row r="1657" spans="4:15" x14ac:dyDescent="0.3">
      <c r="D1657" s="33"/>
      <c r="E1657" s="127"/>
      <c r="F1657" s="128"/>
      <c r="G1657" s="128"/>
      <c r="H1657" s="129"/>
      <c r="I1657" s="130"/>
      <c r="J1657" s="23"/>
      <c r="K1657" s="23"/>
      <c r="L1657" s="23"/>
      <c r="M1657" s="131"/>
      <c r="N1657" s="131"/>
      <c r="O1657" s="131"/>
    </row>
    <row r="1658" spans="4:15" x14ac:dyDescent="0.3">
      <c r="D1658" s="33"/>
      <c r="E1658" s="127"/>
      <c r="F1658" s="128"/>
      <c r="G1658" s="128"/>
      <c r="H1658" s="129"/>
      <c r="I1658" s="130"/>
      <c r="J1658" s="23"/>
      <c r="K1658" s="23"/>
      <c r="L1658" s="23"/>
      <c r="M1658" s="131"/>
      <c r="N1658" s="131"/>
      <c r="O1658" s="131"/>
    </row>
    <row r="1659" spans="4:15" x14ac:dyDescent="0.3">
      <c r="D1659" s="33"/>
      <c r="E1659" s="127"/>
      <c r="F1659" s="128"/>
      <c r="G1659" s="128"/>
      <c r="H1659" s="129"/>
      <c r="I1659" s="130"/>
      <c r="J1659" s="23"/>
      <c r="K1659" s="23"/>
      <c r="L1659" s="23"/>
      <c r="M1659" s="131"/>
      <c r="N1659" s="131"/>
      <c r="O1659" s="131"/>
    </row>
    <row r="1660" spans="4:15" x14ac:dyDescent="0.3">
      <c r="D1660" s="33"/>
      <c r="E1660" s="127"/>
      <c r="F1660" s="128"/>
      <c r="G1660" s="128"/>
      <c r="H1660" s="129"/>
      <c r="I1660" s="130"/>
      <c r="J1660" s="23"/>
      <c r="K1660" s="23"/>
      <c r="L1660" s="23"/>
      <c r="M1660" s="131"/>
      <c r="N1660" s="131"/>
      <c r="O1660" s="131"/>
    </row>
    <row r="1661" spans="4:15" x14ac:dyDescent="0.3">
      <c r="D1661" s="33"/>
      <c r="E1661" s="127"/>
      <c r="F1661" s="128"/>
      <c r="G1661" s="128"/>
      <c r="H1661" s="129"/>
      <c r="I1661" s="130"/>
      <c r="J1661" s="23"/>
      <c r="K1661" s="23"/>
      <c r="L1661" s="23"/>
      <c r="M1661" s="131"/>
      <c r="N1661" s="131"/>
      <c r="O1661" s="131"/>
    </row>
    <row r="1662" spans="4:15" x14ac:dyDescent="0.3">
      <c r="D1662" s="33"/>
      <c r="E1662" s="127"/>
      <c r="F1662" s="128"/>
      <c r="G1662" s="128"/>
      <c r="H1662" s="129"/>
      <c r="I1662" s="130"/>
      <c r="J1662" s="23"/>
      <c r="K1662" s="23"/>
      <c r="L1662" s="23"/>
      <c r="M1662" s="131"/>
      <c r="N1662" s="131"/>
      <c r="O1662" s="131"/>
    </row>
    <row r="1663" spans="4:15" x14ac:dyDescent="0.3">
      <c r="D1663" s="33"/>
      <c r="E1663" s="127"/>
      <c r="F1663" s="128"/>
      <c r="G1663" s="128"/>
      <c r="H1663" s="129"/>
      <c r="I1663" s="130"/>
      <c r="J1663" s="23"/>
      <c r="K1663" s="23"/>
      <c r="L1663" s="23"/>
      <c r="M1663" s="131"/>
      <c r="N1663" s="131"/>
      <c r="O1663" s="131"/>
    </row>
    <row r="1664" spans="4:15" x14ac:dyDescent="0.3">
      <c r="D1664" s="33"/>
      <c r="E1664" s="127"/>
      <c r="F1664" s="128"/>
      <c r="G1664" s="128"/>
      <c r="H1664" s="129"/>
      <c r="I1664" s="130"/>
      <c r="J1664" s="23"/>
      <c r="K1664" s="23"/>
      <c r="L1664" s="23"/>
      <c r="M1664" s="131"/>
      <c r="N1664" s="131"/>
      <c r="O1664" s="131"/>
    </row>
    <row r="1665" spans="4:15" x14ac:dyDescent="0.3">
      <c r="D1665" s="33"/>
      <c r="E1665" s="127"/>
      <c r="F1665" s="128"/>
      <c r="G1665" s="128"/>
      <c r="H1665" s="129"/>
      <c r="I1665" s="130"/>
      <c r="J1665" s="23"/>
      <c r="K1665" s="23"/>
      <c r="L1665" s="23"/>
      <c r="M1665" s="131"/>
      <c r="N1665" s="131"/>
      <c r="O1665" s="131"/>
    </row>
    <row r="1666" spans="4:15" x14ac:dyDescent="0.3">
      <c r="D1666" s="33"/>
      <c r="E1666" s="127"/>
      <c r="F1666" s="128"/>
      <c r="G1666" s="128"/>
      <c r="H1666" s="129"/>
      <c r="I1666" s="130"/>
      <c r="J1666" s="23"/>
      <c r="K1666" s="23"/>
      <c r="L1666" s="23"/>
      <c r="M1666" s="131"/>
      <c r="N1666" s="131"/>
      <c r="O1666" s="131"/>
    </row>
    <row r="1667" spans="4:15" x14ac:dyDescent="0.3">
      <c r="D1667" s="33"/>
      <c r="E1667" s="127"/>
      <c r="F1667" s="128"/>
      <c r="G1667" s="128"/>
      <c r="H1667" s="129"/>
      <c r="I1667" s="130"/>
      <c r="J1667" s="23"/>
      <c r="K1667" s="23"/>
      <c r="L1667" s="23"/>
      <c r="M1667" s="131"/>
      <c r="N1667" s="131"/>
      <c r="O1667" s="131"/>
    </row>
    <row r="1668" spans="4:15" x14ac:dyDescent="0.3">
      <c r="D1668" s="33"/>
      <c r="E1668" s="127"/>
      <c r="F1668" s="128"/>
      <c r="G1668" s="128"/>
      <c r="H1668" s="129"/>
      <c r="I1668" s="130"/>
      <c r="J1668" s="23"/>
      <c r="K1668" s="23"/>
      <c r="L1668" s="23"/>
      <c r="M1668" s="131"/>
      <c r="N1668" s="131"/>
      <c r="O1668" s="131"/>
    </row>
    <row r="1669" spans="4:15" x14ac:dyDescent="0.3">
      <c r="D1669" s="33"/>
      <c r="E1669" s="127"/>
      <c r="F1669" s="128"/>
      <c r="G1669" s="128"/>
      <c r="H1669" s="129"/>
      <c r="I1669" s="130"/>
      <c r="J1669" s="23"/>
      <c r="K1669" s="23"/>
      <c r="L1669" s="23"/>
      <c r="M1669" s="131"/>
      <c r="N1669" s="131"/>
      <c r="O1669" s="131"/>
    </row>
    <row r="1670" spans="4:15" x14ac:dyDescent="0.3">
      <c r="D1670" s="33"/>
      <c r="E1670" s="127"/>
      <c r="F1670" s="128"/>
      <c r="G1670" s="128"/>
      <c r="H1670" s="129"/>
      <c r="I1670" s="130"/>
      <c r="J1670" s="23"/>
      <c r="K1670" s="23"/>
      <c r="L1670" s="23"/>
      <c r="M1670" s="131"/>
      <c r="N1670" s="131"/>
      <c r="O1670" s="131"/>
    </row>
    <row r="1671" spans="4:15" x14ac:dyDescent="0.3">
      <c r="D1671" s="33"/>
      <c r="E1671" s="127"/>
      <c r="F1671" s="128"/>
      <c r="G1671" s="128"/>
      <c r="H1671" s="129"/>
      <c r="I1671" s="130"/>
      <c r="J1671" s="23"/>
      <c r="K1671" s="23"/>
      <c r="L1671" s="23"/>
      <c r="M1671" s="131"/>
      <c r="N1671" s="131"/>
      <c r="O1671" s="131"/>
    </row>
    <row r="1672" spans="4:15" x14ac:dyDescent="0.3">
      <c r="D1672" s="33"/>
      <c r="E1672" s="127"/>
      <c r="F1672" s="128"/>
      <c r="G1672" s="128"/>
      <c r="H1672" s="129"/>
      <c r="I1672" s="130"/>
      <c r="J1672" s="23"/>
      <c r="K1672" s="23"/>
      <c r="L1672" s="23"/>
      <c r="M1672" s="131"/>
      <c r="N1672" s="131"/>
      <c r="O1672" s="131"/>
    </row>
    <row r="1673" spans="4:15" x14ac:dyDescent="0.3">
      <c r="D1673" s="33"/>
      <c r="E1673" s="127"/>
      <c r="F1673" s="128"/>
      <c r="G1673" s="128"/>
      <c r="H1673" s="129"/>
      <c r="I1673" s="130"/>
      <c r="J1673" s="23"/>
      <c r="K1673" s="23"/>
      <c r="L1673" s="23"/>
      <c r="M1673" s="131"/>
      <c r="N1673" s="131"/>
      <c r="O1673" s="131"/>
    </row>
    <row r="1674" spans="4:15" x14ac:dyDescent="0.3">
      <c r="D1674" s="33"/>
      <c r="E1674" s="127"/>
      <c r="F1674" s="128"/>
      <c r="G1674" s="128"/>
      <c r="H1674" s="129"/>
      <c r="I1674" s="130"/>
      <c r="J1674" s="23"/>
      <c r="K1674" s="23"/>
      <c r="L1674" s="23"/>
      <c r="M1674" s="131"/>
      <c r="N1674" s="131"/>
      <c r="O1674" s="131"/>
    </row>
    <row r="1675" spans="4:15" x14ac:dyDescent="0.3">
      <c r="D1675" s="33"/>
      <c r="E1675" s="127"/>
      <c r="F1675" s="128"/>
      <c r="G1675" s="128"/>
      <c r="H1675" s="129"/>
      <c r="I1675" s="130"/>
      <c r="J1675" s="23"/>
      <c r="K1675" s="23"/>
      <c r="L1675" s="23"/>
      <c r="M1675" s="131"/>
      <c r="N1675" s="131"/>
      <c r="O1675" s="131"/>
    </row>
    <row r="1676" spans="4:15" x14ac:dyDescent="0.3">
      <c r="D1676" s="33"/>
      <c r="E1676" s="127"/>
      <c r="F1676" s="128"/>
      <c r="G1676" s="128"/>
      <c r="H1676" s="129"/>
      <c r="I1676" s="130"/>
      <c r="J1676" s="23"/>
      <c r="K1676" s="23"/>
      <c r="L1676" s="23"/>
      <c r="M1676" s="131"/>
      <c r="N1676" s="131"/>
      <c r="O1676" s="131"/>
    </row>
    <row r="1677" spans="4:15" x14ac:dyDescent="0.3">
      <c r="D1677" s="33"/>
      <c r="E1677" s="127"/>
      <c r="F1677" s="128"/>
      <c r="G1677" s="128"/>
      <c r="H1677" s="129"/>
      <c r="I1677" s="130"/>
      <c r="J1677" s="23"/>
      <c r="K1677" s="23"/>
      <c r="L1677" s="23"/>
      <c r="M1677" s="131"/>
      <c r="N1677" s="131"/>
      <c r="O1677" s="131"/>
    </row>
    <row r="1678" spans="4:15" x14ac:dyDescent="0.3">
      <c r="D1678" s="33"/>
      <c r="E1678" s="127"/>
      <c r="F1678" s="128"/>
      <c r="G1678" s="128"/>
      <c r="H1678" s="129"/>
      <c r="I1678" s="130"/>
      <c r="J1678" s="23"/>
      <c r="K1678" s="23"/>
      <c r="L1678" s="23"/>
      <c r="M1678" s="131"/>
      <c r="N1678" s="131"/>
      <c r="O1678" s="131"/>
    </row>
    <row r="1679" spans="4:15" x14ac:dyDescent="0.3">
      <c r="D1679" s="33"/>
      <c r="E1679" s="127"/>
      <c r="F1679" s="128"/>
      <c r="G1679" s="128"/>
      <c r="H1679" s="129"/>
      <c r="I1679" s="130"/>
      <c r="J1679" s="23"/>
      <c r="K1679" s="23"/>
      <c r="L1679" s="23"/>
      <c r="M1679" s="131"/>
      <c r="N1679" s="131"/>
      <c r="O1679" s="131"/>
    </row>
    <row r="1680" spans="4:15" x14ac:dyDescent="0.3">
      <c r="D1680" s="33"/>
      <c r="E1680" s="127"/>
      <c r="F1680" s="128"/>
      <c r="G1680" s="128"/>
      <c r="H1680" s="129"/>
      <c r="I1680" s="130"/>
      <c r="J1680" s="23"/>
      <c r="K1680" s="23"/>
      <c r="L1680" s="23"/>
      <c r="M1680" s="131"/>
      <c r="N1680" s="131"/>
      <c r="O1680" s="131"/>
    </row>
    <row r="1681" spans="4:15" x14ac:dyDescent="0.3">
      <c r="D1681" s="33"/>
      <c r="E1681" s="127"/>
      <c r="F1681" s="128"/>
      <c r="G1681" s="128"/>
      <c r="H1681" s="129"/>
      <c r="I1681" s="130"/>
      <c r="J1681" s="23"/>
      <c r="K1681" s="23"/>
      <c r="L1681" s="23"/>
      <c r="M1681" s="131"/>
      <c r="N1681" s="131"/>
      <c r="O1681" s="131"/>
    </row>
    <row r="1682" spans="4:15" x14ac:dyDescent="0.3">
      <c r="D1682" s="33"/>
      <c r="E1682" s="127"/>
      <c r="F1682" s="128"/>
      <c r="G1682" s="128"/>
      <c r="H1682" s="129"/>
      <c r="I1682" s="130"/>
      <c r="J1682" s="23"/>
      <c r="K1682" s="23"/>
      <c r="L1682" s="23"/>
      <c r="M1682" s="131"/>
      <c r="N1682" s="131"/>
      <c r="O1682" s="131"/>
    </row>
    <row r="1683" spans="4:15" x14ac:dyDescent="0.3">
      <c r="D1683" s="33"/>
      <c r="E1683" s="127"/>
      <c r="F1683" s="128"/>
      <c r="G1683" s="128"/>
      <c r="H1683" s="129"/>
      <c r="I1683" s="130"/>
      <c r="J1683" s="23"/>
      <c r="K1683" s="23"/>
      <c r="L1683" s="23"/>
      <c r="M1683" s="131"/>
      <c r="N1683" s="131"/>
      <c r="O1683" s="131"/>
    </row>
    <row r="1684" spans="4:15" x14ac:dyDescent="0.3">
      <c r="D1684" s="33"/>
      <c r="E1684" s="127"/>
      <c r="F1684" s="128"/>
      <c r="G1684" s="128"/>
      <c r="H1684" s="129"/>
      <c r="I1684" s="130"/>
      <c r="J1684" s="23"/>
      <c r="K1684" s="23"/>
      <c r="L1684" s="23"/>
      <c r="M1684" s="131"/>
      <c r="N1684" s="131"/>
      <c r="O1684" s="131"/>
    </row>
    <row r="1685" spans="4:15" x14ac:dyDescent="0.3">
      <c r="D1685" s="33"/>
      <c r="E1685" s="127"/>
      <c r="F1685" s="128"/>
      <c r="G1685" s="128"/>
      <c r="H1685" s="129"/>
      <c r="I1685" s="130"/>
      <c r="J1685" s="23"/>
      <c r="K1685" s="23"/>
      <c r="L1685" s="23"/>
      <c r="M1685" s="131"/>
      <c r="N1685" s="131"/>
      <c r="O1685" s="131"/>
    </row>
    <row r="1686" spans="4:15" x14ac:dyDescent="0.3">
      <c r="D1686" s="33"/>
      <c r="E1686" s="127"/>
      <c r="F1686" s="128"/>
      <c r="G1686" s="128"/>
      <c r="H1686" s="129"/>
      <c r="I1686" s="130"/>
      <c r="J1686" s="23"/>
      <c r="K1686" s="23"/>
      <c r="L1686" s="23"/>
      <c r="M1686" s="131"/>
      <c r="N1686" s="131"/>
      <c r="O1686" s="131"/>
    </row>
    <row r="1687" spans="4:15" x14ac:dyDescent="0.3">
      <c r="D1687" s="33"/>
      <c r="E1687" s="127"/>
      <c r="F1687" s="128"/>
      <c r="G1687" s="128"/>
      <c r="H1687" s="129"/>
      <c r="I1687" s="130"/>
      <c r="J1687" s="23"/>
      <c r="K1687" s="23"/>
      <c r="L1687" s="23"/>
      <c r="M1687" s="131"/>
      <c r="N1687" s="131"/>
      <c r="O1687" s="131"/>
    </row>
    <row r="1688" spans="4:15" x14ac:dyDescent="0.3">
      <c r="D1688" s="33"/>
      <c r="E1688" s="127"/>
      <c r="F1688" s="128"/>
      <c r="G1688" s="128"/>
      <c r="H1688" s="129"/>
      <c r="I1688" s="130"/>
      <c r="J1688" s="23"/>
      <c r="K1688" s="23"/>
      <c r="L1688" s="23"/>
      <c r="M1688" s="131"/>
      <c r="N1688" s="131"/>
      <c r="O1688" s="131"/>
    </row>
    <row r="1689" spans="4:15" x14ac:dyDescent="0.3">
      <c r="D1689" s="33"/>
      <c r="E1689" s="127"/>
      <c r="F1689" s="128"/>
      <c r="G1689" s="128"/>
      <c r="H1689" s="129"/>
      <c r="I1689" s="130"/>
      <c r="J1689" s="23"/>
      <c r="K1689" s="23"/>
      <c r="L1689" s="23"/>
      <c r="M1689" s="131"/>
      <c r="N1689" s="131"/>
      <c r="O1689" s="131"/>
    </row>
    <row r="1690" spans="4:15" x14ac:dyDescent="0.3">
      <c r="D1690" s="33"/>
      <c r="E1690" s="127"/>
      <c r="F1690" s="128"/>
      <c r="G1690" s="128"/>
      <c r="H1690" s="129"/>
      <c r="I1690" s="130"/>
      <c r="J1690" s="23"/>
      <c r="K1690" s="23"/>
      <c r="L1690" s="23"/>
      <c r="M1690" s="131"/>
      <c r="N1690" s="131"/>
      <c r="O1690" s="131"/>
    </row>
    <row r="1691" spans="4:15" x14ac:dyDescent="0.3">
      <c r="D1691" s="33"/>
      <c r="E1691" s="127"/>
      <c r="F1691" s="128"/>
      <c r="G1691" s="128"/>
      <c r="H1691" s="129"/>
      <c r="I1691" s="130"/>
      <c r="J1691" s="23"/>
      <c r="K1691" s="23"/>
      <c r="L1691" s="23"/>
      <c r="M1691" s="131"/>
      <c r="N1691" s="131"/>
      <c r="O1691" s="131"/>
    </row>
    <row r="1692" spans="4:15" x14ac:dyDescent="0.3">
      <c r="D1692" s="33"/>
      <c r="E1692" s="127"/>
      <c r="F1692" s="128"/>
      <c r="G1692" s="128"/>
      <c r="H1692" s="129"/>
      <c r="I1692" s="130"/>
      <c r="J1692" s="23"/>
      <c r="K1692" s="23"/>
      <c r="L1692" s="23"/>
      <c r="M1692" s="131"/>
      <c r="N1692" s="131"/>
      <c r="O1692" s="131"/>
    </row>
    <row r="1693" spans="4:15" x14ac:dyDescent="0.3">
      <c r="D1693" s="33"/>
      <c r="E1693" s="127"/>
      <c r="F1693" s="128"/>
      <c r="G1693" s="128"/>
      <c r="H1693" s="129"/>
      <c r="I1693" s="130"/>
      <c r="J1693" s="23"/>
      <c r="K1693" s="23"/>
      <c r="L1693" s="23"/>
      <c r="M1693" s="131"/>
      <c r="N1693" s="131"/>
      <c r="O1693" s="131"/>
    </row>
    <row r="1694" spans="4:15" x14ac:dyDescent="0.3">
      <c r="D1694" s="33"/>
      <c r="E1694" s="127"/>
      <c r="F1694" s="128"/>
      <c r="G1694" s="128"/>
      <c r="H1694" s="129"/>
      <c r="I1694" s="130"/>
      <c r="J1694" s="23"/>
      <c r="K1694" s="23"/>
      <c r="L1694" s="23"/>
      <c r="M1694" s="131"/>
      <c r="N1694" s="131"/>
      <c r="O1694" s="131"/>
    </row>
    <row r="1695" spans="4:15" x14ac:dyDescent="0.3">
      <c r="D1695" s="33"/>
      <c r="E1695" s="127"/>
      <c r="F1695" s="128"/>
      <c r="G1695" s="128"/>
      <c r="H1695" s="129"/>
      <c r="I1695" s="130"/>
      <c r="J1695" s="23"/>
      <c r="K1695" s="23"/>
      <c r="L1695" s="23"/>
      <c r="M1695" s="131"/>
      <c r="N1695" s="131"/>
      <c r="O1695" s="131"/>
    </row>
    <row r="1696" spans="4:15" x14ac:dyDescent="0.3">
      <c r="D1696" s="33"/>
      <c r="E1696" s="127"/>
      <c r="F1696" s="128"/>
      <c r="G1696" s="128"/>
      <c r="H1696" s="129"/>
      <c r="I1696" s="130"/>
      <c r="J1696" s="23"/>
      <c r="K1696" s="23"/>
      <c r="L1696" s="23"/>
      <c r="M1696" s="131"/>
      <c r="N1696" s="131"/>
      <c r="O1696" s="131"/>
    </row>
    <row r="1697" spans="4:15" x14ac:dyDescent="0.3">
      <c r="D1697" s="33"/>
      <c r="E1697" s="127"/>
      <c r="F1697" s="128"/>
      <c r="G1697" s="128"/>
      <c r="H1697" s="129"/>
      <c r="I1697" s="130"/>
      <c r="J1697" s="23"/>
      <c r="K1697" s="23"/>
      <c r="L1697" s="23"/>
      <c r="M1697" s="131"/>
      <c r="N1697" s="131"/>
      <c r="O1697" s="131"/>
    </row>
    <row r="1698" spans="4:15" x14ac:dyDescent="0.3">
      <c r="D1698" s="33"/>
      <c r="E1698" s="127"/>
      <c r="F1698" s="128"/>
      <c r="G1698" s="128"/>
      <c r="H1698" s="129"/>
      <c r="I1698" s="130"/>
      <c r="J1698" s="23"/>
      <c r="K1698" s="23"/>
      <c r="L1698" s="23"/>
      <c r="M1698" s="131"/>
      <c r="N1698" s="131"/>
      <c r="O1698" s="131"/>
    </row>
    <row r="1699" spans="4:15" x14ac:dyDescent="0.3">
      <c r="D1699" s="33"/>
      <c r="E1699" s="127"/>
      <c r="F1699" s="128"/>
      <c r="G1699" s="128"/>
      <c r="H1699" s="129"/>
      <c r="I1699" s="130"/>
      <c r="J1699" s="23"/>
      <c r="K1699" s="23"/>
      <c r="L1699" s="23"/>
      <c r="M1699" s="131"/>
      <c r="N1699" s="131"/>
      <c r="O1699" s="131"/>
    </row>
    <row r="1700" spans="4:15" x14ac:dyDescent="0.3">
      <c r="D1700" s="33"/>
      <c r="E1700" s="127"/>
      <c r="F1700" s="128"/>
      <c r="G1700" s="128"/>
      <c r="H1700" s="129"/>
      <c r="I1700" s="130"/>
      <c r="J1700" s="23"/>
      <c r="K1700" s="23"/>
      <c r="L1700" s="23"/>
      <c r="M1700" s="131"/>
      <c r="N1700" s="131"/>
      <c r="O1700" s="131"/>
    </row>
    <row r="1701" spans="4:15" x14ac:dyDescent="0.3">
      <c r="D1701" s="33"/>
      <c r="E1701" s="127"/>
      <c r="F1701" s="128"/>
      <c r="G1701" s="128"/>
      <c r="H1701" s="129"/>
      <c r="I1701" s="130"/>
      <c r="J1701" s="23"/>
      <c r="K1701" s="23"/>
      <c r="L1701" s="23"/>
      <c r="M1701" s="131"/>
      <c r="N1701" s="131"/>
      <c r="O1701" s="131"/>
    </row>
    <row r="1702" spans="4:15" x14ac:dyDescent="0.3">
      <c r="D1702" s="33"/>
      <c r="E1702" s="127"/>
      <c r="F1702" s="128"/>
      <c r="G1702" s="128"/>
      <c r="H1702" s="129"/>
      <c r="I1702" s="130"/>
      <c r="J1702" s="23"/>
      <c r="K1702" s="23"/>
      <c r="L1702" s="23"/>
      <c r="M1702" s="131"/>
      <c r="N1702" s="131"/>
      <c r="O1702" s="131"/>
    </row>
    <row r="1703" spans="4:15" x14ac:dyDescent="0.3">
      <c r="D1703" s="33"/>
      <c r="E1703" s="127"/>
      <c r="F1703" s="128"/>
      <c r="G1703" s="128"/>
      <c r="H1703" s="129"/>
      <c r="I1703" s="130"/>
      <c r="J1703" s="23"/>
      <c r="K1703" s="23"/>
      <c r="L1703" s="23"/>
      <c r="M1703" s="131"/>
      <c r="N1703" s="131"/>
      <c r="O1703" s="131"/>
    </row>
    <row r="1704" spans="4:15" x14ac:dyDescent="0.3">
      <c r="D1704" s="33"/>
      <c r="E1704" s="127"/>
      <c r="F1704" s="128"/>
      <c r="G1704" s="128"/>
      <c r="H1704" s="129"/>
      <c r="I1704" s="130"/>
      <c r="J1704" s="23"/>
      <c r="K1704" s="23"/>
      <c r="L1704" s="23"/>
      <c r="M1704" s="131"/>
      <c r="N1704" s="131"/>
      <c r="O1704" s="131"/>
    </row>
    <row r="1705" spans="4:15" x14ac:dyDescent="0.3">
      <c r="D1705" s="33"/>
      <c r="E1705" s="127"/>
      <c r="F1705" s="128"/>
      <c r="G1705" s="128"/>
      <c r="H1705" s="129"/>
      <c r="I1705" s="130"/>
      <c r="J1705" s="23"/>
      <c r="K1705" s="23"/>
      <c r="L1705" s="23"/>
      <c r="M1705" s="131"/>
      <c r="N1705" s="131"/>
      <c r="O1705" s="131"/>
    </row>
    <row r="1706" spans="4:15" x14ac:dyDescent="0.3">
      <c r="D1706" s="33"/>
      <c r="E1706" s="127"/>
      <c r="F1706" s="128"/>
      <c r="G1706" s="128"/>
      <c r="H1706" s="129"/>
      <c r="I1706" s="130"/>
      <c r="J1706" s="23"/>
      <c r="K1706" s="23"/>
      <c r="L1706" s="23"/>
      <c r="M1706" s="131"/>
      <c r="N1706" s="131"/>
      <c r="O1706" s="131"/>
    </row>
    <row r="1707" spans="4:15" x14ac:dyDescent="0.3">
      <c r="D1707" s="33"/>
      <c r="E1707" s="127"/>
      <c r="F1707" s="128"/>
      <c r="G1707" s="128"/>
      <c r="H1707" s="129"/>
      <c r="I1707" s="130"/>
      <c r="J1707" s="23"/>
      <c r="K1707" s="23"/>
      <c r="L1707" s="23"/>
      <c r="M1707" s="131"/>
      <c r="N1707" s="131"/>
      <c r="O1707" s="131"/>
    </row>
    <row r="1708" spans="4:15" x14ac:dyDescent="0.3">
      <c r="D1708" s="33"/>
      <c r="E1708" s="127"/>
      <c r="F1708" s="128"/>
      <c r="G1708" s="128"/>
      <c r="H1708" s="129"/>
      <c r="I1708" s="130"/>
      <c r="J1708" s="23"/>
      <c r="K1708" s="23"/>
      <c r="L1708" s="23"/>
      <c r="M1708" s="131"/>
      <c r="N1708" s="131"/>
      <c r="O1708" s="131"/>
    </row>
    <row r="1709" spans="4:15" x14ac:dyDescent="0.3">
      <c r="D1709" s="33"/>
      <c r="E1709" s="127"/>
      <c r="F1709" s="128"/>
      <c r="G1709" s="128"/>
      <c r="H1709" s="129"/>
      <c r="I1709" s="130"/>
      <c r="J1709" s="23"/>
      <c r="K1709" s="23"/>
      <c r="L1709" s="23"/>
      <c r="M1709" s="131"/>
      <c r="N1709" s="131"/>
      <c r="O1709" s="131"/>
    </row>
    <row r="1710" spans="4:15" x14ac:dyDescent="0.3">
      <c r="D1710" s="33"/>
      <c r="E1710" s="127"/>
      <c r="F1710" s="128"/>
      <c r="G1710" s="128"/>
      <c r="H1710" s="129"/>
      <c r="I1710" s="130"/>
      <c r="J1710" s="23"/>
      <c r="K1710" s="23"/>
      <c r="L1710" s="23"/>
      <c r="M1710" s="131"/>
      <c r="N1710" s="131"/>
      <c r="O1710" s="131"/>
    </row>
    <row r="1711" spans="4:15" x14ac:dyDescent="0.3">
      <c r="D1711" s="33"/>
      <c r="E1711" s="127"/>
      <c r="F1711" s="128"/>
      <c r="G1711" s="128"/>
      <c r="H1711" s="129"/>
      <c r="I1711" s="130"/>
      <c r="J1711" s="23"/>
      <c r="K1711" s="23"/>
      <c r="L1711" s="23"/>
      <c r="M1711" s="131"/>
      <c r="N1711" s="131"/>
      <c r="O1711" s="131"/>
    </row>
    <row r="1712" spans="4:15" x14ac:dyDescent="0.3">
      <c r="D1712" s="33"/>
      <c r="E1712" s="127"/>
      <c r="F1712" s="128"/>
      <c r="G1712" s="128"/>
      <c r="H1712" s="129"/>
      <c r="I1712" s="130"/>
      <c r="J1712" s="23"/>
      <c r="K1712" s="23"/>
      <c r="L1712" s="23"/>
      <c r="M1712" s="131"/>
      <c r="N1712" s="131"/>
      <c r="O1712" s="131"/>
    </row>
    <row r="1713" spans="4:15" x14ac:dyDescent="0.3">
      <c r="D1713" s="33"/>
      <c r="E1713" s="127"/>
      <c r="F1713" s="128"/>
      <c r="G1713" s="128"/>
      <c r="H1713" s="129"/>
      <c r="I1713" s="130"/>
      <c r="J1713" s="23"/>
      <c r="K1713" s="23"/>
      <c r="L1713" s="23"/>
      <c r="M1713" s="131"/>
      <c r="N1713" s="131"/>
      <c r="O1713" s="131"/>
    </row>
    <row r="1714" spans="4:15" x14ac:dyDescent="0.3">
      <c r="D1714" s="33"/>
      <c r="E1714" s="127"/>
      <c r="F1714" s="128"/>
      <c r="G1714" s="128"/>
      <c r="H1714" s="129"/>
      <c r="I1714" s="130"/>
      <c r="J1714" s="23"/>
      <c r="K1714" s="23"/>
      <c r="L1714" s="23"/>
      <c r="M1714" s="131"/>
      <c r="N1714" s="131"/>
      <c r="O1714" s="131"/>
    </row>
    <row r="1715" spans="4:15" x14ac:dyDescent="0.3">
      <c r="D1715" s="33"/>
      <c r="E1715" s="127"/>
      <c r="F1715" s="128"/>
      <c r="G1715" s="128"/>
      <c r="H1715" s="129"/>
      <c r="I1715" s="130"/>
      <c r="J1715" s="23"/>
      <c r="K1715" s="23"/>
      <c r="L1715" s="23"/>
      <c r="M1715" s="131"/>
      <c r="N1715" s="131"/>
      <c r="O1715" s="131"/>
    </row>
    <row r="1716" spans="4:15" x14ac:dyDescent="0.3">
      <c r="D1716" s="33"/>
      <c r="E1716" s="127"/>
      <c r="F1716" s="128"/>
      <c r="G1716" s="128"/>
      <c r="H1716" s="129"/>
      <c r="I1716" s="130"/>
      <c r="J1716" s="23"/>
      <c r="K1716" s="23"/>
      <c r="L1716" s="23"/>
      <c r="M1716" s="131"/>
      <c r="N1716" s="131"/>
      <c r="O1716" s="131"/>
    </row>
    <row r="1717" spans="4:15" x14ac:dyDescent="0.3">
      <c r="D1717" s="33"/>
      <c r="E1717" s="127"/>
      <c r="F1717" s="128"/>
      <c r="G1717" s="128"/>
      <c r="H1717" s="129"/>
      <c r="I1717" s="130"/>
      <c r="J1717" s="23"/>
      <c r="K1717" s="23"/>
      <c r="L1717" s="23"/>
      <c r="M1717" s="131"/>
      <c r="N1717" s="131"/>
      <c r="O1717" s="131"/>
    </row>
    <row r="1718" spans="4:15" x14ac:dyDescent="0.3">
      <c r="D1718" s="33"/>
      <c r="E1718" s="127"/>
      <c r="F1718" s="128"/>
      <c r="G1718" s="128"/>
      <c r="H1718" s="129"/>
      <c r="I1718" s="130"/>
      <c r="J1718" s="23"/>
      <c r="K1718" s="23"/>
      <c r="L1718" s="23"/>
      <c r="M1718" s="131"/>
      <c r="N1718" s="131"/>
      <c r="O1718" s="131"/>
    </row>
    <row r="1719" spans="4:15" x14ac:dyDescent="0.3">
      <c r="D1719" s="33"/>
      <c r="E1719" s="127"/>
      <c r="F1719" s="128"/>
      <c r="G1719" s="128"/>
      <c r="H1719" s="129"/>
      <c r="I1719" s="130"/>
      <c r="J1719" s="23"/>
      <c r="K1719" s="23"/>
      <c r="L1719" s="23"/>
      <c r="M1719" s="131"/>
      <c r="N1719" s="131"/>
      <c r="O1719" s="131"/>
    </row>
    <row r="1720" spans="4:15" x14ac:dyDescent="0.3">
      <c r="D1720" s="33"/>
      <c r="E1720" s="127"/>
      <c r="F1720" s="128"/>
      <c r="G1720" s="128"/>
      <c r="H1720" s="129"/>
      <c r="I1720" s="130"/>
      <c r="J1720" s="23"/>
      <c r="K1720" s="23"/>
      <c r="L1720" s="23"/>
      <c r="M1720" s="131"/>
      <c r="N1720" s="131"/>
      <c r="O1720" s="131"/>
    </row>
    <row r="1721" spans="4:15" x14ac:dyDescent="0.3">
      <c r="D1721" s="33"/>
      <c r="E1721" s="127"/>
      <c r="F1721" s="128"/>
      <c r="G1721" s="128"/>
      <c r="H1721" s="129"/>
      <c r="I1721" s="130"/>
      <c r="J1721" s="23"/>
      <c r="K1721" s="23"/>
      <c r="L1721" s="23"/>
      <c r="M1721" s="131"/>
      <c r="N1721" s="131"/>
      <c r="O1721" s="131"/>
    </row>
    <row r="1722" spans="4:15" x14ac:dyDescent="0.3">
      <c r="D1722" s="33"/>
      <c r="E1722" s="127"/>
      <c r="F1722" s="128"/>
      <c r="G1722" s="128"/>
      <c r="H1722" s="129"/>
      <c r="I1722" s="130"/>
      <c r="J1722" s="23"/>
      <c r="K1722" s="23"/>
      <c r="L1722" s="23"/>
      <c r="M1722" s="131"/>
      <c r="N1722" s="131"/>
      <c r="O1722" s="131"/>
    </row>
    <row r="1723" spans="4:15" x14ac:dyDescent="0.3">
      <c r="D1723" s="33"/>
      <c r="E1723" s="127"/>
      <c r="F1723" s="128"/>
      <c r="G1723" s="128"/>
      <c r="H1723" s="129"/>
      <c r="I1723" s="130"/>
      <c r="J1723" s="23"/>
      <c r="K1723" s="23"/>
      <c r="L1723" s="23"/>
      <c r="M1723" s="131"/>
      <c r="N1723" s="131"/>
      <c r="O1723" s="131"/>
    </row>
    <row r="1724" spans="4:15" x14ac:dyDescent="0.3">
      <c r="D1724" s="33"/>
      <c r="E1724" s="127"/>
      <c r="F1724" s="128"/>
      <c r="G1724" s="128"/>
      <c r="H1724" s="129"/>
      <c r="I1724" s="130"/>
      <c r="J1724" s="23"/>
      <c r="K1724" s="23"/>
      <c r="L1724" s="23"/>
      <c r="M1724" s="131"/>
      <c r="N1724" s="131"/>
      <c r="O1724" s="131"/>
    </row>
    <row r="1725" spans="4:15" x14ac:dyDescent="0.3">
      <c r="D1725" s="33"/>
      <c r="E1725" s="127"/>
      <c r="F1725" s="128"/>
      <c r="G1725" s="128"/>
      <c r="H1725" s="129"/>
      <c r="I1725" s="130"/>
      <c r="J1725" s="23"/>
      <c r="K1725" s="23"/>
      <c r="L1725" s="23"/>
      <c r="M1725" s="131"/>
      <c r="N1725" s="131"/>
      <c r="O1725" s="131"/>
    </row>
    <row r="1726" spans="4:15" x14ac:dyDescent="0.3">
      <c r="D1726" s="33"/>
      <c r="E1726" s="127"/>
      <c r="F1726" s="128"/>
      <c r="G1726" s="128"/>
      <c r="H1726" s="129"/>
      <c r="I1726" s="130"/>
      <c r="J1726" s="23"/>
      <c r="K1726" s="23"/>
      <c r="L1726" s="23"/>
      <c r="M1726" s="131"/>
      <c r="N1726" s="131"/>
      <c r="O1726" s="131"/>
    </row>
    <row r="1727" spans="4:15" x14ac:dyDescent="0.3">
      <c r="D1727" s="33"/>
      <c r="E1727" s="127"/>
      <c r="F1727" s="128"/>
      <c r="G1727" s="128"/>
      <c r="H1727" s="129"/>
      <c r="I1727" s="130"/>
      <c r="J1727" s="23"/>
      <c r="K1727" s="23"/>
      <c r="L1727" s="23"/>
      <c r="M1727" s="131"/>
      <c r="N1727" s="131"/>
      <c r="O1727" s="131"/>
    </row>
    <row r="1728" spans="4:15" x14ac:dyDescent="0.3">
      <c r="D1728" s="33"/>
      <c r="E1728" s="127"/>
      <c r="F1728" s="128"/>
      <c r="G1728" s="128"/>
      <c r="H1728" s="129"/>
      <c r="I1728" s="130"/>
      <c r="J1728" s="23"/>
      <c r="K1728" s="23"/>
      <c r="L1728" s="23"/>
      <c r="M1728" s="131"/>
      <c r="N1728" s="131"/>
      <c r="O1728" s="131"/>
    </row>
    <row r="1729" spans="4:15" x14ac:dyDescent="0.3">
      <c r="D1729" s="33"/>
      <c r="E1729" s="127"/>
      <c r="F1729" s="128"/>
      <c r="G1729" s="128"/>
      <c r="H1729" s="129"/>
      <c r="I1729" s="130"/>
      <c r="J1729" s="23"/>
      <c r="K1729" s="23"/>
      <c r="L1729" s="23"/>
      <c r="M1729" s="131"/>
      <c r="N1729" s="131"/>
      <c r="O1729" s="131"/>
    </row>
    <row r="1730" spans="4:15" x14ac:dyDescent="0.3">
      <c r="D1730" s="33"/>
      <c r="E1730" s="127"/>
      <c r="F1730" s="128"/>
      <c r="G1730" s="128"/>
      <c r="H1730" s="129"/>
      <c r="I1730" s="130"/>
      <c r="J1730" s="23"/>
      <c r="K1730" s="23"/>
      <c r="L1730" s="23"/>
      <c r="M1730" s="131"/>
      <c r="N1730" s="131"/>
      <c r="O1730" s="131"/>
    </row>
    <row r="1731" spans="4:15" x14ac:dyDescent="0.3">
      <c r="D1731" s="33"/>
      <c r="E1731" s="127"/>
      <c r="F1731" s="128"/>
      <c r="G1731" s="128"/>
      <c r="H1731" s="129"/>
      <c r="I1731" s="130"/>
      <c r="J1731" s="23"/>
      <c r="K1731" s="23"/>
      <c r="L1731" s="23"/>
      <c r="M1731" s="131"/>
      <c r="N1731" s="131"/>
      <c r="O1731" s="131"/>
    </row>
    <row r="1732" spans="4:15" x14ac:dyDescent="0.3">
      <c r="D1732" s="33"/>
      <c r="E1732" s="127"/>
      <c r="F1732" s="128"/>
      <c r="G1732" s="128"/>
      <c r="H1732" s="129"/>
      <c r="I1732" s="130"/>
      <c r="J1732" s="23"/>
      <c r="K1732" s="23"/>
      <c r="L1732" s="23"/>
      <c r="M1732" s="131"/>
      <c r="N1732" s="131"/>
      <c r="O1732" s="131"/>
    </row>
    <row r="1733" spans="4:15" x14ac:dyDescent="0.3">
      <c r="D1733" s="33"/>
      <c r="E1733" s="127"/>
      <c r="F1733" s="128"/>
      <c r="G1733" s="128"/>
      <c r="H1733" s="129"/>
      <c r="I1733" s="130"/>
      <c r="J1733" s="23"/>
      <c r="K1733" s="23"/>
      <c r="L1733" s="23"/>
      <c r="M1733" s="131"/>
      <c r="N1733" s="131"/>
      <c r="O1733" s="131"/>
    </row>
    <row r="1734" spans="4:15" x14ac:dyDescent="0.3">
      <c r="D1734" s="33"/>
      <c r="E1734" s="127"/>
      <c r="F1734" s="128"/>
      <c r="G1734" s="128"/>
      <c r="H1734" s="129"/>
      <c r="I1734" s="130"/>
      <c r="J1734" s="23"/>
      <c r="K1734" s="23"/>
      <c r="L1734" s="23"/>
      <c r="M1734" s="131"/>
      <c r="N1734" s="131"/>
      <c r="O1734" s="131"/>
    </row>
    <row r="1735" spans="4:15" x14ac:dyDescent="0.3">
      <c r="D1735" s="33"/>
      <c r="E1735" s="127"/>
      <c r="F1735" s="128"/>
      <c r="G1735" s="128"/>
      <c r="H1735" s="129"/>
      <c r="I1735" s="130"/>
      <c r="J1735" s="23"/>
      <c r="K1735" s="23"/>
      <c r="L1735" s="23"/>
      <c r="M1735" s="131"/>
      <c r="N1735" s="131"/>
      <c r="O1735" s="131"/>
    </row>
    <row r="1736" spans="4:15" x14ac:dyDescent="0.3">
      <c r="D1736" s="33"/>
      <c r="E1736" s="127"/>
      <c r="F1736" s="128"/>
      <c r="G1736" s="128"/>
      <c r="H1736" s="129"/>
      <c r="I1736" s="130"/>
      <c r="J1736" s="23"/>
      <c r="K1736" s="23"/>
      <c r="L1736" s="23"/>
      <c r="M1736" s="131"/>
      <c r="N1736" s="131"/>
      <c r="O1736" s="131"/>
    </row>
    <row r="1737" spans="4:15" x14ac:dyDescent="0.3">
      <c r="D1737" s="33"/>
      <c r="E1737" s="127"/>
      <c r="F1737" s="128"/>
      <c r="G1737" s="128"/>
      <c r="H1737" s="129"/>
      <c r="I1737" s="130"/>
      <c r="J1737" s="23"/>
      <c r="K1737" s="23"/>
      <c r="L1737" s="23"/>
      <c r="M1737" s="131"/>
      <c r="N1737" s="131"/>
      <c r="O1737" s="131"/>
    </row>
    <row r="1738" spans="4:15" x14ac:dyDescent="0.3">
      <c r="D1738" s="33"/>
      <c r="E1738" s="127"/>
      <c r="F1738" s="128"/>
      <c r="G1738" s="128"/>
      <c r="H1738" s="129"/>
      <c r="I1738" s="130"/>
      <c r="J1738" s="23"/>
      <c r="K1738" s="23"/>
      <c r="L1738" s="23"/>
      <c r="M1738" s="131"/>
      <c r="N1738" s="131"/>
      <c r="O1738" s="131"/>
    </row>
    <row r="1739" spans="4:15" x14ac:dyDescent="0.3">
      <c r="D1739" s="33"/>
      <c r="E1739" s="127"/>
      <c r="F1739" s="128"/>
      <c r="G1739" s="128"/>
      <c r="H1739" s="129"/>
      <c r="I1739" s="130"/>
      <c r="J1739" s="23"/>
      <c r="K1739" s="23"/>
      <c r="L1739" s="23"/>
      <c r="M1739" s="131"/>
      <c r="N1739" s="131"/>
      <c r="O1739" s="131"/>
    </row>
    <row r="1740" spans="4:15" x14ac:dyDescent="0.3">
      <c r="D1740" s="33"/>
      <c r="E1740" s="127"/>
      <c r="F1740" s="128"/>
      <c r="G1740" s="128"/>
      <c r="H1740" s="129"/>
      <c r="I1740" s="130"/>
      <c r="J1740" s="23"/>
      <c r="K1740" s="23"/>
      <c r="L1740" s="23"/>
      <c r="M1740" s="131"/>
      <c r="N1740" s="131"/>
      <c r="O1740" s="131"/>
    </row>
    <row r="1741" spans="4:15" x14ac:dyDescent="0.3">
      <c r="D1741" s="33"/>
      <c r="E1741" s="127"/>
      <c r="F1741" s="128"/>
      <c r="G1741" s="128"/>
      <c r="H1741" s="129"/>
      <c r="I1741" s="130"/>
      <c r="J1741" s="23"/>
      <c r="K1741" s="23"/>
      <c r="L1741" s="23"/>
      <c r="M1741" s="131"/>
      <c r="N1741" s="131"/>
      <c r="O1741" s="131"/>
    </row>
    <row r="1742" spans="4:15" x14ac:dyDescent="0.3">
      <c r="D1742" s="33"/>
      <c r="E1742" s="127"/>
      <c r="F1742" s="128"/>
      <c r="G1742" s="128"/>
      <c r="H1742" s="129"/>
      <c r="I1742" s="130"/>
      <c r="J1742" s="23"/>
      <c r="K1742" s="23"/>
      <c r="L1742" s="23"/>
      <c r="M1742" s="131"/>
      <c r="N1742" s="131"/>
      <c r="O1742" s="131"/>
    </row>
    <row r="1743" spans="4:15" x14ac:dyDescent="0.3">
      <c r="D1743" s="33"/>
      <c r="E1743" s="127"/>
      <c r="F1743" s="128"/>
      <c r="G1743" s="128"/>
      <c r="H1743" s="129"/>
      <c r="I1743" s="130"/>
      <c r="J1743" s="23"/>
      <c r="K1743" s="23"/>
      <c r="L1743" s="23"/>
      <c r="M1743" s="131"/>
      <c r="N1743" s="131"/>
      <c r="O1743" s="131"/>
    </row>
    <row r="1744" spans="4:15" x14ac:dyDescent="0.3">
      <c r="D1744" s="33"/>
      <c r="E1744" s="127"/>
      <c r="F1744" s="128"/>
      <c r="G1744" s="128"/>
      <c r="H1744" s="129"/>
      <c r="I1744" s="130"/>
      <c r="J1744" s="23"/>
      <c r="K1744" s="23"/>
      <c r="L1744" s="23"/>
      <c r="M1744" s="131"/>
      <c r="N1744" s="131"/>
      <c r="O1744" s="131"/>
    </row>
    <row r="1745" spans="4:15" x14ac:dyDescent="0.3">
      <c r="D1745" s="33"/>
      <c r="E1745" s="127"/>
      <c r="F1745" s="128"/>
      <c r="G1745" s="128"/>
      <c r="H1745" s="129"/>
      <c r="I1745" s="130"/>
      <c r="J1745" s="23"/>
      <c r="K1745" s="23"/>
      <c r="L1745" s="23"/>
      <c r="M1745" s="131"/>
      <c r="N1745" s="131"/>
      <c r="O1745" s="131"/>
    </row>
    <row r="1746" spans="4:15" x14ac:dyDescent="0.3">
      <c r="D1746" s="33"/>
      <c r="E1746" s="127"/>
      <c r="F1746" s="128"/>
      <c r="G1746" s="128"/>
      <c r="H1746" s="129"/>
      <c r="I1746" s="130"/>
      <c r="J1746" s="23"/>
      <c r="K1746" s="23"/>
      <c r="L1746" s="23"/>
      <c r="M1746" s="131"/>
      <c r="N1746" s="131"/>
      <c r="O1746" s="131"/>
    </row>
    <row r="1747" spans="4:15" x14ac:dyDescent="0.3">
      <c r="D1747" s="33"/>
      <c r="E1747" s="127"/>
      <c r="F1747" s="128"/>
      <c r="G1747" s="128"/>
      <c r="H1747" s="129"/>
      <c r="I1747" s="130"/>
      <c r="J1747" s="23"/>
      <c r="K1747" s="23"/>
      <c r="L1747" s="23"/>
      <c r="M1747" s="131"/>
      <c r="N1747" s="131"/>
      <c r="O1747" s="131"/>
    </row>
    <row r="1748" spans="4:15" x14ac:dyDescent="0.3">
      <c r="D1748" s="33"/>
      <c r="E1748" s="127"/>
      <c r="F1748" s="128"/>
      <c r="G1748" s="128"/>
      <c r="H1748" s="129"/>
      <c r="I1748" s="130"/>
      <c r="J1748" s="23"/>
      <c r="K1748" s="23"/>
      <c r="L1748" s="23"/>
      <c r="M1748" s="131"/>
      <c r="N1748" s="131"/>
      <c r="O1748" s="131"/>
    </row>
    <row r="1749" spans="4:15" x14ac:dyDescent="0.3">
      <c r="D1749" s="33"/>
      <c r="E1749" s="127"/>
      <c r="F1749" s="128"/>
      <c r="G1749" s="128"/>
      <c r="H1749" s="129"/>
      <c r="I1749" s="130"/>
      <c r="J1749" s="23"/>
      <c r="K1749" s="23"/>
      <c r="L1749" s="23"/>
      <c r="M1749" s="131"/>
      <c r="N1749" s="131"/>
      <c r="O1749" s="131"/>
    </row>
    <row r="1750" spans="4:15" x14ac:dyDescent="0.3">
      <c r="D1750" s="33"/>
      <c r="E1750" s="127"/>
      <c r="F1750" s="128"/>
      <c r="G1750" s="128"/>
      <c r="H1750" s="129"/>
      <c r="I1750" s="130"/>
      <c r="J1750" s="23"/>
      <c r="K1750" s="23"/>
      <c r="L1750" s="23"/>
      <c r="M1750" s="131"/>
      <c r="N1750" s="131"/>
      <c r="O1750" s="131"/>
    </row>
    <row r="1751" spans="4:15" x14ac:dyDescent="0.3">
      <c r="D1751" s="33"/>
      <c r="E1751" s="127"/>
      <c r="F1751" s="128"/>
      <c r="G1751" s="128"/>
      <c r="H1751" s="129"/>
      <c r="I1751" s="130"/>
      <c r="J1751" s="23"/>
      <c r="K1751" s="23"/>
      <c r="L1751" s="23"/>
      <c r="M1751" s="131"/>
      <c r="N1751" s="131"/>
      <c r="O1751" s="131"/>
    </row>
    <row r="1752" spans="4:15" x14ac:dyDescent="0.3">
      <c r="D1752" s="33"/>
      <c r="E1752" s="127"/>
      <c r="F1752" s="128"/>
      <c r="G1752" s="128"/>
      <c r="H1752" s="129"/>
      <c r="I1752" s="130"/>
      <c r="J1752" s="23"/>
      <c r="K1752" s="23"/>
      <c r="L1752" s="23"/>
      <c r="M1752" s="131"/>
      <c r="N1752" s="131"/>
      <c r="O1752" s="131"/>
    </row>
    <row r="1753" spans="4:15" x14ac:dyDescent="0.3">
      <c r="D1753" s="33"/>
      <c r="E1753" s="127"/>
      <c r="F1753" s="128"/>
      <c r="G1753" s="128"/>
      <c r="H1753" s="129"/>
      <c r="I1753" s="130"/>
      <c r="J1753" s="23"/>
      <c r="K1753" s="23"/>
      <c r="L1753" s="23"/>
      <c r="M1753" s="131"/>
      <c r="N1753" s="131"/>
      <c r="O1753" s="131"/>
    </row>
    <row r="1754" spans="4:15" x14ac:dyDescent="0.3">
      <c r="D1754" s="33"/>
      <c r="E1754" s="127"/>
      <c r="F1754" s="128"/>
      <c r="G1754" s="128"/>
      <c r="H1754" s="129"/>
      <c r="I1754" s="130"/>
      <c r="J1754" s="23"/>
      <c r="K1754" s="23"/>
      <c r="L1754" s="23"/>
      <c r="M1754" s="131"/>
      <c r="N1754" s="131"/>
      <c r="O1754" s="131"/>
    </row>
    <row r="1755" spans="4:15" x14ac:dyDescent="0.3">
      <c r="D1755" s="33"/>
      <c r="E1755" s="127"/>
      <c r="F1755" s="128"/>
      <c r="G1755" s="128"/>
      <c r="H1755" s="129"/>
      <c r="I1755" s="130"/>
      <c r="J1755" s="23"/>
      <c r="K1755" s="23"/>
      <c r="L1755" s="23"/>
      <c r="M1755" s="131"/>
      <c r="N1755" s="131"/>
      <c r="O1755" s="131"/>
    </row>
    <row r="1756" spans="4:15" x14ac:dyDescent="0.3">
      <c r="D1756" s="33"/>
      <c r="E1756" s="127"/>
      <c r="F1756" s="128"/>
      <c r="G1756" s="128"/>
      <c r="H1756" s="129"/>
      <c r="I1756" s="130"/>
      <c r="J1756" s="23"/>
      <c r="K1756" s="23"/>
      <c r="L1756" s="23"/>
      <c r="M1756" s="131"/>
      <c r="N1756" s="131"/>
      <c r="O1756" s="131"/>
    </row>
    <row r="1757" spans="4:15" x14ac:dyDescent="0.3">
      <c r="D1757" s="33"/>
      <c r="E1757" s="127"/>
      <c r="F1757" s="128"/>
      <c r="G1757" s="128"/>
      <c r="H1757" s="129"/>
      <c r="I1757" s="130"/>
      <c r="J1757" s="23"/>
      <c r="K1757" s="23"/>
      <c r="L1757" s="23"/>
      <c r="M1757" s="131"/>
      <c r="N1757" s="131"/>
      <c r="O1757" s="131"/>
    </row>
    <row r="1758" spans="4:15" x14ac:dyDescent="0.3">
      <c r="D1758" s="33"/>
      <c r="E1758" s="127"/>
      <c r="F1758" s="128"/>
      <c r="G1758" s="128"/>
      <c r="H1758" s="129"/>
      <c r="I1758" s="130"/>
      <c r="J1758" s="23"/>
      <c r="K1758" s="23"/>
      <c r="L1758" s="23"/>
      <c r="M1758" s="131"/>
      <c r="N1758" s="131"/>
      <c r="O1758" s="131"/>
    </row>
    <row r="1759" spans="4:15" x14ac:dyDescent="0.3">
      <c r="D1759" s="33"/>
      <c r="E1759" s="127"/>
      <c r="F1759" s="128"/>
      <c r="G1759" s="128"/>
      <c r="H1759" s="129"/>
      <c r="I1759" s="130"/>
      <c r="J1759" s="23"/>
      <c r="K1759" s="23"/>
      <c r="L1759" s="23"/>
      <c r="M1759" s="131"/>
      <c r="N1759" s="131"/>
      <c r="O1759" s="131"/>
    </row>
    <row r="1760" spans="4:15" x14ac:dyDescent="0.3">
      <c r="D1760" s="33"/>
      <c r="E1760" s="127"/>
      <c r="F1760" s="128"/>
      <c r="G1760" s="128"/>
      <c r="H1760" s="129"/>
      <c r="I1760" s="130"/>
      <c r="J1760" s="23"/>
      <c r="K1760" s="23"/>
      <c r="L1760" s="23"/>
      <c r="M1760" s="131"/>
      <c r="N1760" s="131"/>
      <c r="O1760" s="131"/>
    </row>
    <row r="1761" spans="4:15" x14ac:dyDescent="0.3">
      <c r="D1761" s="33"/>
      <c r="E1761" s="127"/>
      <c r="F1761" s="128"/>
      <c r="G1761" s="128"/>
      <c r="H1761" s="129"/>
      <c r="I1761" s="130"/>
      <c r="J1761" s="23"/>
      <c r="K1761" s="23"/>
      <c r="L1761" s="23"/>
      <c r="M1761" s="131"/>
      <c r="N1761" s="131"/>
      <c r="O1761" s="131"/>
    </row>
    <row r="1762" spans="4:15" x14ac:dyDescent="0.3">
      <c r="D1762" s="33"/>
      <c r="E1762" s="127"/>
      <c r="F1762" s="128"/>
      <c r="G1762" s="128"/>
      <c r="H1762" s="129"/>
      <c r="I1762" s="130"/>
      <c r="J1762" s="23"/>
      <c r="K1762" s="23"/>
      <c r="L1762" s="23"/>
      <c r="M1762" s="131"/>
      <c r="N1762" s="131"/>
      <c r="O1762" s="131"/>
    </row>
    <row r="1763" spans="4:15" x14ac:dyDescent="0.3">
      <c r="D1763" s="33"/>
      <c r="E1763" s="127"/>
      <c r="F1763" s="128"/>
      <c r="G1763" s="128"/>
      <c r="H1763" s="129"/>
      <c r="I1763" s="130"/>
      <c r="J1763" s="23"/>
      <c r="K1763" s="23"/>
      <c r="L1763" s="23"/>
      <c r="M1763" s="131"/>
      <c r="N1763" s="131"/>
      <c r="O1763" s="131"/>
    </row>
    <row r="1764" spans="4:15" x14ac:dyDescent="0.3">
      <c r="D1764" s="33"/>
      <c r="E1764" s="127"/>
      <c r="F1764" s="128"/>
      <c r="G1764" s="128"/>
      <c r="H1764" s="129"/>
      <c r="I1764" s="130"/>
      <c r="J1764" s="23"/>
      <c r="K1764" s="23"/>
      <c r="L1764" s="23"/>
      <c r="M1764" s="131"/>
      <c r="N1764" s="131"/>
      <c r="O1764" s="131"/>
    </row>
    <row r="1765" spans="4:15" x14ac:dyDescent="0.3">
      <c r="D1765" s="33"/>
      <c r="E1765" s="127"/>
      <c r="F1765" s="128"/>
      <c r="G1765" s="128"/>
      <c r="H1765" s="129"/>
      <c r="I1765" s="130"/>
      <c r="J1765" s="23"/>
      <c r="K1765" s="23"/>
      <c r="L1765" s="23"/>
      <c r="M1765" s="131"/>
      <c r="N1765" s="131"/>
      <c r="O1765" s="131"/>
    </row>
    <row r="1766" spans="4:15" x14ac:dyDescent="0.3">
      <c r="D1766" s="33"/>
      <c r="E1766" s="127"/>
      <c r="F1766" s="128"/>
      <c r="G1766" s="128"/>
      <c r="H1766" s="129"/>
      <c r="I1766" s="130"/>
      <c r="J1766" s="23"/>
      <c r="K1766" s="23"/>
      <c r="L1766" s="23"/>
      <c r="M1766" s="131"/>
      <c r="N1766" s="131"/>
      <c r="O1766" s="131"/>
    </row>
    <row r="1767" spans="4:15" x14ac:dyDescent="0.3">
      <c r="D1767" s="33"/>
      <c r="E1767" s="127"/>
      <c r="F1767" s="128"/>
      <c r="G1767" s="128"/>
      <c r="H1767" s="129"/>
      <c r="I1767" s="130"/>
      <c r="J1767" s="23"/>
      <c r="K1767" s="23"/>
      <c r="L1767" s="23"/>
      <c r="M1767" s="131"/>
      <c r="N1767" s="131"/>
      <c r="O1767" s="131"/>
    </row>
    <row r="1768" spans="4:15" x14ac:dyDescent="0.3">
      <c r="D1768" s="33"/>
      <c r="E1768" s="127"/>
      <c r="F1768" s="128"/>
      <c r="G1768" s="128"/>
      <c r="H1768" s="129"/>
      <c r="I1768" s="130"/>
      <c r="J1768" s="23"/>
      <c r="K1768" s="23"/>
      <c r="L1768" s="23"/>
      <c r="M1768" s="131"/>
      <c r="N1768" s="131"/>
      <c r="O1768" s="131"/>
    </row>
    <row r="1769" spans="4:15" x14ac:dyDescent="0.3">
      <c r="D1769" s="33"/>
      <c r="E1769" s="127"/>
      <c r="F1769" s="128"/>
      <c r="G1769" s="128"/>
      <c r="H1769" s="129"/>
      <c r="I1769" s="130"/>
      <c r="J1769" s="23"/>
      <c r="K1769" s="23"/>
      <c r="L1769" s="23"/>
      <c r="M1769" s="131"/>
      <c r="N1769" s="131"/>
      <c r="O1769" s="131"/>
    </row>
    <row r="1770" spans="4:15" x14ac:dyDescent="0.3">
      <c r="D1770" s="33"/>
      <c r="E1770" s="127"/>
      <c r="F1770" s="128"/>
      <c r="G1770" s="128"/>
      <c r="H1770" s="129"/>
      <c r="I1770" s="130"/>
      <c r="J1770" s="23"/>
      <c r="K1770" s="23"/>
      <c r="L1770" s="23"/>
      <c r="M1770" s="131"/>
      <c r="N1770" s="131"/>
      <c r="O1770" s="131"/>
    </row>
    <row r="1771" spans="4:15" x14ac:dyDescent="0.3">
      <c r="D1771" s="33"/>
      <c r="E1771" s="127"/>
      <c r="F1771" s="128"/>
      <c r="G1771" s="128"/>
      <c r="H1771" s="129"/>
      <c r="I1771" s="130"/>
      <c r="J1771" s="23"/>
      <c r="K1771" s="23"/>
      <c r="L1771" s="23"/>
      <c r="M1771" s="131"/>
      <c r="N1771" s="131"/>
      <c r="O1771" s="131"/>
    </row>
    <row r="1772" spans="4:15" x14ac:dyDescent="0.3">
      <c r="D1772" s="33"/>
      <c r="E1772" s="127"/>
      <c r="F1772" s="128"/>
      <c r="G1772" s="128"/>
      <c r="H1772" s="129"/>
      <c r="I1772" s="130"/>
      <c r="J1772" s="23"/>
      <c r="K1772" s="23"/>
      <c r="L1772" s="23"/>
      <c r="M1772" s="131"/>
      <c r="N1772" s="131"/>
      <c r="O1772" s="131"/>
    </row>
    <row r="1773" spans="4:15" x14ac:dyDescent="0.3">
      <c r="D1773" s="33"/>
      <c r="E1773" s="127"/>
      <c r="F1773" s="128"/>
      <c r="G1773" s="128"/>
      <c r="H1773" s="129"/>
      <c r="I1773" s="130"/>
      <c r="J1773" s="23"/>
      <c r="K1773" s="23"/>
      <c r="L1773" s="23"/>
      <c r="M1773" s="131"/>
      <c r="N1773" s="131"/>
      <c r="O1773" s="131"/>
    </row>
    <row r="1774" spans="4:15" x14ac:dyDescent="0.3">
      <c r="D1774" s="33"/>
      <c r="E1774" s="127"/>
      <c r="F1774" s="128"/>
      <c r="G1774" s="128"/>
      <c r="H1774" s="129"/>
      <c r="I1774" s="130"/>
      <c r="J1774" s="23"/>
      <c r="K1774" s="23"/>
      <c r="L1774" s="23"/>
      <c r="M1774" s="131"/>
      <c r="N1774" s="131"/>
      <c r="O1774" s="131"/>
    </row>
    <row r="1775" spans="4:15" x14ac:dyDescent="0.3">
      <c r="D1775" s="33"/>
      <c r="E1775" s="127"/>
      <c r="F1775" s="128"/>
      <c r="G1775" s="128"/>
      <c r="H1775" s="129"/>
      <c r="I1775" s="130"/>
      <c r="J1775" s="23"/>
      <c r="K1775" s="23"/>
      <c r="L1775" s="23"/>
      <c r="M1775" s="131"/>
      <c r="N1775" s="131"/>
      <c r="O1775" s="131"/>
    </row>
    <row r="1776" spans="4:15" x14ac:dyDescent="0.3">
      <c r="D1776" s="33"/>
      <c r="E1776" s="127"/>
      <c r="F1776" s="128"/>
      <c r="G1776" s="128"/>
      <c r="H1776" s="129"/>
      <c r="I1776" s="130"/>
      <c r="J1776" s="23"/>
      <c r="K1776" s="23"/>
      <c r="L1776" s="23"/>
      <c r="M1776" s="131"/>
      <c r="N1776" s="131"/>
      <c r="O1776" s="131"/>
    </row>
    <row r="1777" spans="4:15" x14ac:dyDescent="0.3">
      <c r="D1777" s="33"/>
      <c r="E1777" s="127"/>
      <c r="F1777" s="128"/>
      <c r="G1777" s="128"/>
      <c r="H1777" s="129"/>
      <c r="I1777" s="130"/>
      <c r="J1777" s="23"/>
      <c r="K1777" s="23"/>
      <c r="L1777" s="23"/>
      <c r="M1777" s="131"/>
      <c r="N1777" s="131"/>
      <c r="O1777" s="131"/>
    </row>
    <row r="1778" spans="4:15" x14ac:dyDescent="0.3">
      <c r="D1778" s="33"/>
      <c r="E1778" s="127"/>
      <c r="F1778" s="128"/>
      <c r="G1778" s="128"/>
      <c r="H1778" s="129"/>
      <c r="I1778" s="130"/>
      <c r="J1778" s="23"/>
      <c r="K1778" s="23"/>
      <c r="L1778" s="23"/>
      <c r="M1778" s="131"/>
      <c r="N1778" s="131"/>
      <c r="O1778" s="131"/>
    </row>
    <row r="1779" spans="4:15" x14ac:dyDescent="0.3">
      <c r="D1779" s="33"/>
      <c r="E1779" s="127"/>
      <c r="F1779" s="128"/>
      <c r="G1779" s="128"/>
      <c r="H1779" s="129"/>
      <c r="I1779" s="130"/>
      <c r="J1779" s="23"/>
      <c r="K1779" s="23"/>
      <c r="L1779" s="23"/>
      <c r="M1779" s="131"/>
      <c r="N1779" s="131"/>
      <c r="O1779" s="131"/>
    </row>
    <row r="1780" spans="4:15" x14ac:dyDescent="0.3">
      <c r="D1780" s="33"/>
      <c r="E1780" s="127"/>
      <c r="F1780" s="128"/>
      <c r="G1780" s="128"/>
      <c r="H1780" s="129"/>
      <c r="I1780" s="130"/>
      <c r="J1780" s="23"/>
      <c r="K1780" s="23"/>
      <c r="L1780" s="23"/>
      <c r="M1780" s="131"/>
      <c r="N1780" s="131"/>
      <c r="O1780" s="131"/>
    </row>
    <row r="1781" spans="4:15" x14ac:dyDescent="0.3">
      <c r="D1781" s="33"/>
      <c r="E1781" s="127"/>
      <c r="F1781" s="128"/>
      <c r="G1781" s="128"/>
      <c r="H1781" s="129"/>
      <c r="I1781" s="130"/>
      <c r="J1781" s="23"/>
      <c r="K1781" s="23"/>
      <c r="L1781" s="23"/>
      <c r="M1781" s="131"/>
      <c r="N1781" s="131"/>
      <c r="O1781" s="131"/>
    </row>
    <row r="1782" spans="4:15" x14ac:dyDescent="0.3">
      <c r="D1782" s="33"/>
      <c r="E1782" s="127"/>
      <c r="F1782" s="128"/>
      <c r="G1782" s="128"/>
      <c r="H1782" s="129"/>
      <c r="I1782" s="130"/>
      <c r="J1782" s="23"/>
      <c r="K1782" s="23"/>
      <c r="L1782" s="23"/>
      <c r="M1782" s="131"/>
      <c r="N1782" s="131"/>
      <c r="O1782" s="131"/>
    </row>
    <row r="1783" spans="4:15" x14ac:dyDescent="0.3">
      <c r="D1783" s="33"/>
      <c r="E1783" s="127"/>
      <c r="F1783" s="128"/>
      <c r="G1783" s="128"/>
      <c r="H1783" s="129"/>
      <c r="I1783" s="130"/>
      <c r="J1783" s="23"/>
      <c r="K1783" s="23"/>
      <c r="L1783" s="23"/>
      <c r="M1783" s="131"/>
      <c r="N1783" s="131"/>
      <c r="O1783" s="131"/>
    </row>
    <row r="1784" spans="4:15" x14ac:dyDescent="0.3">
      <c r="D1784" s="33"/>
      <c r="E1784" s="127"/>
      <c r="F1784" s="128"/>
      <c r="G1784" s="128"/>
      <c r="H1784" s="129"/>
      <c r="I1784" s="130"/>
      <c r="J1784" s="23"/>
      <c r="K1784" s="23"/>
      <c r="L1784" s="23"/>
      <c r="M1784" s="131"/>
      <c r="N1784" s="131"/>
      <c r="O1784" s="131"/>
    </row>
    <row r="1785" spans="4:15" x14ac:dyDescent="0.3">
      <c r="D1785" s="33"/>
      <c r="E1785" s="127"/>
      <c r="F1785" s="128"/>
      <c r="G1785" s="128"/>
      <c r="H1785" s="129"/>
      <c r="I1785" s="130"/>
      <c r="J1785" s="23"/>
      <c r="K1785" s="23"/>
      <c r="L1785" s="23"/>
      <c r="M1785" s="131"/>
      <c r="N1785" s="131"/>
      <c r="O1785" s="131"/>
    </row>
    <row r="1786" spans="4:15" x14ac:dyDescent="0.3">
      <c r="D1786" s="33"/>
      <c r="E1786" s="127"/>
      <c r="F1786" s="128"/>
      <c r="G1786" s="128"/>
      <c r="H1786" s="129"/>
      <c r="I1786" s="130"/>
      <c r="J1786" s="23"/>
      <c r="K1786" s="23"/>
      <c r="L1786" s="23"/>
      <c r="M1786" s="131"/>
      <c r="N1786" s="131"/>
      <c r="O1786" s="131"/>
    </row>
    <row r="1787" spans="4:15" x14ac:dyDescent="0.3">
      <c r="D1787" s="33"/>
      <c r="E1787" s="127"/>
      <c r="F1787" s="128"/>
      <c r="G1787" s="128"/>
      <c r="H1787" s="129"/>
      <c r="I1787" s="130"/>
      <c r="J1787" s="23"/>
      <c r="K1787" s="23"/>
      <c r="L1787" s="23"/>
      <c r="M1787" s="131"/>
      <c r="N1787" s="131"/>
      <c r="O1787" s="131"/>
    </row>
    <row r="1788" spans="4:15" x14ac:dyDescent="0.3">
      <c r="D1788" s="33"/>
      <c r="E1788" s="127"/>
      <c r="F1788" s="128"/>
      <c r="G1788" s="128"/>
      <c r="H1788" s="129"/>
      <c r="I1788" s="130"/>
      <c r="J1788" s="23"/>
      <c r="K1788" s="23"/>
      <c r="L1788" s="23"/>
      <c r="M1788" s="131"/>
      <c r="N1788" s="131"/>
      <c r="O1788" s="131"/>
    </row>
    <row r="1789" spans="4:15" x14ac:dyDescent="0.3">
      <c r="D1789" s="33"/>
      <c r="E1789" s="127"/>
      <c r="F1789" s="128"/>
      <c r="G1789" s="128"/>
      <c r="H1789" s="129"/>
      <c r="I1789" s="130"/>
      <c r="J1789" s="23"/>
      <c r="K1789" s="23"/>
      <c r="L1789" s="23"/>
      <c r="M1789" s="131"/>
      <c r="N1789" s="131"/>
      <c r="O1789" s="131"/>
    </row>
    <row r="1790" spans="4:15" x14ac:dyDescent="0.3">
      <c r="D1790" s="33"/>
      <c r="E1790" s="127"/>
      <c r="F1790" s="128"/>
      <c r="G1790" s="128"/>
      <c r="H1790" s="129"/>
      <c r="I1790" s="130"/>
      <c r="J1790" s="23"/>
      <c r="K1790" s="23"/>
      <c r="L1790" s="23"/>
      <c r="M1790" s="131"/>
      <c r="N1790" s="131"/>
      <c r="O1790" s="131"/>
    </row>
    <row r="1791" spans="4:15" x14ac:dyDescent="0.3">
      <c r="D1791" s="33"/>
      <c r="E1791" s="127"/>
      <c r="F1791" s="128"/>
      <c r="G1791" s="128"/>
      <c r="H1791" s="129"/>
      <c r="I1791" s="130"/>
      <c r="J1791" s="23"/>
      <c r="K1791" s="23"/>
      <c r="L1791" s="23"/>
      <c r="M1791" s="131"/>
      <c r="N1791" s="131"/>
      <c r="O1791" s="131"/>
    </row>
    <row r="1792" spans="4:15" x14ac:dyDescent="0.3">
      <c r="D1792" s="33"/>
      <c r="E1792" s="127"/>
      <c r="F1792" s="128"/>
      <c r="G1792" s="128"/>
      <c r="H1792" s="129"/>
      <c r="I1792" s="130"/>
      <c r="J1792" s="23"/>
      <c r="K1792" s="23"/>
      <c r="L1792" s="23"/>
      <c r="M1792" s="131"/>
      <c r="N1792" s="131"/>
      <c r="O1792" s="131"/>
    </row>
    <row r="1793" spans="4:15" x14ac:dyDescent="0.3">
      <c r="D1793" s="33"/>
      <c r="E1793" s="127"/>
      <c r="F1793" s="128"/>
      <c r="G1793" s="128"/>
      <c r="H1793" s="129"/>
      <c r="I1793" s="130"/>
      <c r="J1793" s="23"/>
      <c r="K1793" s="23"/>
      <c r="L1793" s="23"/>
      <c r="M1793" s="131"/>
      <c r="N1793" s="131"/>
      <c r="O1793" s="131"/>
    </row>
    <row r="1794" spans="4:15" x14ac:dyDescent="0.3">
      <c r="D1794" s="33"/>
      <c r="E1794" s="127"/>
      <c r="F1794" s="128"/>
      <c r="G1794" s="128"/>
      <c r="H1794" s="129"/>
      <c r="I1794" s="130"/>
      <c r="J1794" s="23"/>
      <c r="K1794" s="23"/>
      <c r="L1794" s="23"/>
      <c r="M1794" s="131"/>
      <c r="N1794" s="131"/>
      <c r="O1794" s="131"/>
    </row>
    <row r="1795" spans="4:15" x14ac:dyDescent="0.3">
      <c r="D1795" s="33"/>
      <c r="E1795" s="127"/>
      <c r="F1795" s="128"/>
      <c r="G1795" s="128"/>
      <c r="H1795" s="129"/>
      <c r="I1795" s="130"/>
      <c r="J1795" s="23"/>
      <c r="K1795" s="23"/>
      <c r="L1795" s="23"/>
      <c r="M1795" s="131"/>
      <c r="N1795" s="131"/>
      <c r="O1795" s="131"/>
    </row>
    <row r="1796" spans="4:15" x14ac:dyDescent="0.3">
      <c r="D1796" s="33"/>
      <c r="E1796" s="127"/>
      <c r="F1796" s="128"/>
      <c r="G1796" s="128"/>
      <c r="H1796" s="129"/>
      <c r="I1796" s="130"/>
      <c r="J1796" s="23"/>
      <c r="K1796" s="23"/>
      <c r="L1796" s="23"/>
      <c r="M1796" s="131"/>
      <c r="N1796" s="131"/>
      <c r="O1796" s="131"/>
    </row>
    <row r="1797" spans="4:15" x14ac:dyDescent="0.3">
      <c r="D1797" s="33"/>
      <c r="E1797" s="127"/>
      <c r="F1797" s="128"/>
      <c r="G1797" s="128"/>
      <c r="H1797" s="129"/>
      <c r="I1797" s="130"/>
      <c r="J1797" s="23"/>
      <c r="K1797" s="23"/>
      <c r="L1797" s="23"/>
      <c r="M1797" s="131"/>
      <c r="N1797" s="131"/>
      <c r="O1797" s="131"/>
    </row>
    <row r="1798" spans="4:15" x14ac:dyDescent="0.3">
      <c r="D1798" s="33"/>
      <c r="E1798" s="127"/>
      <c r="F1798" s="128"/>
      <c r="G1798" s="128"/>
      <c r="H1798" s="129"/>
      <c r="I1798" s="130"/>
      <c r="J1798" s="23"/>
      <c r="K1798" s="23"/>
      <c r="L1798" s="23"/>
      <c r="M1798" s="131"/>
      <c r="N1798" s="131"/>
      <c r="O1798" s="131"/>
    </row>
    <row r="1799" spans="4:15" x14ac:dyDescent="0.3">
      <c r="D1799" s="33"/>
      <c r="E1799" s="127"/>
      <c r="F1799" s="128"/>
      <c r="G1799" s="128"/>
      <c r="H1799" s="129"/>
      <c r="I1799" s="130"/>
      <c r="J1799" s="23"/>
      <c r="K1799" s="23"/>
      <c r="L1799" s="23"/>
      <c r="M1799" s="131"/>
      <c r="N1799" s="131"/>
      <c r="O1799" s="131"/>
    </row>
    <row r="1800" spans="4:15" x14ac:dyDescent="0.3">
      <c r="D1800" s="33"/>
      <c r="E1800" s="127"/>
      <c r="F1800" s="128"/>
      <c r="G1800" s="128"/>
      <c r="H1800" s="129"/>
      <c r="I1800" s="130"/>
      <c r="J1800" s="23"/>
      <c r="K1800" s="23"/>
      <c r="L1800" s="23"/>
      <c r="M1800" s="131"/>
      <c r="N1800" s="131"/>
      <c r="O1800" s="131"/>
    </row>
    <row r="1801" spans="4:15" x14ac:dyDescent="0.3">
      <c r="D1801" s="33"/>
      <c r="E1801" s="127"/>
      <c r="F1801" s="128"/>
      <c r="G1801" s="128"/>
      <c r="H1801" s="129"/>
      <c r="I1801" s="130"/>
      <c r="J1801" s="23"/>
      <c r="K1801" s="23"/>
      <c r="L1801" s="23"/>
      <c r="M1801" s="131"/>
      <c r="N1801" s="131"/>
      <c r="O1801" s="131"/>
    </row>
    <row r="1802" spans="4:15" x14ac:dyDescent="0.3">
      <c r="D1802" s="33"/>
      <c r="E1802" s="127"/>
      <c r="F1802" s="128"/>
      <c r="G1802" s="128"/>
      <c r="H1802" s="129"/>
      <c r="I1802" s="130"/>
      <c r="J1802" s="23"/>
      <c r="K1802" s="23"/>
      <c r="L1802" s="23"/>
      <c r="M1802" s="131"/>
      <c r="N1802" s="131"/>
      <c r="O1802" s="131"/>
    </row>
    <row r="1803" spans="4:15" x14ac:dyDescent="0.3">
      <c r="D1803" s="33"/>
      <c r="E1803" s="127"/>
      <c r="F1803" s="128"/>
      <c r="G1803" s="128"/>
      <c r="H1803" s="129"/>
      <c r="I1803" s="130"/>
      <c r="J1803" s="23"/>
      <c r="K1803" s="23"/>
      <c r="L1803" s="23"/>
      <c r="M1803" s="131"/>
      <c r="N1803" s="131"/>
      <c r="O1803" s="131"/>
    </row>
    <row r="1804" spans="4:15" x14ac:dyDescent="0.3">
      <c r="D1804" s="33"/>
      <c r="E1804" s="127"/>
      <c r="F1804" s="128"/>
      <c r="G1804" s="128"/>
      <c r="H1804" s="129"/>
      <c r="I1804" s="130"/>
      <c r="J1804" s="23"/>
      <c r="K1804" s="23"/>
      <c r="L1804" s="23"/>
      <c r="M1804" s="131"/>
      <c r="N1804" s="131"/>
      <c r="O1804" s="131"/>
    </row>
    <row r="1805" spans="4:15" x14ac:dyDescent="0.3">
      <c r="D1805" s="33"/>
      <c r="E1805" s="127"/>
      <c r="F1805" s="128"/>
      <c r="G1805" s="128"/>
      <c r="H1805" s="129"/>
      <c r="I1805" s="130"/>
      <c r="J1805" s="23"/>
      <c r="K1805" s="23"/>
      <c r="L1805" s="23"/>
      <c r="M1805" s="131"/>
      <c r="N1805" s="131"/>
      <c r="O1805" s="131"/>
    </row>
    <row r="1806" spans="4:15" x14ac:dyDescent="0.3">
      <c r="D1806" s="33"/>
      <c r="E1806" s="127"/>
      <c r="F1806" s="128"/>
      <c r="G1806" s="128"/>
      <c r="H1806" s="129"/>
      <c r="I1806" s="130"/>
      <c r="J1806" s="23"/>
      <c r="K1806" s="23"/>
      <c r="L1806" s="23"/>
      <c r="M1806" s="131"/>
      <c r="N1806" s="131"/>
      <c r="O1806" s="131"/>
    </row>
    <row r="1807" spans="4:15" x14ac:dyDescent="0.3">
      <c r="D1807" s="33"/>
      <c r="E1807" s="127"/>
      <c r="F1807" s="128"/>
      <c r="G1807" s="128"/>
      <c r="H1807" s="129"/>
      <c r="I1807" s="130"/>
      <c r="J1807" s="23"/>
      <c r="K1807" s="23"/>
      <c r="L1807" s="23"/>
      <c r="M1807" s="131"/>
      <c r="N1807" s="131"/>
      <c r="O1807" s="131"/>
    </row>
    <row r="1808" spans="4:15" x14ac:dyDescent="0.3">
      <c r="D1808" s="33"/>
      <c r="E1808" s="127"/>
      <c r="F1808" s="128"/>
      <c r="G1808" s="128"/>
      <c r="H1808" s="129"/>
      <c r="I1808" s="130"/>
      <c r="J1808" s="23"/>
      <c r="K1808" s="23"/>
      <c r="L1808" s="23"/>
      <c r="M1808" s="131"/>
      <c r="N1808" s="131"/>
      <c r="O1808" s="131"/>
    </row>
    <row r="1809" spans="4:15" x14ac:dyDescent="0.3">
      <c r="D1809" s="33"/>
      <c r="E1809" s="127"/>
      <c r="F1809" s="128"/>
      <c r="G1809" s="128"/>
      <c r="H1809" s="129"/>
      <c r="I1809" s="130"/>
      <c r="J1809" s="23"/>
      <c r="K1809" s="23"/>
      <c r="L1809" s="23"/>
      <c r="M1809" s="131"/>
      <c r="N1809" s="131"/>
      <c r="O1809" s="131"/>
    </row>
    <row r="1810" spans="4:15" x14ac:dyDescent="0.3">
      <c r="D1810" s="33"/>
      <c r="E1810" s="127"/>
      <c r="F1810" s="128"/>
      <c r="G1810" s="128"/>
      <c r="H1810" s="129"/>
      <c r="I1810" s="130"/>
      <c r="J1810" s="23"/>
      <c r="K1810" s="23"/>
      <c r="L1810" s="23"/>
      <c r="M1810" s="131"/>
      <c r="N1810" s="131"/>
      <c r="O1810" s="131"/>
    </row>
    <row r="1811" spans="4:15" x14ac:dyDescent="0.3">
      <c r="D1811" s="33"/>
      <c r="E1811" s="127"/>
      <c r="F1811" s="128"/>
      <c r="G1811" s="128"/>
      <c r="H1811" s="129"/>
      <c r="I1811" s="130"/>
      <c r="J1811" s="23"/>
      <c r="K1811" s="23"/>
      <c r="L1811" s="23"/>
      <c r="M1811" s="131"/>
      <c r="N1811" s="131"/>
      <c r="O1811" s="131"/>
    </row>
    <row r="1812" spans="4:15" x14ac:dyDescent="0.3">
      <c r="D1812" s="33"/>
      <c r="E1812" s="127"/>
      <c r="F1812" s="128"/>
      <c r="G1812" s="128"/>
      <c r="H1812" s="129"/>
      <c r="I1812" s="130"/>
      <c r="J1812" s="23"/>
      <c r="K1812" s="23"/>
      <c r="L1812" s="23"/>
      <c r="M1812" s="131"/>
      <c r="N1812" s="131"/>
      <c r="O1812" s="131"/>
    </row>
    <row r="1813" spans="4:15" x14ac:dyDescent="0.3">
      <c r="D1813" s="33"/>
      <c r="E1813" s="127"/>
      <c r="F1813" s="128"/>
      <c r="G1813" s="128"/>
      <c r="H1813" s="129"/>
      <c r="I1813" s="130"/>
      <c r="J1813" s="23"/>
      <c r="K1813" s="23"/>
      <c r="L1813" s="23"/>
      <c r="M1813" s="131"/>
      <c r="N1813" s="131"/>
      <c r="O1813" s="131"/>
    </row>
    <row r="1814" spans="4:15" x14ac:dyDescent="0.3">
      <c r="D1814" s="33"/>
      <c r="E1814" s="127"/>
      <c r="F1814" s="128"/>
      <c r="G1814" s="128"/>
      <c r="H1814" s="129"/>
      <c r="I1814" s="130"/>
      <c r="J1814" s="23"/>
      <c r="K1814" s="23"/>
      <c r="L1814" s="23"/>
      <c r="M1814" s="131"/>
      <c r="N1814" s="131"/>
      <c r="O1814" s="131"/>
    </row>
    <row r="1815" spans="4:15" x14ac:dyDescent="0.3">
      <c r="D1815" s="33"/>
      <c r="E1815" s="127"/>
      <c r="F1815" s="128"/>
      <c r="G1815" s="128"/>
      <c r="H1815" s="129"/>
      <c r="I1815" s="130"/>
      <c r="J1815" s="23"/>
      <c r="K1815" s="23"/>
      <c r="L1815" s="23"/>
      <c r="M1815" s="131"/>
      <c r="N1815" s="131"/>
      <c r="O1815" s="131"/>
    </row>
    <row r="1816" spans="4:15" x14ac:dyDescent="0.3">
      <c r="D1816" s="33"/>
      <c r="E1816" s="127"/>
      <c r="F1816" s="128"/>
      <c r="G1816" s="128"/>
      <c r="H1816" s="129"/>
      <c r="I1816" s="130"/>
      <c r="J1816" s="23"/>
      <c r="K1816" s="23"/>
      <c r="L1816" s="23"/>
      <c r="M1816" s="131"/>
      <c r="N1816" s="131"/>
      <c r="O1816" s="131"/>
    </row>
    <row r="1817" spans="4:15" x14ac:dyDescent="0.3">
      <c r="D1817" s="33"/>
      <c r="E1817" s="127"/>
      <c r="F1817" s="128"/>
      <c r="G1817" s="128"/>
      <c r="H1817" s="129"/>
      <c r="I1817" s="130"/>
      <c r="J1817" s="23"/>
      <c r="K1817" s="23"/>
      <c r="L1817" s="23"/>
      <c r="M1817" s="131"/>
      <c r="N1817" s="131"/>
      <c r="O1817" s="131"/>
    </row>
    <row r="1818" spans="4:15" x14ac:dyDescent="0.3">
      <c r="D1818" s="33"/>
      <c r="E1818" s="127"/>
      <c r="F1818" s="128"/>
      <c r="G1818" s="128"/>
      <c r="H1818" s="129"/>
      <c r="I1818" s="130"/>
      <c r="J1818" s="23"/>
      <c r="K1818" s="23"/>
      <c r="L1818" s="23"/>
      <c r="M1818" s="131"/>
      <c r="N1818" s="131"/>
      <c r="O1818" s="131"/>
    </row>
    <row r="1819" spans="4:15" x14ac:dyDescent="0.3">
      <c r="D1819" s="33"/>
      <c r="E1819" s="127"/>
      <c r="F1819" s="128"/>
      <c r="G1819" s="128"/>
      <c r="H1819" s="129"/>
      <c r="I1819" s="130"/>
      <c r="J1819" s="23"/>
      <c r="K1819" s="23"/>
      <c r="L1819" s="23"/>
      <c r="M1819" s="131"/>
      <c r="N1819" s="131"/>
      <c r="O1819" s="131"/>
    </row>
    <row r="1820" spans="4:15" x14ac:dyDescent="0.3">
      <c r="D1820" s="33"/>
      <c r="E1820" s="127"/>
      <c r="F1820" s="128"/>
      <c r="G1820" s="128"/>
      <c r="H1820" s="129"/>
      <c r="I1820" s="130"/>
      <c r="J1820" s="23"/>
      <c r="K1820" s="23"/>
      <c r="L1820" s="23"/>
      <c r="M1820" s="131"/>
      <c r="N1820" s="131"/>
      <c r="O1820" s="131"/>
    </row>
    <row r="1821" spans="4:15" x14ac:dyDescent="0.3">
      <c r="D1821" s="33"/>
      <c r="E1821" s="127"/>
      <c r="F1821" s="128"/>
      <c r="G1821" s="128"/>
      <c r="H1821" s="129"/>
      <c r="I1821" s="130"/>
      <c r="J1821" s="23"/>
      <c r="K1821" s="23"/>
      <c r="L1821" s="23"/>
      <c r="M1821" s="131"/>
      <c r="N1821" s="131"/>
      <c r="O1821" s="131"/>
    </row>
    <row r="1822" spans="4:15" x14ac:dyDescent="0.3">
      <c r="D1822" s="33"/>
      <c r="E1822" s="127"/>
      <c r="F1822" s="128"/>
      <c r="G1822" s="128"/>
      <c r="H1822" s="129"/>
      <c r="I1822" s="130"/>
      <c r="J1822" s="23"/>
      <c r="K1822" s="23"/>
      <c r="L1822" s="23"/>
      <c r="M1822" s="131"/>
      <c r="N1822" s="131"/>
      <c r="O1822" s="131"/>
    </row>
    <row r="1823" spans="4:15" x14ac:dyDescent="0.3">
      <c r="D1823" s="33"/>
      <c r="E1823" s="127"/>
      <c r="F1823" s="128"/>
      <c r="G1823" s="128"/>
      <c r="H1823" s="129"/>
      <c r="I1823" s="130"/>
      <c r="J1823" s="23"/>
      <c r="K1823" s="23"/>
      <c r="L1823" s="23"/>
      <c r="M1823" s="131"/>
      <c r="N1823" s="131"/>
      <c r="O1823" s="131"/>
    </row>
    <row r="1824" spans="4:15" x14ac:dyDescent="0.3">
      <c r="D1824" s="33"/>
      <c r="E1824" s="127"/>
      <c r="F1824" s="128"/>
      <c r="G1824" s="128"/>
      <c r="H1824" s="129"/>
      <c r="I1824" s="130"/>
      <c r="J1824" s="23"/>
      <c r="K1824" s="23"/>
      <c r="L1824" s="23"/>
      <c r="M1824" s="131"/>
      <c r="N1824" s="131"/>
      <c r="O1824" s="131"/>
    </row>
    <row r="1825" spans="4:15" x14ac:dyDescent="0.3">
      <c r="D1825" s="33"/>
      <c r="E1825" s="127"/>
      <c r="F1825" s="128"/>
      <c r="G1825" s="128"/>
      <c r="H1825" s="129"/>
      <c r="I1825" s="130"/>
      <c r="J1825" s="23"/>
      <c r="K1825" s="23"/>
      <c r="L1825" s="23"/>
      <c r="M1825" s="131"/>
      <c r="N1825" s="131"/>
      <c r="O1825" s="131"/>
    </row>
    <row r="1826" spans="4:15" x14ac:dyDescent="0.3">
      <c r="D1826" s="33"/>
      <c r="E1826" s="127"/>
      <c r="F1826" s="128"/>
      <c r="G1826" s="128"/>
      <c r="H1826" s="129"/>
      <c r="I1826" s="130"/>
      <c r="J1826" s="23"/>
      <c r="K1826" s="23"/>
      <c r="L1826" s="23"/>
      <c r="M1826" s="131"/>
      <c r="N1826" s="131"/>
      <c r="O1826" s="131"/>
    </row>
    <row r="1827" spans="4:15" x14ac:dyDescent="0.3">
      <c r="D1827" s="33"/>
      <c r="E1827" s="127"/>
      <c r="F1827" s="128"/>
      <c r="G1827" s="128"/>
      <c r="H1827" s="129"/>
      <c r="I1827" s="130"/>
      <c r="J1827" s="23"/>
      <c r="K1827" s="23"/>
      <c r="L1827" s="23"/>
      <c r="M1827" s="131"/>
      <c r="N1827" s="131"/>
      <c r="O1827" s="131"/>
    </row>
    <row r="1828" spans="4:15" x14ac:dyDescent="0.3">
      <c r="D1828" s="33"/>
      <c r="E1828" s="127"/>
      <c r="F1828" s="128"/>
      <c r="G1828" s="128"/>
      <c r="H1828" s="129"/>
      <c r="I1828" s="130"/>
      <c r="J1828" s="23"/>
      <c r="K1828" s="23"/>
      <c r="L1828" s="23"/>
      <c r="M1828" s="131"/>
      <c r="N1828" s="131"/>
      <c r="O1828" s="131"/>
    </row>
    <row r="1829" spans="4:15" x14ac:dyDescent="0.3">
      <c r="D1829" s="33"/>
      <c r="E1829" s="127"/>
      <c r="F1829" s="128"/>
      <c r="G1829" s="128"/>
      <c r="H1829" s="129"/>
      <c r="I1829" s="130"/>
      <c r="J1829" s="23"/>
      <c r="K1829" s="23"/>
      <c r="L1829" s="23"/>
      <c r="M1829" s="131"/>
      <c r="N1829" s="131"/>
      <c r="O1829" s="131"/>
    </row>
    <row r="1830" spans="4:15" x14ac:dyDescent="0.3">
      <c r="D1830" s="33"/>
      <c r="E1830" s="127"/>
      <c r="F1830" s="128"/>
      <c r="G1830" s="128"/>
      <c r="H1830" s="129"/>
      <c r="I1830" s="130"/>
      <c r="J1830" s="23"/>
      <c r="K1830" s="23"/>
      <c r="L1830" s="23"/>
      <c r="M1830" s="131"/>
      <c r="N1830" s="131"/>
      <c r="O1830" s="131"/>
    </row>
    <row r="1831" spans="4:15" x14ac:dyDescent="0.3">
      <c r="D1831" s="33"/>
      <c r="E1831" s="127"/>
      <c r="F1831" s="128"/>
      <c r="G1831" s="128"/>
      <c r="H1831" s="129"/>
      <c r="I1831" s="130"/>
      <c r="J1831" s="23"/>
      <c r="K1831" s="23"/>
      <c r="L1831" s="23"/>
      <c r="M1831" s="131"/>
      <c r="N1831" s="131"/>
      <c r="O1831" s="131"/>
    </row>
    <row r="1832" spans="4:15" x14ac:dyDescent="0.3">
      <c r="D1832" s="33"/>
      <c r="E1832" s="127"/>
      <c r="F1832" s="128"/>
      <c r="G1832" s="128"/>
      <c r="H1832" s="129"/>
      <c r="I1832" s="130"/>
      <c r="J1832" s="23"/>
      <c r="K1832" s="23"/>
      <c r="L1832" s="23"/>
      <c r="M1832" s="131"/>
      <c r="N1832" s="131"/>
      <c r="O1832" s="131"/>
    </row>
    <row r="1833" spans="4:15" x14ac:dyDescent="0.3">
      <c r="D1833" s="33"/>
      <c r="E1833" s="127"/>
      <c r="F1833" s="128"/>
      <c r="G1833" s="128"/>
      <c r="H1833" s="129"/>
      <c r="I1833" s="130"/>
      <c r="J1833" s="23"/>
      <c r="K1833" s="23"/>
      <c r="L1833" s="23"/>
      <c r="M1833" s="131"/>
      <c r="N1833" s="131"/>
      <c r="O1833" s="131"/>
    </row>
    <row r="1834" spans="4:15" x14ac:dyDescent="0.3">
      <c r="D1834" s="33"/>
      <c r="E1834" s="127"/>
      <c r="F1834" s="128"/>
      <c r="G1834" s="128"/>
      <c r="H1834" s="129"/>
      <c r="I1834" s="130"/>
      <c r="J1834" s="23"/>
      <c r="K1834" s="23"/>
      <c r="L1834" s="23"/>
      <c r="M1834" s="131"/>
      <c r="N1834" s="131"/>
      <c r="O1834" s="131"/>
    </row>
    <row r="1835" spans="4:15" x14ac:dyDescent="0.3">
      <c r="D1835" s="33"/>
      <c r="E1835" s="127"/>
      <c r="F1835" s="128"/>
      <c r="G1835" s="128"/>
      <c r="H1835" s="129"/>
      <c r="I1835" s="130"/>
      <c r="J1835" s="23"/>
      <c r="K1835" s="23"/>
      <c r="L1835" s="23"/>
      <c r="M1835" s="131"/>
      <c r="N1835" s="131"/>
      <c r="O1835" s="131"/>
    </row>
    <row r="1836" spans="4:15" x14ac:dyDescent="0.3">
      <c r="D1836" s="33"/>
      <c r="E1836" s="127"/>
      <c r="F1836" s="128"/>
      <c r="G1836" s="128"/>
      <c r="H1836" s="129"/>
      <c r="I1836" s="130"/>
      <c r="J1836" s="23"/>
      <c r="K1836" s="23"/>
      <c r="L1836" s="23"/>
      <c r="M1836" s="131"/>
      <c r="N1836" s="131"/>
      <c r="O1836" s="131"/>
    </row>
    <row r="1837" spans="4:15" x14ac:dyDescent="0.3">
      <c r="D1837" s="33"/>
      <c r="E1837" s="127"/>
      <c r="F1837" s="128"/>
      <c r="G1837" s="128"/>
      <c r="H1837" s="129"/>
      <c r="I1837" s="130"/>
      <c r="J1837" s="23"/>
      <c r="K1837" s="23"/>
      <c r="L1837" s="23"/>
      <c r="M1837" s="131"/>
      <c r="N1837" s="131"/>
      <c r="O1837" s="131"/>
    </row>
    <row r="1838" spans="4:15" x14ac:dyDescent="0.3">
      <c r="D1838" s="33"/>
      <c r="E1838" s="127"/>
      <c r="F1838" s="128"/>
      <c r="G1838" s="128"/>
      <c r="H1838" s="129"/>
      <c r="I1838" s="130"/>
      <c r="J1838" s="23"/>
      <c r="K1838" s="23"/>
      <c r="L1838" s="23"/>
      <c r="M1838" s="131"/>
      <c r="N1838" s="131"/>
      <c r="O1838" s="131"/>
    </row>
    <row r="1839" spans="4:15" x14ac:dyDescent="0.3">
      <c r="D1839" s="33"/>
      <c r="E1839" s="127"/>
      <c r="F1839" s="128"/>
      <c r="G1839" s="128"/>
      <c r="H1839" s="129"/>
      <c r="I1839" s="130"/>
      <c r="J1839" s="23"/>
      <c r="K1839" s="23"/>
      <c r="L1839" s="23"/>
      <c r="M1839" s="131"/>
      <c r="N1839" s="131"/>
      <c r="O1839" s="131"/>
    </row>
    <row r="1840" spans="4:15" x14ac:dyDescent="0.3">
      <c r="D1840" s="33"/>
      <c r="E1840" s="127"/>
      <c r="F1840" s="128"/>
      <c r="G1840" s="128"/>
      <c r="H1840" s="129"/>
      <c r="I1840" s="130"/>
      <c r="J1840" s="23"/>
      <c r="K1840" s="23"/>
      <c r="L1840" s="23"/>
      <c r="M1840" s="131"/>
      <c r="N1840" s="131"/>
      <c r="O1840" s="131"/>
    </row>
    <row r="1841" spans="4:15" x14ac:dyDescent="0.3">
      <c r="D1841" s="33"/>
      <c r="E1841" s="127"/>
      <c r="F1841" s="128"/>
      <c r="G1841" s="128"/>
      <c r="H1841" s="129"/>
      <c r="I1841" s="130"/>
      <c r="J1841" s="23"/>
      <c r="K1841" s="23"/>
      <c r="L1841" s="23"/>
      <c r="M1841" s="131"/>
      <c r="N1841" s="131"/>
      <c r="O1841" s="131"/>
    </row>
    <row r="1842" spans="4:15" x14ac:dyDescent="0.3">
      <c r="D1842" s="33"/>
      <c r="E1842" s="127"/>
      <c r="F1842" s="128"/>
      <c r="G1842" s="128"/>
      <c r="H1842" s="129"/>
      <c r="I1842" s="130"/>
      <c r="J1842" s="23"/>
      <c r="K1842" s="23"/>
      <c r="L1842" s="23"/>
      <c r="M1842" s="131"/>
      <c r="N1842" s="131"/>
      <c r="O1842" s="131"/>
    </row>
    <row r="1843" spans="4:15" x14ac:dyDescent="0.3">
      <c r="D1843" s="33"/>
      <c r="E1843" s="127"/>
      <c r="F1843" s="128"/>
      <c r="G1843" s="128"/>
      <c r="H1843" s="129"/>
      <c r="I1843" s="130"/>
      <c r="J1843" s="23"/>
      <c r="K1843" s="23"/>
      <c r="L1843" s="23"/>
      <c r="M1843" s="131"/>
      <c r="N1843" s="131"/>
      <c r="O1843" s="131"/>
    </row>
    <row r="1844" spans="4:15" x14ac:dyDescent="0.3">
      <c r="D1844" s="33"/>
      <c r="E1844" s="127"/>
      <c r="F1844" s="128"/>
      <c r="G1844" s="128"/>
      <c r="H1844" s="129"/>
      <c r="I1844" s="130"/>
      <c r="J1844" s="23"/>
      <c r="K1844" s="23"/>
      <c r="L1844" s="23"/>
      <c r="M1844" s="131"/>
      <c r="N1844" s="131"/>
      <c r="O1844" s="131"/>
    </row>
    <row r="1845" spans="4:15" x14ac:dyDescent="0.3">
      <c r="D1845" s="33"/>
      <c r="E1845" s="127"/>
      <c r="F1845" s="128"/>
      <c r="G1845" s="128"/>
      <c r="H1845" s="129"/>
      <c r="I1845" s="130"/>
      <c r="J1845" s="23"/>
      <c r="K1845" s="23"/>
      <c r="L1845" s="23"/>
      <c r="M1845" s="131"/>
      <c r="N1845" s="131"/>
      <c r="O1845" s="131"/>
    </row>
    <row r="1846" spans="4:15" x14ac:dyDescent="0.3">
      <c r="D1846" s="33"/>
      <c r="E1846" s="127"/>
      <c r="F1846" s="128"/>
      <c r="G1846" s="128"/>
      <c r="H1846" s="129"/>
      <c r="I1846" s="130"/>
      <c r="J1846" s="23"/>
      <c r="K1846" s="23"/>
      <c r="L1846" s="23"/>
      <c r="M1846" s="131"/>
      <c r="N1846" s="131"/>
      <c r="O1846" s="131"/>
    </row>
    <row r="1847" spans="4:15" x14ac:dyDescent="0.3">
      <c r="D1847" s="33"/>
      <c r="E1847" s="127"/>
      <c r="F1847" s="128"/>
      <c r="G1847" s="128"/>
      <c r="H1847" s="129"/>
      <c r="I1847" s="130"/>
      <c r="J1847" s="23"/>
      <c r="K1847" s="23"/>
      <c r="L1847" s="23"/>
      <c r="M1847" s="131"/>
      <c r="N1847" s="131"/>
      <c r="O1847" s="131"/>
    </row>
    <row r="1848" spans="4:15" x14ac:dyDescent="0.3">
      <c r="D1848" s="33"/>
      <c r="E1848" s="127"/>
      <c r="F1848" s="128"/>
      <c r="G1848" s="128"/>
      <c r="H1848" s="129"/>
      <c r="I1848" s="130"/>
      <c r="J1848" s="23"/>
      <c r="K1848" s="23"/>
      <c r="L1848" s="23"/>
      <c r="M1848" s="131"/>
      <c r="N1848" s="131"/>
      <c r="O1848" s="131"/>
    </row>
    <row r="1849" spans="4:15" x14ac:dyDescent="0.3">
      <c r="D1849" s="33"/>
      <c r="E1849" s="127"/>
      <c r="F1849" s="128"/>
      <c r="G1849" s="128"/>
      <c r="H1849" s="129"/>
      <c r="I1849" s="130"/>
      <c r="J1849" s="23"/>
      <c r="K1849" s="23"/>
      <c r="L1849" s="23"/>
      <c r="M1849" s="131"/>
      <c r="N1849" s="131"/>
      <c r="O1849" s="131"/>
    </row>
    <row r="1850" spans="4:15" x14ac:dyDescent="0.3">
      <c r="D1850" s="33"/>
      <c r="E1850" s="127"/>
      <c r="F1850" s="128"/>
      <c r="G1850" s="128"/>
      <c r="H1850" s="129"/>
      <c r="I1850" s="130"/>
      <c r="J1850" s="23"/>
      <c r="K1850" s="23"/>
      <c r="L1850" s="23"/>
      <c r="M1850" s="131"/>
      <c r="N1850" s="131"/>
      <c r="O1850" s="131"/>
    </row>
    <row r="1851" spans="4:15" x14ac:dyDescent="0.3">
      <c r="D1851" s="33"/>
      <c r="E1851" s="127"/>
      <c r="F1851" s="128"/>
      <c r="G1851" s="128"/>
      <c r="H1851" s="129"/>
      <c r="I1851" s="130"/>
      <c r="J1851" s="23"/>
      <c r="K1851" s="23"/>
      <c r="L1851" s="23"/>
      <c r="M1851" s="131"/>
      <c r="N1851" s="131"/>
      <c r="O1851" s="131"/>
    </row>
    <row r="1852" spans="4:15" x14ac:dyDescent="0.3">
      <c r="D1852" s="33"/>
      <c r="E1852" s="127"/>
      <c r="F1852" s="128"/>
      <c r="G1852" s="128"/>
      <c r="H1852" s="129"/>
      <c r="I1852" s="130"/>
      <c r="J1852" s="23"/>
      <c r="K1852" s="23"/>
      <c r="L1852" s="23"/>
      <c r="M1852" s="131"/>
      <c r="N1852" s="131"/>
      <c r="O1852" s="131"/>
    </row>
    <row r="1853" spans="4:15" x14ac:dyDescent="0.3">
      <c r="D1853" s="33"/>
      <c r="E1853" s="127"/>
      <c r="F1853" s="128"/>
      <c r="G1853" s="128"/>
      <c r="H1853" s="129"/>
      <c r="I1853" s="130"/>
      <c r="J1853" s="23"/>
      <c r="K1853" s="23"/>
      <c r="L1853" s="23"/>
      <c r="M1853" s="131"/>
      <c r="N1853" s="131"/>
      <c r="O1853" s="131"/>
    </row>
    <row r="1854" spans="4:15" x14ac:dyDescent="0.3">
      <c r="D1854" s="33"/>
      <c r="E1854" s="127"/>
      <c r="F1854" s="128"/>
      <c r="G1854" s="128"/>
      <c r="H1854" s="129"/>
      <c r="I1854" s="130"/>
      <c r="J1854" s="23"/>
      <c r="K1854" s="23"/>
      <c r="L1854" s="23"/>
      <c r="M1854" s="131"/>
      <c r="N1854" s="131"/>
      <c r="O1854" s="131"/>
    </row>
    <row r="1855" spans="4:15" x14ac:dyDescent="0.3">
      <c r="D1855" s="33"/>
      <c r="E1855" s="127"/>
      <c r="F1855" s="128"/>
      <c r="G1855" s="128"/>
      <c r="H1855" s="129"/>
      <c r="I1855" s="130"/>
      <c r="J1855" s="23"/>
      <c r="K1855" s="23"/>
      <c r="L1855" s="23"/>
      <c r="M1855" s="131"/>
      <c r="N1855" s="131"/>
      <c r="O1855" s="131"/>
    </row>
    <row r="1856" spans="4:15" x14ac:dyDescent="0.3">
      <c r="D1856" s="33"/>
      <c r="E1856" s="127"/>
      <c r="F1856" s="128"/>
      <c r="G1856" s="128"/>
      <c r="H1856" s="129"/>
      <c r="I1856" s="130"/>
      <c r="J1856" s="23"/>
      <c r="K1856" s="23"/>
      <c r="L1856" s="23"/>
      <c r="M1856" s="131"/>
      <c r="N1856" s="131"/>
      <c r="O1856" s="131"/>
    </row>
    <row r="1857" spans="4:15" x14ac:dyDescent="0.3">
      <c r="D1857" s="33"/>
      <c r="E1857" s="127"/>
      <c r="F1857" s="128"/>
      <c r="G1857" s="128"/>
      <c r="H1857" s="129"/>
      <c r="I1857" s="130"/>
      <c r="J1857" s="23"/>
      <c r="K1857" s="23"/>
      <c r="L1857" s="23"/>
      <c r="M1857" s="131"/>
      <c r="N1857" s="131"/>
      <c r="O1857" s="131"/>
    </row>
    <row r="1858" spans="4:15" x14ac:dyDescent="0.3">
      <c r="D1858" s="33"/>
      <c r="E1858" s="127"/>
      <c r="F1858" s="128"/>
      <c r="G1858" s="128"/>
      <c r="H1858" s="129"/>
      <c r="I1858" s="130"/>
      <c r="J1858" s="23"/>
      <c r="K1858" s="23"/>
      <c r="L1858" s="23"/>
      <c r="M1858" s="131"/>
      <c r="N1858" s="131"/>
      <c r="O1858" s="131"/>
    </row>
    <row r="1859" spans="4:15" x14ac:dyDescent="0.3">
      <c r="D1859" s="33"/>
      <c r="E1859" s="127"/>
      <c r="F1859" s="128"/>
      <c r="G1859" s="128"/>
      <c r="H1859" s="129"/>
      <c r="I1859" s="130"/>
      <c r="J1859" s="23"/>
      <c r="K1859" s="23"/>
      <c r="L1859" s="23"/>
      <c r="M1859" s="131"/>
      <c r="N1859" s="131"/>
      <c r="O1859" s="131"/>
    </row>
    <row r="1860" spans="4:15" x14ac:dyDescent="0.3">
      <c r="D1860" s="33"/>
      <c r="E1860" s="127"/>
      <c r="F1860" s="128"/>
      <c r="G1860" s="128"/>
      <c r="H1860" s="129"/>
      <c r="I1860" s="130"/>
      <c r="J1860" s="23"/>
      <c r="K1860" s="23"/>
      <c r="L1860" s="23"/>
      <c r="M1860" s="131"/>
      <c r="N1860" s="131"/>
      <c r="O1860" s="131"/>
    </row>
    <row r="1861" spans="4:15" x14ac:dyDescent="0.3">
      <c r="D1861" s="33"/>
      <c r="E1861" s="127"/>
      <c r="F1861" s="128"/>
      <c r="G1861" s="128"/>
      <c r="H1861" s="129"/>
      <c r="I1861" s="130"/>
      <c r="J1861" s="23"/>
      <c r="K1861" s="23"/>
      <c r="L1861" s="23"/>
      <c r="M1861" s="131"/>
      <c r="N1861" s="131"/>
      <c r="O1861" s="131"/>
    </row>
    <row r="1862" spans="4:15" x14ac:dyDescent="0.3">
      <c r="D1862" s="33"/>
      <c r="E1862" s="127"/>
      <c r="F1862" s="128"/>
      <c r="G1862" s="128"/>
      <c r="H1862" s="129"/>
      <c r="I1862" s="130"/>
      <c r="J1862" s="23"/>
      <c r="K1862" s="23"/>
      <c r="L1862" s="23"/>
      <c r="M1862" s="131"/>
      <c r="N1862" s="131"/>
      <c r="O1862" s="131"/>
    </row>
    <row r="1863" spans="4:15" x14ac:dyDescent="0.3">
      <c r="D1863" s="33"/>
      <c r="E1863" s="127"/>
      <c r="F1863" s="128"/>
      <c r="G1863" s="128"/>
      <c r="H1863" s="129"/>
      <c r="I1863" s="130"/>
      <c r="J1863" s="23"/>
      <c r="K1863" s="23"/>
      <c r="L1863" s="23"/>
      <c r="M1863" s="131"/>
      <c r="N1863" s="131"/>
      <c r="O1863" s="131"/>
    </row>
    <row r="1864" spans="4:15" x14ac:dyDescent="0.3">
      <c r="D1864" s="33"/>
      <c r="E1864" s="127"/>
      <c r="F1864" s="128"/>
      <c r="G1864" s="128"/>
      <c r="H1864" s="129"/>
      <c r="I1864" s="130"/>
      <c r="J1864" s="23"/>
      <c r="K1864" s="23"/>
      <c r="L1864" s="23"/>
      <c r="M1864" s="131"/>
      <c r="N1864" s="131"/>
      <c r="O1864" s="131"/>
    </row>
    <row r="1865" spans="4:15" x14ac:dyDescent="0.3">
      <c r="D1865" s="33"/>
      <c r="E1865" s="127"/>
      <c r="F1865" s="128"/>
      <c r="G1865" s="128"/>
      <c r="H1865" s="129"/>
      <c r="I1865" s="130"/>
      <c r="J1865" s="23"/>
      <c r="K1865" s="23"/>
      <c r="L1865" s="23"/>
      <c r="M1865" s="131"/>
      <c r="N1865" s="131"/>
      <c r="O1865" s="131"/>
    </row>
    <row r="1866" spans="4:15" x14ac:dyDescent="0.3">
      <c r="D1866" s="33"/>
      <c r="E1866" s="127"/>
      <c r="F1866" s="128"/>
      <c r="G1866" s="128"/>
      <c r="H1866" s="129"/>
      <c r="I1866" s="130"/>
      <c r="J1866" s="23"/>
      <c r="K1866" s="23"/>
      <c r="L1866" s="23"/>
      <c r="M1866" s="131"/>
      <c r="N1866" s="131"/>
      <c r="O1866" s="131"/>
    </row>
    <row r="1867" spans="4:15" x14ac:dyDescent="0.3">
      <c r="D1867" s="33"/>
      <c r="E1867" s="127"/>
      <c r="F1867" s="128"/>
      <c r="G1867" s="128"/>
      <c r="H1867" s="129"/>
      <c r="I1867" s="130"/>
      <c r="J1867" s="23"/>
      <c r="K1867" s="23"/>
      <c r="L1867" s="23"/>
      <c r="M1867" s="131"/>
      <c r="N1867" s="131"/>
      <c r="O1867" s="131"/>
    </row>
    <row r="1868" spans="4:15" x14ac:dyDescent="0.3">
      <c r="D1868" s="33"/>
      <c r="E1868" s="127"/>
      <c r="F1868" s="128"/>
      <c r="G1868" s="128"/>
      <c r="H1868" s="129"/>
      <c r="I1868" s="130"/>
      <c r="J1868" s="23"/>
      <c r="K1868" s="23"/>
      <c r="L1868" s="23"/>
      <c r="M1868" s="131"/>
      <c r="N1868" s="131"/>
      <c r="O1868" s="131"/>
    </row>
    <row r="1869" spans="4:15" x14ac:dyDescent="0.3">
      <c r="D1869" s="33"/>
      <c r="E1869" s="127"/>
      <c r="F1869" s="128"/>
      <c r="G1869" s="128"/>
      <c r="H1869" s="129"/>
      <c r="I1869" s="130"/>
      <c r="J1869" s="23"/>
      <c r="K1869" s="23"/>
      <c r="L1869" s="23"/>
      <c r="M1869" s="131"/>
      <c r="N1869" s="131"/>
      <c r="O1869" s="131"/>
    </row>
    <row r="1870" spans="4:15" x14ac:dyDescent="0.3">
      <c r="D1870" s="33"/>
      <c r="E1870" s="127"/>
      <c r="F1870" s="128"/>
      <c r="G1870" s="128"/>
      <c r="H1870" s="129"/>
      <c r="I1870" s="130"/>
      <c r="J1870" s="23"/>
      <c r="K1870" s="23"/>
      <c r="L1870" s="23"/>
      <c r="M1870" s="131"/>
      <c r="N1870" s="131"/>
      <c r="O1870" s="131"/>
    </row>
    <row r="1871" spans="4:15" x14ac:dyDescent="0.3">
      <c r="D1871" s="33"/>
      <c r="E1871" s="127"/>
      <c r="F1871" s="128"/>
      <c r="G1871" s="128"/>
      <c r="H1871" s="129"/>
      <c r="I1871" s="130"/>
      <c r="J1871" s="23"/>
      <c r="K1871" s="23"/>
      <c r="L1871" s="23"/>
      <c r="M1871" s="131"/>
      <c r="N1871" s="131"/>
      <c r="O1871" s="131"/>
    </row>
    <row r="1872" spans="4:15" x14ac:dyDescent="0.3">
      <c r="D1872" s="33"/>
      <c r="E1872" s="127"/>
      <c r="F1872" s="128"/>
      <c r="G1872" s="128"/>
      <c r="H1872" s="129"/>
      <c r="I1872" s="130"/>
      <c r="J1872" s="23"/>
      <c r="K1872" s="23"/>
      <c r="L1872" s="23"/>
      <c r="M1872" s="131"/>
      <c r="N1872" s="131"/>
      <c r="O1872" s="131"/>
    </row>
    <row r="1873" spans="4:15" x14ac:dyDescent="0.3">
      <c r="D1873" s="33"/>
      <c r="E1873" s="127"/>
      <c r="F1873" s="128"/>
      <c r="G1873" s="128"/>
      <c r="H1873" s="129"/>
      <c r="I1873" s="130"/>
      <c r="J1873" s="23"/>
      <c r="K1873" s="23"/>
      <c r="L1873" s="23"/>
      <c r="M1873" s="131"/>
      <c r="N1873" s="131"/>
      <c r="O1873" s="131"/>
    </row>
    <row r="1874" spans="4:15" x14ac:dyDescent="0.3">
      <c r="D1874" s="33"/>
      <c r="E1874" s="127"/>
      <c r="F1874" s="128"/>
      <c r="G1874" s="128"/>
      <c r="H1874" s="129"/>
      <c r="I1874" s="130"/>
      <c r="J1874" s="23"/>
      <c r="K1874" s="23"/>
      <c r="L1874" s="23"/>
      <c r="M1874" s="131"/>
      <c r="N1874" s="131"/>
      <c r="O1874" s="131"/>
    </row>
    <row r="1875" spans="4:15" x14ac:dyDescent="0.3">
      <c r="D1875" s="33"/>
      <c r="E1875" s="127"/>
      <c r="F1875" s="128"/>
      <c r="G1875" s="128"/>
      <c r="H1875" s="129"/>
      <c r="I1875" s="130"/>
      <c r="J1875" s="23"/>
      <c r="K1875" s="23"/>
      <c r="L1875" s="23"/>
      <c r="M1875" s="131"/>
      <c r="N1875" s="131"/>
      <c r="O1875" s="131"/>
    </row>
    <row r="1876" spans="4:15" x14ac:dyDescent="0.3">
      <c r="D1876" s="33"/>
      <c r="E1876" s="127"/>
      <c r="F1876" s="128"/>
      <c r="G1876" s="128"/>
      <c r="H1876" s="129"/>
      <c r="I1876" s="130"/>
      <c r="J1876" s="23"/>
      <c r="K1876" s="23"/>
      <c r="L1876" s="23"/>
      <c r="M1876" s="131"/>
      <c r="N1876" s="131"/>
      <c r="O1876" s="131"/>
    </row>
    <row r="1877" spans="4:15" x14ac:dyDescent="0.3">
      <c r="D1877" s="33"/>
      <c r="E1877" s="127"/>
      <c r="F1877" s="128"/>
      <c r="G1877" s="128"/>
      <c r="H1877" s="129"/>
      <c r="I1877" s="130"/>
      <c r="J1877" s="23"/>
      <c r="K1877" s="23"/>
      <c r="L1877" s="23"/>
      <c r="M1877" s="131"/>
      <c r="N1877" s="131"/>
      <c r="O1877" s="131"/>
    </row>
    <row r="1878" spans="4:15" x14ac:dyDescent="0.3">
      <c r="D1878" s="33"/>
      <c r="E1878" s="127"/>
      <c r="F1878" s="128"/>
      <c r="G1878" s="128"/>
      <c r="H1878" s="129"/>
      <c r="I1878" s="130"/>
      <c r="J1878" s="23"/>
      <c r="K1878" s="23"/>
      <c r="L1878" s="23"/>
      <c r="M1878" s="131"/>
      <c r="N1878" s="131"/>
      <c r="O1878" s="131"/>
    </row>
    <row r="1879" spans="4:15" x14ac:dyDescent="0.3">
      <c r="D1879" s="33"/>
      <c r="E1879" s="127"/>
      <c r="F1879" s="128"/>
      <c r="G1879" s="128"/>
      <c r="H1879" s="129"/>
      <c r="I1879" s="130"/>
      <c r="J1879" s="23"/>
      <c r="K1879" s="23"/>
      <c r="L1879" s="23"/>
      <c r="M1879" s="131"/>
      <c r="N1879" s="131"/>
      <c r="O1879" s="131"/>
    </row>
    <row r="1880" spans="4:15" x14ac:dyDescent="0.3">
      <c r="D1880" s="33"/>
      <c r="E1880" s="127"/>
      <c r="F1880" s="128"/>
      <c r="G1880" s="128"/>
      <c r="H1880" s="129"/>
      <c r="I1880" s="130"/>
      <c r="J1880" s="23"/>
      <c r="K1880" s="23"/>
      <c r="L1880" s="23"/>
      <c r="M1880" s="131"/>
      <c r="N1880" s="131"/>
      <c r="O1880" s="131"/>
    </row>
    <row r="1881" spans="4:15" x14ac:dyDescent="0.3">
      <c r="D1881" s="33"/>
      <c r="E1881" s="127"/>
      <c r="F1881" s="128"/>
      <c r="G1881" s="128"/>
      <c r="H1881" s="129"/>
      <c r="I1881" s="130"/>
      <c r="J1881" s="23"/>
      <c r="K1881" s="23"/>
      <c r="L1881" s="23"/>
      <c r="M1881" s="131"/>
      <c r="N1881" s="131"/>
      <c r="O1881" s="131"/>
    </row>
    <row r="1882" spans="4:15" x14ac:dyDescent="0.3">
      <c r="D1882" s="33"/>
      <c r="E1882" s="127"/>
      <c r="F1882" s="128"/>
      <c r="G1882" s="128"/>
      <c r="H1882" s="129"/>
      <c r="I1882" s="130"/>
      <c r="J1882" s="23"/>
      <c r="K1882" s="23"/>
      <c r="L1882" s="23"/>
      <c r="M1882" s="131"/>
      <c r="N1882" s="131"/>
      <c r="O1882" s="131"/>
    </row>
    <row r="1883" spans="4:15" x14ac:dyDescent="0.3">
      <c r="D1883" s="33"/>
      <c r="E1883" s="127"/>
      <c r="F1883" s="128"/>
      <c r="G1883" s="128"/>
      <c r="H1883" s="129"/>
      <c r="I1883" s="130"/>
      <c r="J1883" s="23"/>
      <c r="K1883" s="23"/>
      <c r="L1883" s="23"/>
      <c r="M1883" s="131"/>
      <c r="N1883" s="131"/>
      <c r="O1883" s="131"/>
    </row>
    <row r="1884" spans="4:15" x14ac:dyDescent="0.3">
      <c r="D1884" s="33"/>
      <c r="E1884" s="127"/>
      <c r="F1884" s="128"/>
      <c r="G1884" s="128"/>
      <c r="H1884" s="129"/>
      <c r="I1884" s="130"/>
      <c r="J1884" s="23"/>
      <c r="K1884" s="23"/>
      <c r="L1884" s="23"/>
      <c r="M1884" s="131"/>
      <c r="N1884" s="131"/>
      <c r="O1884" s="131"/>
    </row>
    <row r="1885" spans="4:15" x14ac:dyDescent="0.3">
      <c r="D1885" s="33"/>
      <c r="E1885" s="127"/>
      <c r="F1885" s="128"/>
      <c r="G1885" s="128"/>
      <c r="H1885" s="129"/>
      <c r="I1885" s="130"/>
      <c r="J1885" s="23"/>
      <c r="K1885" s="23"/>
      <c r="L1885" s="23"/>
      <c r="M1885" s="131"/>
      <c r="N1885" s="131"/>
      <c r="O1885" s="131"/>
    </row>
    <row r="1886" spans="4:15" x14ac:dyDescent="0.3">
      <c r="D1886" s="33"/>
      <c r="E1886" s="127"/>
      <c r="F1886" s="128"/>
      <c r="G1886" s="128"/>
      <c r="H1886" s="129"/>
      <c r="I1886" s="130"/>
      <c r="J1886" s="23"/>
      <c r="K1886" s="23"/>
      <c r="L1886" s="23"/>
      <c r="M1886" s="131"/>
      <c r="N1886" s="131"/>
      <c r="O1886" s="131"/>
    </row>
    <row r="1887" spans="4:15" x14ac:dyDescent="0.3">
      <c r="D1887" s="33"/>
      <c r="E1887" s="127"/>
      <c r="F1887" s="128"/>
      <c r="G1887" s="128"/>
      <c r="H1887" s="129"/>
      <c r="I1887" s="130"/>
      <c r="J1887" s="23"/>
      <c r="K1887" s="23"/>
      <c r="L1887" s="23"/>
      <c r="M1887" s="131"/>
      <c r="N1887" s="131"/>
      <c r="O1887" s="131"/>
    </row>
    <row r="1888" spans="4:15" x14ac:dyDescent="0.3">
      <c r="D1888" s="33"/>
      <c r="E1888" s="127"/>
      <c r="F1888" s="128"/>
      <c r="G1888" s="128"/>
      <c r="H1888" s="129"/>
      <c r="I1888" s="130"/>
      <c r="J1888" s="23"/>
      <c r="K1888" s="23"/>
      <c r="L1888" s="23"/>
      <c r="M1888" s="131"/>
      <c r="N1888" s="131"/>
      <c r="O1888" s="131"/>
    </row>
    <row r="1889" spans="4:15" x14ac:dyDescent="0.3">
      <c r="D1889" s="33"/>
      <c r="E1889" s="127"/>
      <c r="F1889" s="128"/>
      <c r="G1889" s="128"/>
      <c r="H1889" s="129"/>
      <c r="I1889" s="130"/>
      <c r="J1889" s="23"/>
      <c r="K1889" s="23"/>
      <c r="L1889" s="23"/>
      <c r="M1889" s="131"/>
      <c r="N1889" s="131"/>
      <c r="O1889" s="131"/>
    </row>
    <row r="1890" spans="4:15" x14ac:dyDescent="0.3">
      <c r="D1890" s="33"/>
      <c r="E1890" s="127"/>
      <c r="F1890" s="128"/>
      <c r="G1890" s="128"/>
      <c r="H1890" s="129"/>
      <c r="I1890" s="130"/>
      <c r="J1890" s="23"/>
      <c r="K1890" s="23"/>
      <c r="L1890" s="23"/>
      <c r="M1890" s="131"/>
      <c r="N1890" s="131"/>
      <c r="O1890" s="131"/>
    </row>
    <row r="1891" spans="4:15" x14ac:dyDescent="0.3">
      <c r="D1891" s="33"/>
      <c r="E1891" s="127"/>
      <c r="F1891" s="128"/>
      <c r="G1891" s="128"/>
      <c r="H1891" s="129"/>
      <c r="I1891" s="130"/>
      <c r="J1891" s="23"/>
      <c r="K1891" s="23"/>
      <c r="L1891" s="23"/>
      <c r="M1891" s="131"/>
      <c r="N1891" s="131"/>
      <c r="O1891" s="131"/>
    </row>
    <row r="1892" spans="4:15" x14ac:dyDescent="0.3">
      <c r="D1892" s="33"/>
      <c r="E1892" s="127"/>
      <c r="F1892" s="128"/>
      <c r="G1892" s="128"/>
      <c r="H1892" s="129"/>
      <c r="I1892" s="130"/>
      <c r="J1892" s="23"/>
      <c r="K1892" s="23"/>
      <c r="L1892" s="23"/>
      <c r="M1892" s="131"/>
      <c r="N1892" s="131"/>
      <c r="O1892" s="131"/>
    </row>
    <row r="1893" spans="4:15" x14ac:dyDescent="0.3">
      <c r="D1893" s="33"/>
      <c r="E1893" s="127"/>
      <c r="F1893" s="128"/>
      <c r="G1893" s="128"/>
      <c r="H1893" s="129"/>
      <c r="I1893" s="130"/>
      <c r="J1893" s="23"/>
      <c r="K1893" s="23"/>
      <c r="L1893" s="23"/>
      <c r="M1893" s="131"/>
      <c r="N1893" s="131"/>
      <c r="O1893" s="131"/>
    </row>
    <row r="1894" spans="4:15" x14ac:dyDescent="0.3">
      <c r="D1894" s="33"/>
      <c r="E1894" s="127"/>
      <c r="F1894" s="128"/>
      <c r="G1894" s="128"/>
      <c r="H1894" s="129"/>
      <c r="I1894" s="130"/>
      <c r="J1894" s="23"/>
      <c r="K1894" s="23"/>
      <c r="L1894" s="23"/>
      <c r="M1894" s="131"/>
      <c r="N1894" s="131"/>
      <c r="O1894" s="131"/>
    </row>
    <row r="1895" spans="4:15" x14ac:dyDescent="0.3">
      <c r="D1895" s="33"/>
      <c r="E1895" s="127"/>
      <c r="F1895" s="128"/>
      <c r="G1895" s="128"/>
      <c r="H1895" s="129"/>
      <c r="I1895" s="130"/>
      <c r="J1895" s="23"/>
      <c r="K1895" s="23"/>
      <c r="L1895" s="23"/>
      <c r="M1895" s="131"/>
      <c r="N1895" s="131"/>
      <c r="O1895" s="131"/>
    </row>
    <row r="1896" spans="4:15" x14ac:dyDescent="0.3">
      <c r="D1896" s="33"/>
      <c r="E1896" s="127"/>
      <c r="F1896" s="128"/>
      <c r="G1896" s="128"/>
      <c r="H1896" s="129"/>
      <c r="I1896" s="130"/>
      <c r="J1896" s="23"/>
      <c r="K1896" s="23"/>
      <c r="L1896" s="23"/>
      <c r="M1896" s="131"/>
      <c r="N1896" s="131"/>
      <c r="O1896" s="131"/>
    </row>
    <row r="1897" spans="4:15" x14ac:dyDescent="0.3">
      <c r="D1897" s="33"/>
      <c r="E1897" s="127"/>
      <c r="F1897" s="128"/>
      <c r="G1897" s="128"/>
      <c r="H1897" s="129"/>
      <c r="I1897" s="130"/>
      <c r="J1897" s="23"/>
      <c r="K1897" s="23"/>
      <c r="L1897" s="23"/>
      <c r="M1897" s="131"/>
      <c r="N1897" s="131"/>
      <c r="O1897" s="131"/>
    </row>
    <row r="1898" spans="4:15" x14ac:dyDescent="0.3">
      <c r="D1898" s="33"/>
      <c r="E1898" s="127"/>
      <c r="F1898" s="128"/>
      <c r="G1898" s="128"/>
      <c r="H1898" s="129"/>
      <c r="I1898" s="130"/>
      <c r="J1898" s="23"/>
      <c r="K1898" s="23"/>
      <c r="L1898" s="23"/>
      <c r="M1898" s="131"/>
      <c r="N1898" s="131"/>
      <c r="O1898" s="131"/>
    </row>
    <row r="1899" spans="4:15" x14ac:dyDescent="0.3">
      <c r="D1899" s="33"/>
      <c r="E1899" s="127"/>
      <c r="F1899" s="128"/>
      <c r="G1899" s="128"/>
      <c r="H1899" s="129"/>
      <c r="I1899" s="130"/>
      <c r="J1899" s="23"/>
      <c r="K1899" s="23"/>
      <c r="L1899" s="23"/>
      <c r="M1899" s="131"/>
      <c r="N1899" s="131"/>
      <c r="O1899" s="131"/>
    </row>
    <row r="1900" spans="4:15" x14ac:dyDescent="0.3">
      <c r="D1900" s="33"/>
      <c r="E1900" s="127"/>
      <c r="F1900" s="128"/>
      <c r="G1900" s="128"/>
      <c r="H1900" s="129"/>
      <c r="I1900" s="130"/>
      <c r="J1900" s="23"/>
      <c r="K1900" s="23"/>
      <c r="L1900" s="23"/>
      <c r="M1900" s="131"/>
      <c r="N1900" s="131"/>
      <c r="O1900" s="131"/>
    </row>
    <row r="1901" spans="4:15" x14ac:dyDescent="0.3">
      <c r="D1901" s="33"/>
      <c r="E1901" s="127"/>
      <c r="F1901" s="128"/>
      <c r="G1901" s="128"/>
      <c r="H1901" s="129"/>
      <c r="I1901" s="130"/>
      <c r="J1901" s="23"/>
      <c r="K1901" s="23"/>
      <c r="L1901" s="23"/>
      <c r="M1901" s="131"/>
      <c r="N1901" s="131"/>
      <c r="O1901" s="131"/>
    </row>
    <row r="1902" spans="4:15" x14ac:dyDescent="0.3">
      <c r="D1902" s="33"/>
      <c r="E1902" s="127"/>
      <c r="F1902" s="128"/>
      <c r="G1902" s="128"/>
      <c r="H1902" s="129"/>
      <c r="I1902" s="130"/>
      <c r="J1902" s="23"/>
      <c r="K1902" s="23"/>
      <c r="L1902" s="23"/>
      <c r="M1902" s="131"/>
      <c r="N1902" s="131"/>
      <c r="O1902" s="131"/>
    </row>
    <row r="1903" spans="4:15" x14ac:dyDescent="0.3">
      <c r="D1903" s="33"/>
      <c r="E1903" s="127"/>
      <c r="F1903" s="128"/>
      <c r="G1903" s="128"/>
      <c r="H1903" s="129"/>
      <c r="I1903" s="130"/>
      <c r="J1903" s="23"/>
      <c r="K1903" s="23"/>
      <c r="L1903" s="23"/>
      <c r="M1903" s="131"/>
      <c r="N1903" s="131"/>
      <c r="O1903" s="131"/>
    </row>
    <row r="1904" spans="4:15" x14ac:dyDescent="0.3">
      <c r="D1904" s="33"/>
      <c r="E1904" s="127"/>
      <c r="F1904" s="128"/>
      <c r="G1904" s="128"/>
      <c r="H1904" s="129"/>
      <c r="I1904" s="130"/>
      <c r="J1904" s="23"/>
      <c r="K1904" s="23"/>
      <c r="L1904" s="23"/>
      <c r="M1904" s="131"/>
      <c r="N1904" s="131"/>
      <c r="O1904" s="131"/>
    </row>
    <row r="1905" spans="4:15" x14ac:dyDescent="0.3">
      <c r="D1905" s="33"/>
      <c r="E1905" s="127"/>
      <c r="F1905" s="128"/>
      <c r="G1905" s="128"/>
      <c r="H1905" s="129"/>
      <c r="I1905" s="130"/>
      <c r="J1905" s="23"/>
      <c r="K1905" s="23"/>
      <c r="L1905" s="23"/>
      <c r="M1905" s="131"/>
      <c r="N1905" s="131"/>
      <c r="O1905" s="131"/>
    </row>
    <row r="1906" spans="4:15" x14ac:dyDescent="0.3">
      <c r="D1906" s="33"/>
      <c r="E1906" s="127"/>
      <c r="F1906" s="128"/>
      <c r="G1906" s="128"/>
      <c r="H1906" s="129"/>
      <c r="I1906" s="130"/>
      <c r="J1906" s="23"/>
      <c r="K1906" s="23"/>
      <c r="L1906" s="23"/>
      <c r="M1906" s="131"/>
      <c r="N1906" s="131"/>
      <c r="O1906" s="131"/>
    </row>
    <row r="1907" spans="4:15" x14ac:dyDescent="0.3">
      <c r="D1907" s="33"/>
      <c r="E1907" s="127"/>
      <c r="F1907" s="128"/>
      <c r="G1907" s="128"/>
      <c r="H1907" s="129"/>
      <c r="I1907" s="130"/>
      <c r="J1907" s="23"/>
      <c r="K1907" s="23"/>
      <c r="L1907" s="23"/>
      <c r="M1907" s="131"/>
      <c r="N1907" s="131"/>
      <c r="O1907" s="131"/>
    </row>
    <row r="1908" spans="4:15" x14ac:dyDescent="0.3">
      <c r="D1908" s="33"/>
      <c r="E1908" s="127"/>
      <c r="F1908" s="128"/>
      <c r="G1908" s="128"/>
      <c r="H1908" s="129"/>
      <c r="I1908" s="130"/>
      <c r="J1908" s="23"/>
      <c r="K1908" s="23"/>
      <c r="L1908" s="23"/>
      <c r="M1908" s="131"/>
      <c r="N1908" s="131"/>
      <c r="O1908" s="131"/>
    </row>
    <row r="1909" spans="4:15" x14ac:dyDescent="0.3">
      <c r="D1909" s="33"/>
      <c r="E1909" s="127"/>
      <c r="F1909" s="128"/>
      <c r="G1909" s="128"/>
      <c r="H1909" s="129"/>
      <c r="I1909" s="130"/>
      <c r="J1909" s="23"/>
      <c r="K1909" s="23"/>
      <c r="L1909" s="23"/>
      <c r="M1909" s="131"/>
      <c r="N1909" s="131"/>
      <c r="O1909" s="131"/>
    </row>
    <row r="1910" spans="4:15" x14ac:dyDescent="0.3">
      <c r="D1910" s="33"/>
      <c r="E1910" s="127"/>
      <c r="F1910" s="128"/>
      <c r="G1910" s="128"/>
      <c r="H1910" s="129"/>
      <c r="I1910" s="130"/>
      <c r="J1910" s="23"/>
      <c r="K1910" s="23"/>
      <c r="L1910" s="23"/>
      <c r="M1910" s="131"/>
      <c r="N1910" s="131"/>
      <c r="O1910" s="131"/>
    </row>
    <row r="1911" spans="4:15" x14ac:dyDescent="0.3">
      <c r="D1911" s="33"/>
      <c r="E1911" s="127"/>
      <c r="F1911" s="128"/>
      <c r="G1911" s="128"/>
      <c r="H1911" s="129"/>
      <c r="I1911" s="130"/>
      <c r="J1911" s="23"/>
      <c r="K1911" s="23"/>
      <c r="L1911" s="23"/>
      <c r="M1911" s="131"/>
      <c r="N1911" s="131"/>
      <c r="O1911" s="131"/>
    </row>
    <row r="1912" spans="4:15" x14ac:dyDescent="0.3">
      <c r="D1912" s="33"/>
      <c r="E1912" s="127"/>
      <c r="F1912" s="128"/>
      <c r="G1912" s="128"/>
      <c r="H1912" s="129"/>
      <c r="I1912" s="130"/>
      <c r="J1912" s="23"/>
      <c r="K1912" s="23"/>
      <c r="L1912" s="23"/>
      <c r="M1912" s="131"/>
      <c r="N1912" s="131"/>
      <c r="O1912" s="131"/>
    </row>
    <row r="1913" spans="4:15" x14ac:dyDescent="0.3">
      <c r="D1913" s="33"/>
      <c r="E1913" s="127"/>
      <c r="F1913" s="128"/>
      <c r="G1913" s="128"/>
      <c r="H1913" s="129"/>
      <c r="I1913" s="130"/>
      <c r="J1913" s="23"/>
      <c r="K1913" s="23"/>
      <c r="L1913" s="23"/>
      <c r="M1913" s="131"/>
      <c r="N1913" s="131"/>
      <c r="O1913" s="131"/>
    </row>
    <row r="1914" spans="4:15" x14ac:dyDescent="0.3">
      <c r="D1914" s="33"/>
      <c r="E1914" s="127"/>
      <c r="F1914" s="128"/>
      <c r="G1914" s="128"/>
      <c r="H1914" s="129"/>
      <c r="I1914" s="130"/>
      <c r="J1914" s="23"/>
      <c r="K1914" s="23"/>
      <c r="L1914" s="23"/>
      <c r="M1914" s="131"/>
      <c r="N1914" s="131"/>
      <c r="O1914" s="131"/>
    </row>
    <row r="1915" spans="4:15" x14ac:dyDescent="0.3">
      <c r="D1915" s="33"/>
      <c r="E1915" s="127"/>
      <c r="F1915" s="128"/>
      <c r="G1915" s="128"/>
      <c r="H1915" s="129"/>
      <c r="I1915" s="130"/>
      <c r="J1915" s="23"/>
      <c r="K1915" s="23"/>
      <c r="L1915" s="23"/>
      <c r="M1915" s="131"/>
      <c r="N1915" s="131"/>
      <c r="O1915" s="131"/>
    </row>
    <row r="1916" spans="4:15" x14ac:dyDescent="0.3">
      <c r="D1916" s="33"/>
      <c r="E1916" s="127"/>
      <c r="F1916" s="128"/>
      <c r="G1916" s="128"/>
      <c r="H1916" s="129"/>
      <c r="I1916" s="130"/>
      <c r="J1916" s="23"/>
      <c r="K1916" s="23"/>
      <c r="L1916" s="23"/>
      <c r="M1916" s="131"/>
      <c r="N1916" s="131"/>
      <c r="O1916" s="131"/>
    </row>
    <row r="1917" spans="4:15" x14ac:dyDescent="0.3">
      <c r="D1917" s="33"/>
      <c r="E1917" s="127"/>
      <c r="F1917" s="128"/>
      <c r="G1917" s="128"/>
      <c r="H1917" s="129"/>
      <c r="I1917" s="130"/>
      <c r="J1917" s="23"/>
      <c r="K1917" s="23"/>
      <c r="L1917" s="23"/>
      <c r="M1917" s="131"/>
      <c r="N1917" s="131"/>
      <c r="O1917" s="131"/>
    </row>
    <row r="1918" spans="4:15" x14ac:dyDescent="0.3">
      <c r="D1918" s="33"/>
      <c r="E1918" s="127"/>
      <c r="F1918" s="128"/>
      <c r="G1918" s="128"/>
      <c r="H1918" s="129"/>
      <c r="I1918" s="130"/>
      <c r="J1918" s="23"/>
      <c r="K1918" s="23"/>
      <c r="L1918" s="23"/>
      <c r="M1918" s="131"/>
      <c r="N1918" s="131"/>
      <c r="O1918" s="131"/>
    </row>
    <row r="1919" spans="4:15" x14ac:dyDescent="0.3">
      <c r="D1919" s="33"/>
      <c r="E1919" s="127"/>
      <c r="F1919" s="128"/>
      <c r="G1919" s="128"/>
      <c r="H1919" s="129"/>
      <c r="I1919" s="130"/>
      <c r="J1919" s="23"/>
      <c r="K1919" s="23"/>
      <c r="L1919" s="23"/>
      <c r="M1919" s="131"/>
      <c r="N1919" s="131"/>
      <c r="O1919" s="131"/>
    </row>
    <row r="1920" spans="4:15" x14ac:dyDescent="0.3">
      <c r="D1920" s="33"/>
      <c r="E1920" s="127"/>
      <c r="F1920" s="128"/>
      <c r="G1920" s="128"/>
      <c r="H1920" s="129"/>
      <c r="I1920" s="130"/>
      <c r="J1920" s="23"/>
      <c r="K1920" s="23"/>
      <c r="L1920" s="23"/>
      <c r="M1920" s="131"/>
      <c r="N1920" s="131"/>
      <c r="O1920" s="131"/>
    </row>
    <row r="1921" spans="4:15" x14ac:dyDescent="0.3">
      <c r="D1921" s="33"/>
      <c r="E1921" s="127"/>
      <c r="F1921" s="128"/>
      <c r="G1921" s="128"/>
      <c r="H1921" s="129"/>
      <c r="I1921" s="130"/>
      <c r="J1921" s="23"/>
      <c r="K1921" s="23"/>
      <c r="L1921" s="23"/>
      <c r="M1921" s="131"/>
      <c r="N1921" s="131"/>
      <c r="O1921" s="131"/>
    </row>
    <row r="1922" spans="4:15" x14ac:dyDescent="0.3">
      <c r="D1922" s="33"/>
      <c r="E1922" s="127"/>
      <c r="F1922" s="128"/>
      <c r="G1922" s="128"/>
      <c r="H1922" s="129"/>
      <c r="I1922" s="130"/>
      <c r="J1922" s="23"/>
      <c r="K1922" s="23"/>
      <c r="L1922" s="23"/>
      <c r="M1922" s="131"/>
      <c r="N1922" s="131"/>
      <c r="O1922" s="131"/>
    </row>
    <row r="1923" spans="4:15" x14ac:dyDescent="0.3">
      <c r="D1923" s="33"/>
      <c r="E1923" s="127"/>
      <c r="F1923" s="128"/>
      <c r="G1923" s="128"/>
      <c r="H1923" s="129"/>
      <c r="I1923" s="130"/>
      <c r="J1923" s="23"/>
      <c r="K1923" s="23"/>
      <c r="L1923" s="23"/>
      <c r="M1923" s="131"/>
      <c r="N1923" s="131"/>
      <c r="O1923" s="131"/>
    </row>
    <row r="1924" spans="4:15" x14ac:dyDescent="0.3">
      <c r="D1924" s="33"/>
      <c r="E1924" s="127"/>
      <c r="F1924" s="128"/>
      <c r="G1924" s="128"/>
      <c r="H1924" s="129"/>
      <c r="I1924" s="130"/>
      <c r="J1924" s="23"/>
      <c r="K1924" s="23"/>
      <c r="L1924" s="23"/>
      <c r="M1924" s="131"/>
      <c r="N1924" s="131"/>
      <c r="O1924" s="131"/>
    </row>
    <row r="1925" spans="4:15" x14ac:dyDescent="0.3">
      <c r="D1925" s="33"/>
      <c r="E1925" s="127"/>
      <c r="F1925" s="128"/>
      <c r="G1925" s="128"/>
      <c r="H1925" s="129"/>
      <c r="I1925" s="130"/>
      <c r="J1925" s="23"/>
      <c r="K1925" s="23"/>
      <c r="L1925" s="23"/>
      <c r="M1925" s="131"/>
      <c r="N1925" s="131"/>
      <c r="O1925" s="131"/>
    </row>
    <row r="1926" spans="4:15" x14ac:dyDescent="0.3">
      <c r="D1926" s="33"/>
      <c r="E1926" s="127"/>
      <c r="F1926" s="128"/>
      <c r="G1926" s="128"/>
      <c r="H1926" s="129"/>
      <c r="I1926" s="130"/>
      <c r="J1926" s="23"/>
      <c r="K1926" s="23"/>
      <c r="L1926" s="23"/>
      <c r="M1926" s="131"/>
      <c r="N1926" s="131"/>
      <c r="O1926" s="131"/>
    </row>
    <row r="1927" spans="4:15" x14ac:dyDescent="0.3">
      <c r="D1927" s="33"/>
      <c r="E1927" s="127"/>
      <c r="F1927" s="128"/>
      <c r="G1927" s="128"/>
      <c r="H1927" s="129"/>
      <c r="I1927" s="130"/>
      <c r="J1927" s="23"/>
      <c r="K1927" s="23"/>
      <c r="L1927" s="23"/>
      <c r="M1927" s="131"/>
      <c r="N1927" s="131"/>
      <c r="O1927" s="131"/>
    </row>
    <row r="1928" spans="4:15" x14ac:dyDescent="0.3">
      <c r="D1928" s="33"/>
      <c r="E1928" s="127"/>
      <c r="F1928" s="128"/>
      <c r="G1928" s="128"/>
      <c r="H1928" s="129"/>
      <c r="I1928" s="130"/>
      <c r="J1928" s="23"/>
      <c r="K1928" s="23"/>
      <c r="L1928" s="23"/>
      <c r="M1928" s="131"/>
      <c r="N1928" s="131"/>
      <c r="O1928" s="131"/>
    </row>
    <row r="1929" spans="4:15" x14ac:dyDescent="0.3">
      <c r="D1929" s="33"/>
      <c r="E1929" s="127"/>
      <c r="F1929" s="128"/>
      <c r="G1929" s="128"/>
      <c r="H1929" s="129"/>
      <c r="I1929" s="130"/>
      <c r="J1929" s="23"/>
      <c r="K1929" s="23"/>
      <c r="L1929" s="23"/>
      <c r="M1929" s="131"/>
      <c r="N1929" s="131"/>
      <c r="O1929" s="131"/>
    </row>
    <row r="1930" spans="4:15" x14ac:dyDescent="0.3">
      <c r="D1930" s="33"/>
      <c r="E1930" s="127"/>
      <c r="F1930" s="128"/>
      <c r="G1930" s="128"/>
      <c r="H1930" s="129"/>
      <c r="I1930" s="130"/>
      <c r="J1930" s="23"/>
      <c r="K1930" s="23"/>
      <c r="L1930" s="23"/>
      <c r="M1930" s="131"/>
      <c r="N1930" s="131"/>
      <c r="O1930" s="131"/>
    </row>
    <row r="1931" spans="4:15" x14ac:dyDescent="0.3">
      <c r="D1931" s="33"/>
      <c r="E1931" s="127"/>
      <c r="F1931" s="128"/>
      <c r="G1931" s="128"/>
      <c r="H1931" s="129"/>
      <c r="I1931" s="130"/>
      <c r="J1931" s="23"/>
      <c r="K1931" s="23"/>
      <c r="L1931" s="23"/>
      <c r="M1931" s="131"/>
      <c r="N1931" s="131"/>
      <c r="O1931" s="131"/>
    </row>
    <row r="1932" spans="4:15" x14ac:dyDescent="0.3">
      <c r="D1932" s="33"/>
      <c r="E1932" s="127"/>
      <c r="F1932" s="128"/>
      <c r="G1932" s="128"/>
      <c r="H1932" s="129"/>
      <c r="I1932" s="130"/>
      <c r="J1932" s="23"/>
      <c r="K1932" s="23"/>
      <c r="L1932" s="23"/>
      <c r="M1932" s="131"/>
      <c r="N1932" s="131"/>
      <c r="O1932" s="131"/>
    </row>
    <row r="1933" spans="4:15" x14ac:dyDescent="0.3">
      <c r="D1933" s="33"/>
      <c r="E1933" s="127"/>
      <c r="F1933" s="128"/>
      <c r="G1933" s="128"/>
      <c r="H1933" s="129"/>
      <c r="I1933" s="130"/>
      <c r="J1933" s="23"/>
      <c r="K1933" s="23"/>
      <c r="L1933" s="23"/>
      <c r="M1933" s="131"/>
      <c r="N1933" s="131"/>
      <c r="O1933" s="131"/>
    </row>
    <row r="1934" spans="4:15" x14ac:dyDescent="0.3">
      <c r="D1934" s="33"/>
      <c r="E1934" s="127"/>
      <c r="F1934" s="128"/>
      <c r="G1934" s="128"/>
      <c r="H1934" s="129"/>
      <c r="I1934" s="130"/>
      <c r="J1934" s="23"/>
      <c r="K1934" s="23"/>
      <c r="L1934" s="23"/>
      <c r="M1934" s="131"/>
      <c r="N1934" s="131"/>
      <c r="O1934" s="131"/>
    </row>
    <row r="1935" spans="4:15" x14ac:dyDescent="0.3">
      <c r="D1935" s="33"/>
      <c r="E1935" s="127"/>
      <c r="F1935" s="128"/>
      <c r="G1935" s="128"/>
      <c r="H1935" s="129"/>
      <c r="I1935" s="130"/>
      <c r="J1935" s="23"/>
      <c r="K1935" s="23"/>
      <c r="L1935" s="23"/>
      <c r="M1935" s="131"/>
      <c r="N1935" s="131"/>
      <c r="O1935" s="131"/>
    </row>
    <row r="1936" spans="4:15" x14ac:dyDescent="0.3">
      <c r="D1936" s="33"/>
      <c r="E1936" s="127"/>
      <c r="F1936" s="128"/>
      <c r="G1936" s="128"/>
      <c r="H1936" s="129"/>
      <c r="I1936" s="130"/>
      <c r="J1936" s="23"/>
      <c r="K1936" s="23"/>
      <c r="L1936" s="23"/>
      <c r="M1936" s="131"/>
      <c r="N1936" s="131"/>
      <c r="O1936" s="131"/>
    </row>
    <row r="1937" spans="4:15" x14ac:dyDescent="0.3">
      <c r="D1937" s="33"/>
      <c r="E1937" s="127"/>
      <c r="F1937" s="128"/>
      <c r="G1937" s="128"/>
      <c r="H1937" s="129"/>
      <c r="I1937" s="130"/>
      <c r="J1937" s="23"/>
      <c r="K1937" s="23"/>
      <c r="L1937" s="23"/>
      <c r="M1937" s="131"/>
      <c r="N1937" s="131"/>
      <c r="O1937" s="131"/>
    </row>
    <row r="1938" spans="4:15" x14ac:dyDescent="0.3">
      <c r="D1938" s="33"/>
      <c r="E1938" s="127"/>
      <c r="F1938" s="128"/>
      <c r="G1938" s="128"/>
      <c r="H1938" s="129"/>
      <c r="I1938" s="130"/>
      <c r="J1938" s="23"/>
      <c r="K1938" s="23"/>
      <c r="L1938" s="23"/>
      <c r="M1938" s="131"/>
      <c r="N1938" s="131"/>
      <c r="O1938" s="131"/>
    </row>
    <row r="1939" spans="4:15" x14ac:dyDescent="0.3">
      <c r="D1939" s="33"/>
      <c r="E1939" s="127"/>
      <c r="F1939" s="128"/>
      <c r="G1939" s="128"/>
      <c r="H1939" s="129"/>
      <c r="I1939" s="130"/>
      <c r="J1939" s="23"/>
      <c r="K1939" s="23"/>
      <c r="L1939" s="23"/>
      <c r="M1939" s="131"/>
      <c r="N1939" s="131"/>
      <c r="O1939" s="131"/>
    </row>
    <row r="1940" spans="4:15" x14ac:dyDescent="0.3">
      <c r="D1940" s="33"/>
      <c r="E1940" s="127"/>
      <c r="F1940" s="128"/>
      <c r="G1940" s="128"/>
      <c r="H1940" s="129"/>
      <c r="I1940" s="130"/>
      <c r="J1940" s="23"/>
      <c r="K1940" s="23"/>
      <c r="L1940" s="23"/>
      <c r="M1940" s="131"/>
      <c r="N1940" s="131"/>
      <c r="O1940" s="131"/>
    </row>
    <row r="1941" spans="4:15" x14ac:dyDescent="0.3">
      <c r="D1941" s="33"/>
      <c r="E1941" s="127"/>
      <c r="F1941" s="128"/>
      <c r="G1941" s="128"/>
      <c r="H1941" s="129"/>
      <c r="I1941" s="130"/>
      <c r="J1941" s="23"/>
      <c r="K1941" s="23"/>
      <c r="L1941" s="23"/>
      <c r="M1941" s="131"/>
      <c r="N1941" s="131"/>
      <c r="O1941" s="131"/>
    </row>
    <row r="1942" spans="4:15" x14ac:dyDescent="0.3">
      <c r="D1942" s="33"/>
      <c r="E1942" s="127"/>
      <c r="F1942" s="128"/>
      <c r="G1942" s="128"/>
      <c r="H1942" s="129"/>
      <c r="I1942" s="130"/>
      <c r="J1942" s="23"/>
      <c r="K1942" s="23"/>
      <c r="L1942" s="23"/>
      <c r="M1942" s="131"/>
      <c r="N1942" s="131"/>
      <c r="O1942" s="131"/>
    </row>
    <row r="1943" spans="4:15" x14ac:dyDescent="0.3">
      <c r="D1943" s="33"/>
      <c r="E1943" s="127"/>
      <c r="F1943" s="128"/>
      <c r="G1943" s="128"/>
      <c r="H1943" s="129"/>
      <c r="I1943" s="130"/>
      <c r="J1943" s="23"/>
      <c r="K1943" s="23"/>
      <c r="L1943" s="23"/>
      <c r="M1943" s="131"/>
      <c r="N1943" s="131"/>
      <c r="O1943" s="131"/>
    </row>
    <row r="1944" spans="4:15" x14ac:dyDescent="0.3">
      <c r="D1944" s="33"/>
      <c r="E1944" s="127"/>
      <c r="F1944" s="128"/>
      <c r="G1944" s="128"/>
      <c r="H1944" s="129"/>
      <c r="I1944" s="130"/>
      <c r="J1944" s="23"/>
      <c r="K1944" s="23"/>
      <c r="L1944" s="23"/>
      <c r="M1944" s="131"/>
      <c r="N1944" s="131"/>
      <c r="O1944" s="131"/>
    </row>
    <row r="1945" spans="4:15" x14ac:dyDescent="0.3">
      <c r="D1945" s="33"/>
      <c r="E1945" s="127"/>
      <c r="F1945" s="128"/>
      <c r="G1945" s="128"/>
      <c r="H1945" s="129"/>
      <c r="I1945" s="130"/>
      <c r="J1945" s="23"/>
      <c r="K1945" s="23"/>
      <c r="L1945" s="23"/>
      <c r="M1945" s="131"/>
      <c r="N1945" s="131"/>
      <c r="O1945" s="131"/>
    </row>
    <row r="1946" spans="4:15" x14ac:dyDescent="0.3">
      <c r="D1946" s="33"/>
      <c r="E1946" s="127"/>
      <c r="F1946" s="128"/>
      <c r="G1946" s="128"/>
      <c r="H1946" s="129"/>
      <c r="I1946" s="130"/>
      <c r="J1946" s="23"/>
      <c r="K1946" s="23"/>
      <c r="L1946" s="23"/>
      <c r="M1946" s="131"/>
      <c r="N1946" s="131"/>
      <c r="O1946" s="131"/>
    </row>
    <row r="1947" spans="4:15" x14ac:dyDescent="0.3">
      <c r="D1947" s="33"/>
      <c r="E1947" s="127"/>
      <c r="F1947" s="128"/>
      <c r="G1947" s="128"/>
      <c r="H1947" s="129"/>
      <c r="I1947" s="130"/>
      <c r="J1947" s="23"/>
      <c r="K1947" s="23"/>
      <c r="L1947" s="23"/>
      <c r="M1947" s="131"/>
      <c r="N1947" s="131"/>
      <c r="O1947" s="131"/>
    </row>
    <row r="1948" spans="4:15" x14ac:dyDescent="0.3">
      <c r="D1948" s="33"/>
      <c r="E1948" s="127"/>
      <c r="F1948" s="128"/>
      <c r="G1948" s="128"/>
      <c r="H1948" s="129"/>
      <c r="I1948" s="130"/>
      <c r="J1948" s="23"/>
      <c r="K1948" s="23"/>
      <c r="L1948" s="23"/>
      <c r="M1948" s="131"/>
      <c r="N1948" s="131"/>
      <c r="O1948" s="131"/>
    </row>
    <row r="1949" spans="4:15" x14ac:dyDescent="0.3">
      <c r="D1949" s="33"/>
      <c r="E1949" s="127"/>
      <c r="F1949" s="128"/>
      <c r="G1949" s="128"/>
      <c r="H1949" s="129"/>
      <c r="I1949" s="130"/>
      <c r="J1949" s="23"/>
      <c r="K1949" s="23"/>
      <c r="L1949" s="23"/>
      <c r="M1949" s="131"/>
      <c r="N1949" s="131"/>
      <c r="O1949" s="131"/>
    </row>
    <row r="1950" spans="4:15" x14ac:dyDescent="0.3">
      <c r="D1950" s="33"/>
      <c r="E1950" s="127"/>
      <c r="F1950" s="128"/>
      <c r="G1950" s="128"/>
      <c r="H1950" s="129"/>
      <c r="I1950" s="130"/>
      <c r="J1950" s="23"/>
      <c r="K1950" s="23"/>
      <c r="L1950" s="23"/>
      <c r="M1950" s="131"/>
      <c r="N1950" s="131"/>
      <c r="O1950" s="131"/>
    </row>
    <row r="1951" spans="4:15" x14ac:dyDescent="0.3">
      <c r="D1951" s="33"/>
      <c r="E1951" s="127"/>
      <c r="F1951" s="128"/>
      <c r="G1951" s="128"/>
      <c r="H1951" s="129"/>
      <c r="I1951" s="130"/>
      <c r="J1951" s="23"/>
      <c r="K1951" s="23"/>
      <c r="L1951" s="23"/>
      <c r="M1951" s="131"/>
      <c r="N1951" s="131"/>
      <c r="O1951" s="131"/>
    </row>
    <row r="1952" spans="4:15" x14ac:dyDescent="0.3">
      <c r="D1952" s="33"/>
      <c r="E1952" s="127"/>
      <c r="F1952" s="128"/>
      <c r="G1952" s="128"/>
      <c r="H1952" s="129"/>
      <c r="I1952" s="130"/>
      <c r="J1952" s="23"/>
      <c r="K1952" s="23"/>
      <c r="L1952" s="23"/>
      <c r="M1952" s="131"/>
      <c r="N1952" s="131"/>
      <c r="O1952" s="131"/>
    </row>
    <row r="1953" spans="4:15" x14ac:dyDescent="0.3">
      <c r="D1953" s="33"/>
      <c r="E1953" s="127"/>
      <c r="F1953" s="128"/>
      <c r="G1953" s="128"/>
      <c r="H1953" s="129"/>
      <c r="I1953" s="130"/>
      <c r="J1953" s="23"/>
      <c r="K1953" s="23"/>
      <c r="L1953" s="23"/>
      <c r="M1953" s="131"/>
      <c r="N1953" s="131"/>
      <c r="O1953" s="131"/>
    </row>
    <row r="1954" spans="4:15" x14ac:dyDescent="0.3">
      <c r="D1954" s="33"/>
      <c r="E1954" s="127"/>
      <c r="F1954" s="128"/>
      <c r="G1954" s="128"/>
      <c r="H1954" s="129"/>
      <c r="I1954" s="130"/>
      <c r="J1954" s="23"/>
      <c r="K1954" s="23"/>
      <c r="L1954" s="23"/>
      <c r="M1954" s="131"/>
      <c r="N1954" s="131"/>
      <c r="O1954" s="131"/>
    </row>
    <row r="1955" spans="4:15" x14ac:dyDescent="0.3">
      <c r="D1955" s="33"/>
      <c r="E1955" s="127"/>
      <c r="F1955" s="128"/>
      <c r="G1955" s="128"/>
      <c r="H1955" s="129"/>
      <c r="I1955" s="130"/>
      <c r="J1955" s="23"/>
      <c r="K1955" s="23"/>
      <c r="L1955" s="23"/>
      <c r="M1955" s="131"/>
      <c r="N1955" s="131"/>
      <c r="O1955" s="131"/>
    </row>
    <row r="1956" spans="4:15" x14ac:dyDescent="0.3">
      <c r="D1956" s="33"/>
      <c r="E1956" s="127"/>
      <c r="F1956" s="128"/>
      <c r="G1956" s="128"/>
      <c r="H1956" s="129"/>
      <c r="I1956" s="130"/>
      <c r="J1956" s="23"/>
      <c r="K1956" s="23"/>
      <c r="L1956" s="23"/>
      <c r="M1956" s="131"/>
      <c r="N1956" s="131"/>
      <c r="O1956" s="131"/>
    </row>
    <row r="1957" spans="4:15" x14ac:dyDescent="0.3">
      <c r="D1957" s="33"/>
      <c r="E1957" s="127"/>
      <c r="F1957" s="128"/>
      <c r="G1957" s="128"/>
      <c r="H1957" s="129"/>
      <c r="I1957" s="130"/>
      <c r="J1957" s="23"/>
      <c r="K1957" s="23"/>
      <c r="L1957" s="23"/>
      <c r="M1957" s="131"/>
      <c r="N1957" s="131"/>
      <c r="O1957" s="131"/>
    </row>
    <row r="1958" spans="4:15" x14ac:dyDescent="0.3">
      <c r="D1958" s="33"/>
      <c r="E1958" s="127"/>
      <c r="F1958" s="128"/>
      <c r="G1958" s="128"/>
      <c r="H1958" s="129"/>
      <c r="I1958" s="130"/>
      <c r="J1958" s="23"/>
      <c r="K1958" s="23"/>
      <c r="L1958" s="23"/>
      <c r="M1958" s="131"/>
      <c r="N1958" s="131"/>
      <c r="O1958" s="131"/>
    </row>
    <row r="1959" spans="4:15" x14ac:dyDescent="0.3">
      <c r="D1959" s="33"/>
      <c r="E1959" s="127"/>
      <c r="F1959" s="128"/>
      <c r="G1959" s="128"/>
      <c r="H1959" s="129"/>
      <c r="I1959" s="130"/>
      <c r="J1959" s="23"/>
      <c r="K1959" s="23"/>
      <c r="L1959" s="23"/>
      <c r="M1959" s="131"/>
      <c r="N1959" s="131"/>
      <c r="O1959" s="131"/>
    </row>
    <row r="1960" spans="4:15" x14ac:dyDescent="0.3">
      <c r="D1960" s="33"/>
      <c r="E1960" s="127"/>
      <c r="F1960" s="128"/>
      <c r="G1960" s="128"/>
      <c r="H1960" s="129"/>
      <c r="I1960" s="130"/>
      <c r="J1960" s="23"/>
      <c r="K1960" s="23"/>
      <c r="L1960" s="23"/>
      <c r="M1960" s="131"/>
      <c r="N1960" s="131"/>
      <c r="O1960" s="131"/>
    </row>
    <row r="1961" spans="4:15" x14ac:dyDescent="0.3">
      <c r="D1961" s="33"/>
      <c r="E1961" s="127"/>
      <c r="F1961" s="128"/>
      <c r="G1961" s="128"/>
      <c r="H1961" s="129"/>
      <c r="I1961" s="130"/>
      <c r="J1961" s="23"/>
      <c r="K1961" s="23"/>
      <c r="L1961" s="23"/>
      <c r="M1961" s="131"/>
      <c r="N1961" s="131"/>
      <c r="O1961" s="131"/>
    </row>
    <row r="1962" spans="4:15" x14ac:dyDescent="0.3">
      <c r="D1962" s="33"/>
      <c r="E1962" s="127"/>
      <c r="F1962" s="128"/>
      <c r="G1962" s="128"/>
      <c r="H1962" s="129"/>
      <c r="I1962" s="130"/>
      <c r="J1962" s="23"/>
      <c r="K1962" s="23"/>
      <c r="L1962" s="23"/>
      <c r="M1962" s="131"/>
      <c r="N1962" s="131"/>
      <c r="O1962" s="131"/>
    </row>
    <row r="1963" spans="4:15" x14ac:dyDescent="0.3">
      <c r="D1963" s="33"/>
      <c r="E1963" s="127"/>
      <c r="F1963" s="128"/>
      <c r="G1963" s="128"/>
      <c r="H1963" s="129"/>
      <c r="I1963" s="130"/>
      <c r="J1963" s="23"/>
      <c r="K1963" s="23"/>
      <c r="L1963" s="23"/>
      <c r="M1963" s="131"/>
      <c r="N1963" s="131"/>
      <c r="O1963" s="131"/>
    </row>
    <row r="1964" spans="4:15" x14ac:dyDescent="0.3">
      <c r="D1964" s="33"/>
      <c r="E1964" s="127"/>
      <c r="F1964" s="128"/>
      <c r="G1964" s="128"/>
      <c r="H1964" s="129"/>
      <c r="I1964" s="130"/>
      <c r="J1964" s="23"/>
      <c r="K1964" s="23"/>
      <c r="L1964" s="23"/>
      <c r="M1964" s="131"/>
      <c r="N1964" s="131"/>
      <c r="O1964" s="131"/>
    </row>
    <row r="1965" spans="4:15" x14ac:dyDescent="0.3">
      <c r="D1965" s="33"/>
      <c r="E1965" s="127"/>
      <c r="F1965" s="128"/>
      <c r="G1965" s="128"/>
      <c r="H1965" s="129"/>
      <c r="I1965" s="130"/>
      <c r="J1965" s="23"/>
      <c r="K1965" s="23"/>
      <c r="L1965" s="23"/>
      <c r="M1965" s="131"/>
      <c r="N1965" s="131"/>
      <c r="O1965" s="131"/>
    </row>
    <row r="1966" spans="4:15" x14ac:dyDescent="0.3">
      <c r="D1966" s="33"/>
      <c r="E1966" s="127"/>
      <c r="F1966" s="128"/>
      <c r="G1966" s="128"/>
      <c r="H1966" s="129"/>
      <c r="I1966" s="130"/>
      <c r="J1966" s="23"/>
      <c r="K1966" s="23"/>
      <c r="L1966" s="23"/>
      <c r="M1966" s="131"/>
      <c r="N1966" s="131"/>
      <c r="O1966" s="131"/>
    </row>
    <row r="1967" spans="4:15" x14ac:dyDescent="0.3">
      <c r="D1967" s="33"/>
      <c r="E1967" s="127"/>
      <c r="F1967" s="128"/>
      <c r="G1967" s="128"/>
      <c r="H1967" s="129"/>
      <c r="I1967" s="130"/>
      <c r="J1967" s="23"/>
      <c r="K1967" s="23"/>
      <c r="L1967" s="23"/>
      <c r="M1967" s="131"/>
      <c r="N1967" s="131"/>
      <c r="O1967" s="131"/>
    </row>
    <row r="1968" spans="4:15" x14ac:dyDescent="0.3">
      <c r="D1968" s="33"/>
      <c r="E1968" s="127"/>
      <c r="F1968" s="128"/>
      <c r="G1968" s="128"/>
      <c r="H1968" s="129"/>
      <c r="I1968" s="130"/>
      <c r="J1968" s="23"/>
      <c r="K1968" s="23"/>
      <c r="L1968" s="23"/>
      <c r="M1968" s="131"/>
      <c r="N1968" s="131"/>
      <c r="O1968" s="131"/>
    </row>
    <row r="1969" spans="4:15" x14ac:dyDescent="0.3">
      <c r="D1969" s="33"/>
      <c r="E1969" s="127"/>
      <c r="F1969" s="128"/>
      <c r="G1969" s="128"/>
      <c r="H1969" s="129"/>
      <c r="I1969" s="130"/>
      <c r="J1969" s="23"/>
      <c r="K1969" s="23"/>
      <c r="L1969" s="23"/>
      <c r="M1969" s="131"/>
      <c r="N1969" s="131"/>
      <c r="O1969" s="131"/>
    </row>
    <row r="1970" spans="4:15" x14ac:dyDescent="0.3">
      <c r="D1970" s="33"/>
      <c r="E1970" s="127"/>
      <c r="F1970" s="128"/>
      <c r="G1970" s="128"/>
      <c r="H1970" s="129"/>
      <c r="I1970" s="130"/>
      <c r="J1970" s="23"/>
      <c r="K1970" s="23"/>
      <c r="L1970" s="23"/>
      <c r="M1970" s="131"/>
      <c r="N1970" s="131"/>
      <c r="O1970" s="131"/>
    </row>
    <row r="1971" spans="4:15" x14ac:dyDescent="0.3">
      <c r="D1971" s="33"/>
      <c r="E1971" s="127"/>
      <c r="F1971" s="128"/>
      <c r="G1971" s="128"/>
      <c r="H1971" s="129"/>
      <c r="I1971" s="130"/>
      <c r="J1971" s="23"/>
      <c r="K1971" s="23"/>
      <c r="L1971" s="23"/>
      <c r="M1971" s="131"/>
      <c r="N1971" s="131"/>
      <c r="O1971" s="131"/>
    </row>
    <row r="1972" spans="4:15" x14ac:dyDescent="0.3">
      <c r="D1972" s="33"/>
      <c r="E1972" s="127"/>
      <c r="F1972" s="128"/>
      <c r="G1972" s="128"/>
      <c r="H1972" s="129"/>
      <c r="I1972" s="130"/>
      <c r="J1972" s="23"/>
      <c r="K1972" s="23"/>
      <c r="L1972" s="23"/>
      <c r="M1972" s="131"/>
      <c r="N1972" s="131"/>
      <c r="O1972" s="131"/>
    </row>
    <row r="1973" spans="4:15" x14ac:dyDescent="0.3">
      <c r="D1973" s="33"/>
      <c r="E1973" s="127"/>
      <c r="F1973" s="128"/>
      <c r="G1973" s="128"/>
      <c r="H1973" s="129"/>
      <c r="I1973" s="130"/>
      <c r="J1973" s="23"/>
      <c r="K1973" s="23"/>
      <c r="L1973" s="23"/>
      <c r="M1973" s="131"/>
      <c r="N1973" s="131"/>
      <c r="O1973" s="131"/>
    </row>
    <row r="1974" spans="4:15" x14ac:dyDescent="0.3">
      <c r="D1974" s="33"/>
      <c r="E1974" s="127"/>
      <c r="F1974" s="128"/>
      <c r="G1974" s="128"/>
      <c r="H1974" s="129"/>
      <c r="I1974" s="130"/>
      <c r="J1974" s="23"/>
      <c r="K1974" s="23"/>
      <c r="L1974" s="23"/>
      <c r="M1974" s="131"/>
      <c r="N1974" s="131"/>
      <c r="O1974" s="131"/>
    </row>
    <row r="1975" spans="4:15" x14ac:dyDescent="0.3">
      <c r="D1975" s="33"/>
      <c r="E1975" s="127"/>
      <c r="F1975" s="128"/>
      <c r="G1975" s="128"/>
      <c r="H1975" s="129"/>
      <c r="I1975" s="130"/>
      <c r="J1975" s="23"/>
      <c r="K1975" s="23"/>
      <c r="L1975" s="23"/>
      <c r="M1975" s="131"/>
      <c r="N1975" s="131"/>
      <c r="O1975" s="131"/>
    </row>
    <row r="1976" spans="4:15" x14ac:dyDescent="0.3">
      <c r="D1976" s="33"/>
      <c r="E1976" s="127"/>
      <c r="F1976" s="128"/>
      <c r="G1976" s="128"/>
      <c r="H1976" s="129"/>
      <c r="I1976" s="130"/>
      <c r="J1976" s="23"/>
      <c r="K1976" s="23"/>
      <c r="L1976" s="23"/>
      <c r="M1976" s="131"/>
      <c r="N1976" s="131"/>
      <c r="O1976" s="131"/>
    </row>
    <row r="1977" spans="4:15" x14ac:dyDescent="0.3">
      <c r="D1977" s="33"/>
      <c r="E1977" s="127"/>
      <c r="F1977" s="128"/>
      <c r="G1977" s="128"/>
      <c r="H1977" s="129"/>
      <c r="I1977" s="130"/>
      <c r="J1977" s="23"/>
      <c r="K1977" s="23"/>
      <c r="L1977" s="23"/>
      <c r="M1977" s="131"/>
      <c r="N1977" s="131"/>
      <c r="O1977" s="131"/>
    </row>
    <row r="1978" spans="4:15" x14ac:dyDescent="0.3">
      <c r="D1978" s="33"/>
      <c r="E1978" s="127"/>
      <c r="F1978" s="128"/>
      <c r="G1978" s="128"/>
      <c r="H1978" s="129"/>
      <c r="I1978" s="130"/>
      <c r="J1978" s="23"/>
      <c r="K1978" s="23"/>
      <c r="L1978" s="23"/>
      <c r="M1978" s="131"/>
      <c r="N1978" s="131"/>
      <c r="O1978" s="131"/>
    </row>
    <row r="1979" spans="4:15" x14ac:dyDescent="0.3">
      <c r="D1979" s="33"/>
      <c r="E1979" s="127"/>
      <c r="F1979" s="128"/>
      <c r="G1979" s="128"/>
      <c r="H1979" s="129"/>
      <c r="I1979" s="130"/>
      <c r="J1979" s="23"/>
      <c r="K1979" s="23"/>
      <c r="L1979" s="23"/>
      <c r="M1979" s="131"/>
      <c r="N1979" s="131"/>
      <c r="O1979" s="131"/>
    </row>
    <row r="1980" spans="4:15" x14ac:dyDescent="0.3">
      <c r="D1980" s="33"/>
      <c r="E1980" s="127"/>
      <c r="F1980" s="128"/>
      <c r="G1980" s="128"/>
      <c r="H1980" s="129"/>
      <c r="I1980" s="130"/>
      <c r="J1980" s="23"/>
      <c r="K1980" s="23"/>
      <c r="L1980" s="23"/>
      <c r="M1980" s="131"/>
      <c r="N1980" s="131"/>
      <c r="O1980" s="131"/>
    </row>
    <row r="1981" spans="4:15" x14ac:dyDescent="0.3">
      <c r="D1981" s="33"/>
      <c r="E1981" s="127"/>
      <c r="F1981" s="128"/>
      <c r="G1981" s="128"/>
      <c r="H1981" s="129"/>
      <c r="I1981" s="130"/>
      <c r="J1981" s="23"/>
      <c r="K1981" s="23"/>
      <c r="L1981" s="23"/>
      <c r="M1981" s="131"/>
      <c r="N1981" s="131"/>
      <c r="O1981" s="131"/>
    </row>
    <row r="1982" spans="4:15" x14ac:dyDescent="0.3">
      <c r="D1982" s="33"/>
      <c r="E1982" s="127"/>
      <c r="F1982" s="128"/>
      <c r="G1982" s="128"/>
      <c r="H1982" s="129"/>
      <c r="I1982" s="130"/>
      <c r="J1982" s="23"/>
      <c r="K1982" s="23"/>
      <c r="L1982" s="23"/>
      <c r="M1982" s="131"/>
      <c r="N1982" s="131"/>
      <c r="O1982" s="131"/>
    </row>
    <row r="1983" spans="4:15" x14ac:dyDescent="0.3">
      <c r="D1983" s="33"/>
      <c r="E1983" s="127"/>
      <c r="F1983" s="128"/>
      <c r="G1983" s="128"/>
      <c r="H1983" s="129"/>
      <c r="I1983" s="130"/>
      <c r="J1983" s="23"/>
      <c r="K1983" s="23"/>
      <c r="L1983" s="23"/>
      <c r="M1983" s="131"/>
      <c r="N1983" s="131"/>
      <c r="O1983" s="131"/>
    </row>
    <row r="1984" spans="4:15" x14ac:dyDescent="0.3">
      <c r="D1984" s="33"/>
      <c r="E1984" s="127"/>
      <c r="F1984" s="128"/>
      <c r="G1984" s="128"/>
      <c r="H1984" s="129"/>
      <c r="I1984" s="130"/>
      <c r="J1984" s="23"/>
      <c r="K1984" s="23"/>
      <c r="L1984" s="23"/>
      <c r="M1984" s="131"/>
      <c r="N1984" s="131"/>
      <c r="O1984" s="131"/>
    </row>
    <row r="1985" spans="4:15" x14ac:dyDescent="0.3">
      <c r="D1985" s="33"/>
      <c r="E1985" s="127"/>
      <c r="F1985" s="128"/>
      <c r="G1985" s="128"/>
      <c r="H1985" s="129"/>
      <c r="I1985" s="130"/>
      <c r="J1985" s="23"/>
      <c r="K1985" s="23"/>
      <c r="L1985" s="23"/>
      <c r="M1985" s="131"/>
      <c r="N1985" s="131"/>
      <c r="O1985" s="131"/>
    </row>
    <row r="1986" spans="4:15" x14ac:dyDescent="0.3">
      <c r="D1986" s="33"/>
      <c r="E1986" s="127"/>
      <c r="F1986" s="128"/>
      <c r="G1986" s="128"/>
      <c r="H1986" s="129"/>
      <c r="I1986" s="130"/>
      <c r="J1986" s="23"/>
      <c r="K1986" s="23"/>
      <c r="L1986" s="23"/>
      <c r="M1986" s="131"/>
      <c r="N1986" s="131"/>
      <c r="O1986" s="131"/>
    </row>
    <row r="1987" spans="4:15" x14ac:dyDescent="0.3">
      <c r="D1987" s="33"/>
      <c r="E1987" s="127"/>
      <c r="F1987" s="128"/>
      <c r="G1987" s="128"/>
      <c r="H1987" s="129"/>
      <c r="I1987" s="130"/>
      <c r="J1987" s="23"/>
      <c r="K1987" s="23"/>
      <c r="L1987" s="23"/>
      <c r="M1987" s="131"/>
      <c r="N1987" s="131"/>
      <c r="O1987" s="131"/>
    </row>
    <row r="1988" spans="4:15" x14ac:dyDescent="0.3">
      <c r="D1988" s="33"/>
      <c r="E1988" s="127"/>
      <c r="F1988" s="128"/>
      <c r="G1988" s="128"/>
      <c r="H1988" s="129"/>
      <c r="I1988" s="130"/>
      <c r="J1988" s="23"/>
      <c r="K1988" s="23"/>
      <c r="L1988" s="23"/>
      <c r="M1988" s="131"/>
      <c r="N1988" s="131"/>
      <c r="O1988" s="131"/>
    </row>
    <row r="1989" spans="4:15" x14ac:dyDescent="0.3">
      <c r="D1989" s="33"/>
      <c r="E1989" s="127"/>
      <c r="F1989" s="128"/>
      <c r="G1989" s="128"/>
      <c r="H1989" s="129"/>
      <c r="I1989" s="130"/>
      <c r="J1989" s="23"/>
      <c r="K1989" s="23"/>
      <c r="L1989" s="23"/>
      <c r="M1989" s="131"/>
      <c r="N1989" s="131"/>
      <c r="O1989" s="131"/>
    </row>
    <row r="1990" spans="4:15" x14ac:dyDescent="0.3">
      <c r="D1990" s="33"/>
      <c r="E1990" s="127"/>
      <c r="F1990" s="128"/>
      <c r="G1990" s="128"/>
      <c r="H1990" s="129"/>
      <c r="I1990" s="130"/>
      <c r="J1990" s="23"/>
      <c r="K1990" s="23"/>
      <c r="L1990" s="23"/>
      <c r="M1990" s="131"/>
      <c r="N1990" s="131"/>
      <c r="O1990" s="131"/>
    </row>
    <row r="1991" spans="4:15" x14ac:dyDescent="0.3">
      <c r="D1991" s="33"/>
      <c r="E1991" s="127"/>
      <c r="F1991" s="128"/>
      <c r="G1991" s="128"/>
      <c r="H1991" s="129"/>
      <c r="I1991" s="130"/>
      <c r="J1991" s="23"/>
      <c r="K1991" s="23"/>
      <c r="L1991" s="23"/>
      <c r="M1991" s="131"/>
      <c r="N1991" s="131"/>
      <c r="O1991" s="131"/>
    </row>
    <row r="1992" spans="4:15" x14ac:dyDescent="0.3">
      <c r="D1992" s="33"/>
      <c r="E1992" s="127"/>
      <c r="F1992" s="128"/>
      <c r="G1992" s="128"/>
      <c r="H1992" s="129"/>
      <c r="I1992" s="130"/>
      <c r="J1992" s="23"/>
      <c r="K1992" s="23"/>
      <c r="L1992" s="23"/>
      <c r="M1992" s="131"/>
      <c r="N1992" s="131"/>
      <c r="O1992" s="131"/>
    </row>
    <row r="1993" spans="4:15" x14ac:dyDescent="0.3">
      <c r="D1993" s="33"/>
      <c r="E1993" s="127"/>
      <c r="F1993" s="128"/>
      <c r="G1993" s="128"/>
      <c r="H1993" s="129"/>
      <c r="I1993" s="130"/>
      <c r="J1993" s="23"/>
      <c r="K1993" s="23"/>
      <c r="L1993" s="23"/>
      <c r="M1993" s="131"/>
      <c r="N1993" s="131"/>
      <c r="O1993" s="131"/>
    </row>
    <row r="1994" spans="4:15" x14ac:dyDescent="0.3">
      <c r="D1994" s="33"/>
      <c r="E1994" s="127"/>
      <c r="F1994" s="128"/>
      <c r="G1994" s="128"/>
      <c r="H1994" s="129"/>
      <c r="I1994" s="130"/>
      <c r="J1994" s="23"/>
      <c r="K1994" s="23"/>
      <c r="L1994" s="23"/>
      <c r="M1994" s="131"/>
      <c r="N1994" s="131"/>
      <c r="O1994" s="131"/>
    </row>
    <row r="1995" spans="4:15" x14ac:dyDescent="0.3">
      <c r="D1995" s="33"/>
      <c r="E1995" s="127"/>
      <c r="F1995" s="128"/>
      <c r="G1995" s="128"/>
      <c r="H1995" s="129"/>
      <c r="I1995" s="130"/>
      <c r="J1995" s="23"/>
      <c r="K1995" s="23"/>
      <c r="L1995" s="23"/>
      <c r="M1995" s="131"/>
      <c r="N1995" s="131"/>
      <c r="O1995" s="131"/>
    </row>
    <row r="1996" spans="4:15" x14ac:dyDescent="0.3">
      <c r="D1996" s="33"/>
      <c r="E1996" s="127"/>
      <c r="F1996" s="128"/>
      <c r="G1996" s="128"/>
      <c r="H1996" s="129"/>
      <c r="I1996" s="130"/>
      <c r="J1996" s="23"/>
      <c r="K1996" s="23"/>
      <c r="L1996" s="23"/>
      <c r="M1996" s="131"/>
      <c r="N1996" s="131"/>
      <c r="O1996" s="131"/>
    </row>
    <row r="1997" spans="4:15" x14ac:dyDescent="0.3">
      <c r="D1997" s="33"/>
      <c r="E1997" s="127"/>
      <c r="F1997" s="128"/>
      <c r="G1997" s="128"/>
      <c r="H1997" s="129"/>
      <c r="I1997" s="130"/>
      <c r="J1997" s="23"/>
      <c r="K1997" s="23"/>
      <c r="L1997" s="23"/>
      <c r="M1997" s="131"/>
      <c r="N1997" s="131"/>
      <c r="O1997" s="131"/>
    </row>
    <row r="1998" spans="4:15" x14ac:dyDescent="0.3">
      <c r="D1998" s="33"/>
      <c r="E1998" s="127"/>
      <c r="F1998" s="128"/>
      <c r="G1998" s="128"/>
      <c r="H1998" s="129"/>
      <c r="I1998" s="130"/>
      <c r="J1998" s="23"/>
      <c r="K1998" s="23"/>
      <c r="L1998" s="23"/>
      <c r="M1998" s="131"/>
      <c r="N1998" s="131"/>
      <c r="O1998" s="131"/>
    </row>
    <row r="1999" spans="4:15" x14ac:dyDescent="0.3">
      <c r="D1999" s="33"/>
      <c r="E1999" s="127"/>
      <c r="F1999" s="128"/>
      <c r="G1999" s="128"/>
      <c r="H1999" s="129"/>
      <c r="I1999" s="130"/>
      <c r="J1999" s="23"/>
      <c r="K1999" s="23"/>
      <c r="L1999" s="23"/>
      <c r="M1999" s="131"/>
      <c r="N1999" s="131"/>
      <c r="O1999" s="131"/>
    </row>
    <row r="2000" spans="4:15" x14ac:dyDescent="0.3">
      <c r="D2000" s="33"/>
      <c r="E2000" s="127"/>
      <c r="F2000" s="128"/>
      <c r="G2000" s="128"/>
      <c r="H2000" s="129"/>
      <c r="I2000" s="130"/>
      <c r="J2000" s="23"/>
      <c r="K2000" s="23"/>
      <c r="L2000" s="23"/>
      <c r="M2000" s="131"/>
      <c r="N2000" s="131"/>
      <c r="O2000" s="131"/>
    </row>
    <row r="2001" spans="4:15" x14ac:dyDescent="0.3">
      <c r="D2001" s="33"/>
      <c r="E2001" s="127"/>
      <c r="F2001" s="128"/>
      <c r="G2001" s="128"/>
      <c r="H2001" s="129"/>
      <c r="I2001" s="130"/>
      <c r="J2001" s="23"/>
      <c r="K2001" s="23"/>
      <c r="L2001" s="23"/>
      <c r="M2001" s="131"/>
      <c r="N2001" s="131"/>
      <c r="O2001" s="131"/>
    </row>
    <row r="2002" spans="4:15" x14ac:dyDescent="0.3">
      <c r="D2002" s="33"/>
      <c r="E2002" s="127"/>
      <c r="F2002" s="128"/>
      <c r="G2002" s="128"/>
      <c r="H2002" s="129"/>
      <c r="I2002" s="130"/>
      <c r="J2002" s="23"/>
      <c r="K2002" s="23"/>
      <c r="L2002" s="23"/>
      <c r="M2002" s="131"/>
      <c r="N2002" s="131"/>
      <c r="O2002" s="131"/>
    </row>
    <row r="2003" spans="4:15" x14ac:dyDescent="0.3">
      <c r="D2003" s="33"/>
      <c r="E2003" s="127"/>
      <c r="F2003" s="128"/>
      <c r="G2003" s="128"/>
      <c r="H2003" s="129"/>
      <c r="I2003" s="130"/>
      <c r="J2003" s="23"/>
      <c r="K2003" s="23"/>
      <c r="L2003" s="23"/>
      <c r="M2003" s="131"/>
      <c r="N2003" s="131"/>
      <c r="O2003" s="131"/>
    </row>
    <row r="2004" spans="4:15" x14ac:dyDescent="0.3">
      <c r="D2004" s="33"/>
      <c r="E2004" s="127"/>
      <c r="F2004" s="128"/>
      <c r="G2004" s="128"/>
      <c r="H2004" s="129"/>
      <c r="I2004" s="130"/>
      <c r="J2004" s="23"/>
      <c r="K2004" s="23"/>
      <c r="L2004" s="23"/>
      <c r="M2004" s="131"/>
      <c r="N2004" s="131"/>
      <c r="O2004" s="131"/>
    </row>
    <row r="2005" spans="4:15" x14ac:dyDescent="0.3">
      <c r="D2005" s="33"/>
      <c r="E2005" s="127"/>
      <c r="F2005" s="128"/>
      <c r="G2005" s="128"/>
      <c r="H2005" s="129"/>
      <c r="I2005" s="130"/>
      <c r="J2005" s="23"/>
      <c r="K2005" s="23"/>
      <c r="L2005" s="23"/>
      <c r="M2005" s="131"/>
      <c r="N2005" s="131"/>
      <c r="O2005" s="131"/>
    </row>
    <row r="2006" spans="4:15" x14ac:dyDescent="0.3">
      <c r="D2006" s="33"/>
      <c r="E2006" s="127"/>
      <c r="F2006" s="128"/>
      <c r="G2006" s="128"/>
      <c r="H2006" s="129"/>
      <c r="I2006" s="130"/>
      <c r="J2006" s="23"/>
      <c r="K2006" s="23"/>
      <c r="L2006" s="23"/>
      <c r="M2006" s="131"/>
      <c r="N2006" s="131"/>
      <c r="O2006" s="131"/>
    </row>
    <row r="2007" spans="4:15" x14ac:dyDescent="0.3">
      <c r="D2007" s="33"/>
      <c r="E2007" s="127"/>
      <c r="F2007" s="128"/>
      <c r="G2007" s="128"/>
      <c r="H2007" s="129"/>
      <c r="I2007" s="130"/>
      <c r="J2007" s="23"/>
      <c r="K2007" s="23"/>
      <c r="L2007" s="23"/>
      <c r="M2007" s="131"/>
      <c r="N2007" s="131"/>
      <c r="O2007" s="131"/>
    </row>
    <row r="2008" spans="4:15" x14ac:dyDescent="0.3">
      <c r="D2008" s="33"/>
      <c r="E2008" s="127"/>
      <c r="F2008" s="128"/>
      <c r="G2008" s="128"/>
      <c r="H2008" s="129"/>
      <c r="I2008" s="130"/>
      <c r="J2008" s="23"/>
      <c r="K2008" s="23"/>
      <c r="L2008" s="23"/>
      <c r="M2008" s="131"/>
      <c r="N2008" s="131"/>
      <c r="O2008" s="131"/>
    </row>
    <row r="2009" spans="4:15" x14ac:dyDescent="0.3">
      <c r="D2009" s="33"/>
      <c r="E2009" s="127"/>
      <c r="F2009" s="128"/>
      <c r="G2009" s="128"/>
      <c r="H2009" s="129"/>
      <c r="I2009" s="130"/>
      <c r="J2009" s="23"/>
      <c r="K2009" s="23"/>
      <c r="L2009" s="23"/>
      <c r="M2009" s="131"/>
      <c r="N2009" s="131"/>
      <c r="O2009" s="131"/>
    </row>
    <row r="2010" spans="4:15" x14ac:dyDescent="0.3">
      <c r="D2010" s="33"/>
      <c r="E2010" s="127"/>
      <c r="F2010" s="128"/>
      <c r="G2010" s="128"/>
      <c r="H2010" s="129"/>
      <c r="I2010" s="130"/>
      <c r="J2010" s="23"/>
      <c r="K2010" s="23"/>
      <c r="L2010" s="23"/>
      <c r="M2010" s="131"/>
      <c r="N2010" s="131"/>
      <c r="O2010" s="131"/>
    </row>
    <row r="2011" spans="4:15" x14ac:dyDescent="0.3">
      <c r="D2011" s="33"/>
      <c r="E2011" s="127"/>
      <c r="F2011" s="128"/>
      <c r="G2011" s="128"/>
      <c r="H2011" s="129"/>
      <c r="I2011" s="130"/>
      <c r="J2011" s="23"/>
      <c r="K2011" s="23"/>
      <c r="L2011" s="23"/>
      <c r="M2011" s="131"/>
      <c r="N2011" s="131"/>
      <c r="O2011" s="131"/>
    </row>
    <row r="2012" spans="4:15" x14ac:dyDescent="0.3">
      <c r="D2012" s="33"/>
      <c r="E2012" s="127"/>
      <c r="F2012" s="128"/>
      <c r="G2012" s="128"/>
      <c r="H2012" s="129"/>
      <c r="I2012" s="130"/>
      <c r="J2012" s="23"/>
      <c r="K2012" s="23"/>
      <c r="L2012" s="23"/>
      <c r="M2012" s="131"/>
      <c r="N2012" s="131"/>
      <c r="O2012" s="131"/>
    </row>
    <row r="2013" spans="4:15" x14ac:dyDescent="0.3">
      <c r="D2013" s="33"/>
      <c r="E2013" s="127"/>
      <c r="F2013" s="128"/>
      <c r="G2013" s="128"/>
      <c r="H2013" s="129"/>
      <c r="I2013" s="130"/>
      <c r="J2013" s="23"/>
      <c r="K2013" s="23"/>
      <c r="L2013" s="23"/>
      <c r="M2013" s="131"/>
      <c r="N2013" s="131"/>
      <c r="O2013" s="131"/>
    </row>
    <row r="2014" spans="4:15" x14ac:dyDescent="0.3">
      <c r="D2014" s="33"/>
      <c r="E2014" s="127"/>
      <c r="F2014" s="128"/>
      <c r="G2014" s="128"/>
      <c r="H2014" s="129"/>
      <c r="I2014" s="130"/>
      <c r="J2014" s="23"/>
      <c r="K2014" s="23"/>
      <c r="L2014" s="23"/>
      <c r="M2014" s="131"/>
      <c r="N2014" s="131"/>
      <c r="O2014" s="131"/>
    </row>
    <row r="2015" spans="4:15" x14ac:dyDescent="0.3">
      <c r="D2015" s="33"/>
      <c r="E2015" s="127"/>
      <c r="F2015" s="128"/>
      <c r="G2015" s="128"/>
      <c r="H2015" s="129"/>
      <c r="I2015" s="130"/>
      <c r="J2015" s="23"/>
      <c r="K2015" s="23"/>
      <c r="L2015" s="23"/>
      <c r="M2015" s="131"/>
      <c r="N2015" s="131"/>
      <c r="O2015" s="131"/>
    </row>
    <row r="2016" spans="4:15" x14ac:dyDescent="0.3">
      <c r="D2016" s="33"/>
      <c r="E2016" s="127"/>
      <c r="F2016" s="128"/>
      <c r="G2016" s="128"/>
      <c r="H2016" s="129"/>
      <c r="I2016" s="130"/>
      <c r="J2016" s="23"/>
      <c r="K2016" s="23"/>
      <c r="L2016" s="23"/>
      <c r="M2016" s="131"/>
      <c r="N2016" s="131"/>
      <c r="O2016" s="131"/>
    </row>
    <row r="2017" spans="4:15" x14ac:dyDescent="0.3">
      <c r="D2017" s="33"/>
      <c r="E2017" s="127"/>
      <c r="F2017" s="128"/>
      <c r="G2017" s="128"/>
      <c r="H2017" s="129"/>
      <c r="I2017" s="130"/>
      <c r="J2017" s="23"/>
      <c r="K2017" s="23"/>
      <c r="L2017" s="23"/>
      <c r="M2017" s="131"/>
      <c r="N2017" s="131"/>
      <c r="O2017" s="131"/>
    </row>
    <row r="2018" spans="4:15" x14ac:dyDescent="0.3">
      <c r="D2018" s="33"/>
      <c r="E2018" s="127"/>
      <c r="F2018" s="128"/>
      <c r="G2018" s="128"/>
      <c r="H2018" s="129"/>
      <c r="I2018" s="130"/>
      <c r="J2018" s="23"/>
      <c r="K2018" s="23"/>
      <c r="L2018" s="23"/>
      <c r="M2018" s="131"/>
      <c r="N2018" s="131"/>
      <c r="O2018" s="131"/>
    </row>
    <row r="2019" spans="4:15" x14ac:dyDescent="0.3">
      <c r="D2019" s="33"/>
      <c r="E2019" s="127"/>
      <c r="F2019" s="128"/>
      <c r="G2019" s="128"/>
      <c r="H2019" s="129"/>
      <c r="I2019" s="130"/>
      <c r="J2019" s="23"/>
      <c r="K2019" s="23"/>
      <c r="L2019" s="23"/>
      <c r="M2019" s="131"/>
      <c r="N2019" s="131"/>
      <c r="O2019" s="131"/>
    </row>
    <row r="2020" spans="4:15" x14ac:dyDescent="0.3">
      <c r="D2020" s="33"/>
      <c r="E2020" s="127"/>
      <c r="F2020" s="128"/>
      <c r="G2020" s="128"/>
      <c r="H2020" s="129"/>
      <c r="I2020" s="130"/>
      <c r="J2020" s="23"/>
      <c r="K2020" s="23"/>
      <c r="L2020" s="23"/>
      <c r="M2020" s="131"/>
      <c r="N2020" s="131"/>
      <c r="O2020" s="131"/>
    </row>
    <row r="2021" spans="4:15" x14ac:dyDescent="0.3">
      <c r="D2021" s="33"/>
      <c r="E2021" s="127"/>
      <c r="F2021" s="128"/>
      <c r="G2021" s="128"/>
      <c r="H2021" s="129"/>
      <c r="I2021" s="130"/>
      <c r="J2021" s="23"/>
      <c r="K2021" s="23"/>
      <c r="L2021" s="23"/>
      <c r="M2021" s="131"/>
      <c r="N2021" s="131"/>
      <c r="O2021" s="131"/>
    </row>
    <row r="2022" spans="4:15" x14ac:dyDescent="0.3">
      <c r="D2022" s="33"/>
      <c r="E2022" s="127"/>
      <c r="F2022" s="128"/>
      <c r="G2022" s="128"/>
      <c r="H2022" s="129"/>
      <c r="I2022" s="130"/>
      <c r="J2022" s="23"/>
      <c r="K2022" s="23"/>
      <c r="L2022" s="23"/>
      <c r="M2022" s="131"/>
      <c r="N2022" s="131"/>
      <c r="O2022" s="131"/>
    </row>
    <row r="2023" spans="4:15" x14ac:dyDescent="0.3">
      <c r="D2023" s="33"/>
      <c r="E2023" s="127"/>
      <c r="F2023" s="128"/>
      <c r="G2023" s="128"/>
      <c r="H2023" s="129"/>
      <c r="I2023" s="130"/>
      <c r="J2023" s="23"/>
      <c r="K2023" s="23"/>
      <c r="L2023" s="23"/>
      <c r="M2023" s="131"/>
      <c r="N2023" s="131"/>
      <c r="O2023" s="131"/>
    </row>
    <row r="2024" spans="4:15" x14ac:dyDescent="0.3">
      <c r="D2024" s="33"/>
      <c r="E2024" s="127"/>
      <c r="F2024" s="128"/>
      <c r="G2024" s="128"/>
      <c r="H2024" s="129"/>
      <c r="I2024" s="130"/>
      <c r="J2024" s="23"/>
      <c r="K2024" s="23"/>
      <c r="L2024" s="23"/>
      <c r="M2024" s="131"/>
      <c r="N2024" s="131"/>
      <c r="O2024" s="131"/>
    </row>
    <row r="2025" spans="4:15" x14ac:dyDescent="0.3">
      <c r="D2025" s="33"/>
      <c r="E2025" s="127"/>
      <c r="F2025" s="128"/>
      <c r="G2025" s="128"/>
      <c r="H2025" s="129"/>
      <c r="I2025" s="130"/>
      <c r="J2025" s="23"/>
      <c r="K2025" s="23"/>
      <c r="L2025" s="23"/>
      <c r="M2025" s="131"/>
      <c r="N2025" s="131"/>
      <c r="O2025" s="131"/>
    </row>
    <row r="2026" spans="4:15" x14ac:dyDescent="0.3">
      <c r="D2026" s="33"/>
      <c r="E2026" s="127"/>
      <c r="F2026" s="128"/>
      <c r="G2026" s="128"/>
      <c r="H2026" s="129"/>
      <c r="I2026" s="130"/>
      <c r="J2026" s="23"/>
      <c r="K2026" s="23"/>
      <c r="L2026" s="23"/>
      <c r="M2026" s="131"/>
      <c r="N2026" s="131"/>
      <c r="O2026" s="131"/>
    </row>
    <row r="2027" spans="4:15" x14ac:dyDescent="0.3">
      <c r="D2027" s="33"/>
      <c r="E2027" s="127"/>
      <c r="F2027" s="128"/>
      <c r="G2027" s="128"/>
      <c r="H2027" s="129"/>
      <c r="I2027" s="130"/>
      <c r="J2027" s="23"/>
      <c r="K2027" s="23"/>
      <c r="L2027" s="23"/>
      <c r="M2027" s="131"/>
      <c r="N2027" s="131"/>
      <c r="O2027" s="131"/>
    </row>
    <row r="2028" spans="4:15" x14ac:dyDescent="0.3">
      <c r="D2028" s="33"/>
      <c r="E2028" s="127"/>
      <c r="F2028" s="128"/>
      <c r="G2028" s="128"/>
      <c r="H2028" s="129"/>
      <c r="I2028" s="130"/>
      <c r="J2028" s="23"/>
      <c r="K2028" s="23"/>
      <c r="L2028" s="23"/>
      <c r="M2028" s="131"/>
      <c r="N2028" s="131"/>
      <c r="O2028" s="131"/>
    </row>
    <row r="2029" spans="4:15" x14ac:dyDescent="0.3">
      <c r="D2029" s="33"/>
      <c r="E2029" s="127"/>
      <c r="F2029" s="128"/>
      <c r="G2029" s="128"/>
      <c r="H2029" s="129"/>
      <c r="I2029" s="130"/>
      <c r="J2029" s="23"/>
      <c r="K2029" s="23"/>
      <c r="L2029" s="23"/>
      <c r="M2029" s="131"/>
      <c r="N2029" s="131"/>
      <c r="O2029" s="131"/>
    </row>
    <row r="2030" spans="4:15" x14ac:dyDescent="0.3">
      <c r="D2030" s="33"/>
      <c r="E2030" s="127"/>
      <c r="F2030" s="128"/>
      <c r="G2030" s="128"/>
      <c r="H2030" s="129"/>
      <c r="I2030" s="130"/>
      <c r="J2030" s="23"/>
      <c r="K2030" s="23"/>
      <c r="L2030" s="23"/>
      <c r="M2030" s="131"/>
      <c r="N2030" s="131"/>
      <c r="O2030" s="131"/>
    </row>
    <row r="2031" spans="4:15" x14ac:dyDescent="0.3">
      <c r="D2031" s="33"/>
      <c r="E2031" s="127"/>
      <c r="F2031" s="128"/>
      <c r="G2031" s="128"/>
      <c r="H2031" s="129"/>
      <c r="I2031" s="130"/>
      <c r="J2031" s="23"/>
      <c r="K2031" s="23"/>
      <c r="L2031" s="23"/>
      <c r="M2031" s="131"/>
      <c r="N2031" s="131"/>
      <c r="O2031" s="131"/>
    </row>
    <row r="2032" spans="4:15" x14ac:dyDescent="0.3">
      <c r="D2032" s="33"/>
      <c r="E2032" s="127"/>
      <c r="F2032" s="128"/>
      <c r="G2032" s="128"/>
      <c r="H2032" s="129"/>
      <c r="I2032" s="130"/>
      <c r="J2032" s="23"/>
      <c r="K2032" s="23"/>
      <c r="L2032" s="23"/>
      <c r="M2032" s="131"/>
      <c r="N2032" s="131"/>
      <c r="O2032" s="131"/>
    </row>
    <row r="2033" spans="4:15" x14ac:dyDescent="0.3">
      <c r="D2033" s="33"/>
      <c r="E2033" s="127"/>
      <c r="F2033" s="128"/>
      <c r="G2033" s="128"/>
      <c r="H2033" s="129"/>
      <c r="I2033" s="130"/>
      <c r="J2033" s="23"/>
      <c r="K2033" s="23"/>
      <c r="L2033" s="23"/>
      <c r="M2033" s="131"/>
      <c r="N2033" s="131"/>
      <c r="O2033" s="131"/>
    </row>
    <row r="2034" spans="4:15" x14ac:dyDescent="0.3">
      <c r="D2034" s="33"/>
      <c r="E2034" s="127"/>
      <c r="F2034" s="128"/>
      <c r="G2034" s="128"/>
      <c r="H2034" s="129"/>
      <c r="I2034" s="130"/>
      <c r="J2034" s="23"/>
      <c r="K2034" s="23"/>
      <c r="L2034" s="23"/>
      <c r="M2034" s="131"/>
      <c r="N2034" s="131"/>
      <c r="O2034" s="131"/>
    </row>
    <row r="2035" spans="4:15" x14ac:dyDescent="0.3">
      <c r="D2035" s="33"/>
      <c r="E2035" s="127"/>
      <c r="F2035" s="128"/>
      <c r="G2035" s="128"/>
      <c r="H2035" s="129"/>
      <c r="I2035" s="130"/>
      <c r="J2035" s="23"/>
      <c r="K2035" s="23"/>
      <c r="L2035" s="23"/>
      <c r="M2035" s="131"/>
      <c r="N2035" s="131"/>
      <c r="O2035" s="131"/>
    </row>
    <row r="2036" spans="4:15" x14ac:dyDescent="0.3">
      <c r="D2036" s="33"/>
      <c r="E2036" s="127"/>
      <c r="F2036" s="128"/>
      <c r="G2036" s="128"/>
      <c r="H2036" s="129"/>
      <c r="I2036" s="130"/>
      <c r="J2036" s="23"/>
      <c r="K2036" s="23"/>
      <c r="L2036" s="23"/>
      <c r="M2036" s="131"/>
      <c r="N2036" s="131"/>
      <c r="O2036" s="131"/>
    </row>
    <row r="2037" spans="4:15" x14ac:dyDescent="0.3">
      <c r="D2037" s="33"/>
      <c r="E2037" s="127"/>
      <c r="F2037" s="128"/>
      <c r="G2037" s="128"/>
      <c r="H2037" s="129"/>
      <c r="I2037" s="130"/>
      <c r="J2037" s="23"/>
      <c r="K2037" s="23"/>
      <c r="L2037" s="23"/>
      <c r="M2037" s="131"/>
      <c r="N2037" s="131"/>
      <c r="O2037" s="131"/>
    </row>
    <row r="2038" spans="4:15" x14ac:dyDescent="0.3">
      <c r="D2038" s="33"/>
      <c r="E2038" s="127"/>
      <c r="F2038" s="128"/>
      <c r="G2038" s="128"/>
      <c r="H2038" s="129"/>
      <c r="I2038" s="130"/>
      <c r="J2038" s="23"/>
      <c r="K2038" s="23"/>
      <c r="L2038" s="23"/>
      <c r="M2038" s="131"/>
      <c r="N2038" s="131"/>
      <c r="O2038" s="131"/>
    </row>
    <row r="2039" spans="4:15" x14ac:dyDescent="0.3">
      <c r="D2039" s="33"/>
      <c r="E2039" s="127"/>
      <c r="F2039" s="128"/>
      <c r="G2039" s="128"/>
      <c r="H2039" s="129"/>
      <c r="I2039" s="130"/>
      <c r="J2039" s="23"/>
      <c r="K2039" s="23"/>
      <c r="L2039" s="23"/>
      <c r="M2039" s="131"/>
      <c r="N2039" s="131"/>
      <c r="O2039" s="131"/>
    </row>
    <row r="2040" spans="4:15" x14ac:dyDescent="0.3">
      <c r="D2040" s="33"/>
      <c r="E2040" s="127"/>
      <c r="F2040" s="128"/>
      <c r="G2040" s="128"/>
      <c r="H2040" s="129"/>
      <c r="I2040" s="130"/>
      <c r="J2040" s="23"/>
      <c r="K2040" s="23"/>
      <c r="L2040" s="23"/>
      <c r="M2040" s="131"/>
      <c r="N2040" s="131"/>
      <c r="O2040" s="131"/>
    </row>
    <row r="2041" spans="4:15" x14ac:dyDescent="0.3">
      <c r="D2041" s="33"/>
      <c r="E2041" s="127"/>
      <c r="F2041" s="128"/>
      <c r="G2041" s="128"/>
      <c r="H2041" s="129"/>
      <c r="I2041" s="130"/>
      <c r="J2041" s="23"/>
      <c r="K2041" s="23"/>
      <c r="L2041" s="23"/>
      <c r="M2041" s="131"/>
      <c r="N2041" s="131"/>
      <c r="O2041" s="131"/>
    </row>
    <row r="2042" spans="4:15" x14ac:dyDescent="0.3">
      <c r="D2042" s="33"/>
      <c r="E2042" s="127"/>
      <c r="F2042" s="128"/>
      <c r="G2042" s="128"/>
      <c r="H2042" s="129"/>
      <c r="I2042" s="130"/>
      <c r="J2042" s="23"/>
      <c r="K2042" s="23"/>
      <c r="L2042" s="23"/>
      <c r="M2042" s="131"/>
      <c r="N2042" s="131"/>
      <c r="O2042" s="131"/>
    </row>
    <row r="2043" spans="4:15" x14ac:dyDescent="0.3">
      <c r="D2043" s="33"/>
      <c r="E2043" s="127"/>
      <c r="F2043" s="128"/>
      <c r="G2043" s="128"/>
      <c r="H2043" s="129"/>
      <c r="I2043" s="130"/>
      <c r="J2043" s="23"/>
      <c r="K2043" s="23"/>
      <c r="L2043" s="23"/>
      <c r="M2043" s="131"/>
      <c r="N2043" s="131"/>
      <c r="O2043" s="131"/>
    </row>
    <row r="2044" spans="4:15" x14ac:dyDescent="0.3">
      <c r="D2044" s="33"/>
      <c r="E2044" s="127"/>
      <c r="F2044" s="128"/>
      <c r="G2044" s="128"/>
      <c r="H2044" s="129"/>
      <c r="I2044" s="130"/>
      <c r="J2044" s="23"/>
      <c r="K2044" s="23"/>
      <c r="L2044" s="23"/>
      <c r="M2044" s="131"/>
      <c r="N2044" s="131"/>
      <c r="O2044" s="131"/>
    </row>
    <row r="2045" spans="4:15" x14ac:dyDescent="0.3">
      <c r="D2045" s="33"/>
      <c r="E2045" s="127"/>
      <c r="F2045" s="128"/>
      <c r="G2045" s="128"/>
      <c r="H2045" s="129"/>
      <c r="I2045" s="130"/>
      <c r="J2045" s="23"/>
      <c r="K2045" s="23"/>
      <c r="L2045" s="23"/>
      <c r="M2045" s="131"/>
      <c r="N2045" s="131"/>
      <c r="O2045" s="131"/>
    </row>
    <row r="2046" spans="4:15" x14ac:dyDescent="0.3">
      <c r="D2046" s="33"/>
      <c r="E2046" s="127"/>
      <c r="F2046" s="128"/>
      <c r="G2046" s="128"/>
      <c r="H2046" s="129"/>
      <c r="I2046" s="130"/>
      <c r="J2046" s="23"/>
      <c r="K2046" s="23"/>
      <c r="L2046" s="23"/>
      <c r="M2046" s="131"/>
      <c r="N2046" s="131"/>
      <c r="O2046" s="131"/>
    </row>
    <row r="2047" spans="4:15" x14ac:dyDescent="0.3">
      <c r="D2047" s="33"/>
      <c r="E2047" s="127"/>
      <c r="F2047" s="128"/>
      <c r="G2047" s="128"/>
      <c r="H2047" s="129"/>
      <c r="I2047" s="130"/>
      <c r="J2047" s="23"/>
      <c r="K2047" s="23"/>
      <c r="L2047" s="23"/>
      <c r="M2047" s="131"/>
      <c r="N2047" s="131"/>
      <c r="O2047" s="131"/>
    </row>
    <row r="2048" spans="4:15" x14ac:dyDescent="0.3">
      <c r="D2048" s="33"/>
      <c r="E2048" s="127"/>
      <c r="F2048" s="128"/>
      <c r="G2048" s="128"/>
      <c r="H2048" s="129"/>
      <c r="I2048" s="130"/>
      <c r="J2048" s="23"/>
      <c r="K2048" s="23"/>
      <c r="L2048" s="23"/>
      <c r="M2048" s="131"/>
      <c r="N2048" s="131"/>
      <c r="O2048" s="131"/>
    </row>
    <row r="2049" spans="4:15" x14ac:dyDescent="0.3">
      <c r="D2049" s="33"/>
      <c r="E2049" s="127"/>
      <c r="F2049" s="128"/>
      <c r="G2049" s="128"/>
      <c r="H2049" s="129"/>
      <c r="I2049" s="130"/>
      <c r="J2049" s="23"/>
      <c r="K2049" s="23"/>
      <c r="L2049" s="23"/>
      <c r="M2049" s="131"/>
      <c r="N2049" s="131"/>
      <c r="O2049" s="131"/>
    </row>
    <row r="2050" spans="4:15" x14ac:dyDescent="0.3">
      <c r="D2050" s="33"/>
      <c r="E2050" s="127"/>
      <c r="F2050" s="128"/>
      <c r="G2050" s="128"/>
      <c r="H2050" s="129"/>
      <c r="I2050" s="130"/>
      <c r="J2050" s="23"/>
      <c r="K2050" s="23"/>
      <c r="L2050" s="23"/>
      <c r="M2050" s="131"/>
      <c r="N2050" s="131"/>
      <c r="O2050" s="131"/>
    </row>
    <row r="2051" spans="4:15" x14ac:dyDescent="0.3">
      <c r="D2051" s="33"/>
      <c r="E2051" s="127"/>
      <c r="F2051" s="128"/>
      <c r="G2051" s="128"/>
      <c r="H2051" s="129"/>
      <c r="I2051" s="130"/>
      <c r="J2051" s="23"/>
      <c r="K2051" s="23"/>
      <c r="L2051" s="23"/>
      <c r="M2051" s="131"/>
      <c r="N2051" s="131"/>
      <c r="O2051" s="131"/>
    </row>
    <row r="2052" spans="4:15" x14ac:dyDescent="0.3">
      <c r="D2052" s="33"/>
      <c r="E2052" s="127"/>
      <c r="F2052" s="128"/>
      <c r="G2052" s="128"/>
      <c r="H2052" s="129"/>
      <c r="I2052" s="130"/>
      <c r="J2052" s="23"/>
      <c r="K2052" s="23"/>
      <c r="L2052" s="23"/>
      <c r="M2052" s="131"/>
      <c r="N2052" s="131"/>
      <c r="O2052" s="131"/>
    </row>
    <row r="2053" spans="4:15" x14ac:dyDescent="0.3">
      <c r="D2053" s="33"/>
      <c r="E2053" s="127"/>
      <c r="F2053" s="128"/>
      <c r="G2053" s="128"/>
      <c r="H2053" s="129"/>
      <c r="I2053" s="130"/>
      <c r="J2053" s="23"/>
      <c r="K2053" s="23"/>
      <c r="L2053" s="23"/>
      <c r="M2053" s="131"/>
      <c r="N2053" s="131"/>
      <c r="O2053" s="131"/>
    </row>
    <row r="2054" spans="4:15" x14ac:dyDescent="0.3">
      <c r="D2054" s="33"/>
      <c r="E2054" s="127"/>
      <c r="F2054" s="128"/>
      <c r="G2054" s="128"/>
      <c r="H2054" s="129"/>
      <c r="I2054" s="130"/>
      <c r="J2054" s="23"/>
      <c r="K2054" s="23"/>
      <c r="L2054" s="23"/>
      <c r="M2054" s="131"/>
      <c r="N2054" s="131"/>
      <c r="O2054" s="131"/>
    </row>
    <row r="2055" spans="4:15" x14ac:dyDescent="0.3">
      <c r="D2055" s="33"/>
      <c r="E2055" s="127"/>
      <c r="F2055" s="128"/>
      <c r="G2055" s="128"/>
      <c r="H2055" s="129"/>
      <c r="I2055" s="130"/>
      <c r="J2055" s="23"/>
      <c r="K2055" s="23"/>
      <c r="L2055" s="23"/>
      <c r="M2055" s="131"/>
      <c r="N2055" s="131"/>
      <c r="O2055" s="131"/>
    </row>
    <row r="2056" spans="4:15" x14ac:dyDescent="0.3">
      <c r="D2056" s="33"/>
      <c r="E2056" s="127"/>
      <c r="F2056" s="128"/>
      <c r="G2056" s="128"/>
      <c r="H2056" s="129"/>
      <c r="I2056" s="130"/>
      <c r="J2056" s="23"/>
      <c r="K2056" s="23"/>
      <c r="L2056" s="23"/>
      <c r="M2056" s="131"/>
      <c r="N2056" s="131"/>
      <c r="O2056" s="131"/>
    </row>
    <row r="2057" spans="4:15" x14ac:dyDescent="0.3">
      <c r="D2057" s="33"/>
      <c r="E2057" s="127"/>
      <c r="F2057" s="128"/>
      <c r="G2057" s="128"/>
      <c r="H2057" s="129"/>
      <c r="I2057" s="130"/>
      <c r="J2057" s="23"/>
      <c r="K2057" s="23"/>
      <c r="L2057" s="23"/>
      <c r="M2057" s="131"/>
      <c r="N2057" s="131"/>
      <c r="O2057" s="131"/>
    </row>
    <row r="2058" spans="4:15" x14ac:dyDescent="0.3">
      <c r="D2058" s="33"/>
      <c r="E2058" s="127"/>
      <c r="F2058" s="128"/>
      <c r="G2058" s="128"/>
      <c r="H2058" s="129"/>
      <c r="I2058" s="130"/>
      <c r="J2058" s="23"/>
      <c r="K2058" s="23"/>
      <c r="L2058" s="23"/>
      <c r="M2058" s="131"/>
      <c r="N2058" s="131"/>
      <c r="O2058" s="131"/>
    </row>
    <row r="2059" spans="4:15" x14ac:dyDescent="0.3">
      <c r="D2059" s="33"/>
      <c r="E2059" s="127"/>
      <c r="F2059" s="128"/>
      <c r="G2059" s="128"/>
      <c r="H2059" s="129"/>
      <c r="I2059" s="130"/>
      <c r="J2059" s="23"/>
      <c r="K2059" s="23"/>
      <c r="L2059" s="23"/>
      <c r="M2059" s="131"/>
      <c r="N2059" s="131"/>
      <c r="O2059" s="131"/>
    </row>
    <row r="2060" spans="4:15" x14ac:dyDescent="0.3">
      <c r="D2060" s="33"/>
      <c r="E2060" s="127"/>
      <c r="F2060" s="128"/>
      <c r="G2060" s="128"/>
      <c r="H2060" s="129"/>
      <c r="I2060" s="130"/>
      <c r="J2060" s="23"/>
      <c r="K2060" s="23"/>
      <c r="L2060" s="23"/>
      <c r="M2060" s="131"/>
      <c r="N2060" s="131"/>
      <c r="O2060" s="131"/>
    </row>
    <row r="2061" spans="4:15" x14ac:dyDescent="0.3">
      <c r="D2061" s="33"/>
      <c r="E2061" s="127"/>
      <c r="F2061" s="128"/>
      <c r="G2061" s="128"/>
      <c r="H2061" s="129"/>
      <c r="I2061" s="130"/>
      <c r="J2061" s="23"/>
      <c r="K2061" s="23"/>
      <c r="L2061" s="23"/>
      <c r="M2061" s="131"/>
      <c r="N2061" s="131"/>
      <c r="O2061" s="131"/>
    </row>
    <row r="2062" spans="4:15" x14ac:dyDescent="0.3">
      <c r="D2062" s="33"/>
      <c r="E2062" s="127"/>
      <c r="F2062" s="128"/>
      <c r="G2062" s="128"/>
      <c r="H2062" s="129"/>
      <c r="I2062" s="130"/>
      <c r="J2062" s="23"/>
      <c r="K2062" s="23"/>
      <c r="L2062" s="23"/>
      <c r="M2062" s="131"/>
      <c r="N2062" s="131"/>
      <c r="O2062" s="131"/>
    </row>
    <row r="2063" spans="4:15" x14ac:dyDescent="0.3">
      <c r="D2063" s="33"/>
      <c r="E2063" s="127"/>
      <c r="F2063" s="128"/>
      <c r="G2063" s="128"/>
      <c r="H2063" s="129"/>
      <c r="I2063" s="130"/>
      <c r="J2063" s="23"/>
      <c r="K2063" s="23"/>
      <c r="L2063" s="23"/>
      <c r="M2063" s="131"/>
      <c r="N2063" s="131"/>
      <c r="O2063" s="131"/>
    </row>
    <row r="2064" spans="4:15" x14ac:dyDescent="0.3">
      <c r="D2064" s="33"/>
      <c r="E2064" s="127"/>
      <c r="F2064" s="128"/>
      <c r="G2064" s="128"/>
      <c r="H2064" s="129"/>
      <c r="I2064" s="130"/>
      <c r="J2064" s="23"/>
      <c r="K2064" s="23"/>
      <c r="L2064" s="23"/>
      <c r="M2064" s="131"/>
      <c r="N2064" s="131"/>
      <c r="O2064" s="131"/>
    </row>
    <row r="2065" spans="4:15" x14ac:dyDescent="0.3">
      <c r="D2065" s="33"/>
      <c r="E2065" s="127"/>
      <c r="F2065" s="128"/>
      <c r="G2065" s="128"/>
      <c r="H2065" s="129"/>
      <c r="I2065" s="130"/>
      <c r="J2065" s="23"/>
      <c r="K2065" s="23"/>
      <c r="L2065" s="23"/>
      <c r="M2065" s="131"/>
      <c r="N2065" s="131"/>
      <c r="O2065" s="131"/>
    </row>
    <row r="2066" spans="4:15" x14ac:dyDescent="0.3">
      <c r="D2066" s="33"/>
      <c r="E2066" s="127"/>
      <c r="F2066" s="128"/>
      <c r="G2066" s="128"/>
      <c r="H2066" s="129"/>
      <c r="I2066" s="130"/>
      <c r="J2066" s="23"/>
      <c r="K2066" s="23"/>
      <c r="L2066" s="23"/>
      <c r="M2066" s="131"/>
      <c r="N2066" s="131"/>
      <c r="O2066" s="131"/>
    </row>
    <row r="2067" spans="4:15" x14ac:dyDescent="0.3">
      <c r="D2067" s="33"/>
      <c r="E2067" s="127"/>
      <c r="F2067" s="128"/>
      <c r="G2067" s="128"/>
      <c r="H2067" s="129"/>
      <c r="I2067" s="130"/>
      <c r="J2067" s="23"/>
      <c r="K2067" s="23"/>
      <c r="L2067" s="23"/>
      <c r="M2067" s="131"/>
      <c r="N2067" s="131"/>
      <c r="O2067" s="131"/>
    </row>
    <row r="2068" spans="4:15" x14ac:dyDescent="0.3">
      <c r="D2068" s="33"/>
      <c r="E2068" s="127"/>
      <c r="F2068" s="128"/>
      <c r="G2068" s="128"/>
      <c r="H2068" s="129"/>
      <c r="I2068" s="130"/>
      <c r="J2068" s="23"/>
      <c r="K2068" s="23"/>
      <c r="L2068" s="23"/>
      <c r="M2068" s="131"/>
      <c r="N2068" s="131"/>
      <c r="O2068" s="131"/>
    </row>
    <row r="2069" spans="4:15" x14ac:dyDescent="0.3">
      <c r="D2069" s="33"/>
      <c r="E2069" s="127"/>
      <c r="F2069" s="128"/>
      <c r="G2069" s="128"/>
      <c r="H2069" s="129"/>
      <c r="I2069" s="130"/>
      <c r="J2069" s="23"/>
      <c r="K2069" s="23"/>
      <c r="L2069" s="23"/>
      <c r="M2069" s="131"/>
      <c r="N2069" s="131"/>
      <c r="O2069" s="131"/>
    </row>
    <row r="2070" spans="4:15" x14ac:dyDescent="0.3">
      <c r="D2070" s="33"/>
      <c r="E2070" s="127"/>
      <c r="F2070" s="128"/>
      <c r="G2070" s="128"/>
      <c r="H2070" s="129"/>
      <c r="I2070" s="130"/>
      <c r="J2070" s="23"/>
      <c r="K2070" s="23"/>
      <c r="L2070" s="23"/>
      <c r="M2070" s="131"/>
      <c r="N2070" s="131"/>
      <c r="O2070" s="131"/>
    </row>
    <row r="2071" spans="4:15" x14ac:dyDescent="0.3">
      <c r="D2071" s="33"/>
      <c r="E2071" s="127"/>
      <c r="F2071" s="128"/>
      <c r="G2071" s="128"/>
      <c r="H2071" s="129"/>
      <c r="I2071" s="130"/>
      <c r="J2071" s="23"/>
      <c r="K2071" s="23"/>
      <c r="L2071" s="23"/>
      <c r="M2071" s="131"/>
      <c r="N2071" s="131"/>
      <c r="O2071" s="131"/>
    </row>
    <row r="2072" spans="4:15" x14ac:dyDescent="0.3">
      <c r="D2072" s="33"/>
      <c r="E2072" s="127"/>
      <c r="F2072" s="128"/>
      <c r="G2072" s="128"/>
      <c r="H2072" s="129"/>
      <c r="I2072" s="130"/>
      <c r="J2072" s="23"/>
      <c r="K2072" s="23"/>
      <c r="L2072" s="23"/>
      <c r="M2072" s="131"/>
      <c r="N2072" s="131"/>
      <c r="O2072" s="131"/>
    </row>
    <row r="2073" spans="4:15" x14ac:dyDescent="0.3">
      <c r="D2073" s="33"/>
      <c r="E2073" s="127"/>
      <c r="F2073" s="128"/>
      <c r="G2073" s="128"/>
      <c r="H2073" s="129"/>
      <c r="I2073" s="130"/>
      <c r="J2073" s="23"/>
      <c r="K2073" s="23"/>
      <c r="L2073" s="23"/>
      <c r="M2073" s="131"/>
      <c r="N2073" s="131"/>
      <c r="O2073" s="131"/>
    </row>
    <row r="2074" spans="4:15" x14ac:dyDescent="0.3">
      <c r="D2074" s="33"/>
      <c r="E2074" s="127"/>
      <c r="F2074" s="128"/>
      <c r="G2074" s="128"/>
      <c r="H2074" s="129"/>
      <c r="I2074" s="130"/>
      <c r="J2074" s="23"/>
      <c r="K2074" s="23"/>
      <c r="L2074" s="23"/>
      <c r="M2074" s="131"/>
      <c r="N2074" s="131"/>
      <c r="O2074" s="131"/>
    </row>
    <row r="2075" spans="4:15" x14ac:dyDescent="0.3">
      <c r="D2075" s="33"/>
      <c r="E2075" s="127"/>
      <c r="F2075" s="128"/>
      <c r="G2075" s="128"/>
      <c r="H2075" s="129"/>
      <c r="I2075" s="130"/>
      <c r="J2075" s="23"/>
      <c r="K2075" s="23"/>
      <c r="L2075" s="23"/>
      <c r="M2075" s="131"/>
      <c r="N2075" s="131"/>
      <c r="O2075" s="131"/>
    </row>
    <row r="2076" spans="4:15" x14ac:dyDescent="0.3">
      <c r="D2076" s="33"/>
      <c r="E2076" s="127"/>
      <c r="F2076" s="128"/>
      <c r="G2076" s="128"/>
      <c r="H2076" s="129"/>
      <c r="I2076" s="130"/>
      <c r="J2076" s="23"/>
      <c r="K2076" s="23"/>
      <c r="L2076" s="23"/>
      <c r="M2076" s="131"/>
      <c r="N2076" s="131"/>
      <c r="O2076" s="131"/>
    </row>
    <row r="2077" spans="4:15" x14ac:dyDescent="0.3">
      <c r="D2077" s="33"/>
      <c r="E2077" s="127"/>
      <c r="F2077" s="128"/>
      <c r="G2077" s="128"/>
      <c r="H2077" s="129"/>
      <c r="I2077" s="130"/>
      <c r="J2077" s="23"/>
      <c r="K2077" s="23"/>
      <c r="L2077" s="23"/>
      <c r="M2077" s="131"/>
      <c r="N2077" s="131"/>
      <c r="O2077" s="131"/>
    </row>
    <row r="2078" spans="4:15" x14ac:dyDescent="0.3">
      <c r="D2078" s="33"/>
      <c r="E2078" s="127"/>
      <c r="F2078" s="128"/>
      <c r="G2078" s="128"/>
      <c r="H2078" s="129"/>
      <c r="I2078" s="130"/>
      <c r="J2078" s="23"/>
      <c r="K2078" s="23"/>
      <c r="L2078" s="23"/>
      <c r="M2078" s="131"/>
      <c r="N2078" s="131"/>
      <c r="O2078" s="131"/>
    </row>
    <row r="2079" spans="4:15" x14ac:dyDescent="0.3">
      <c r="D2079" s="33"/>
      <c r="E2079" s="127"/>
      <c r="F2079" s="128"/>
      <c r="G2079" s="128"/>
      <c r="H2079" s="129"/>
      <c r="I2079" s="130"/>
      <c r="J2079" s="23"/>
      <c r="K2079" s="23"/>
      <c r="L2079" s="23"/>
      <c r="M2079" s="131"/>
      <c r="N2079" s="131"/>
      <c r="O2079" s="131"/>
    </row>
    <row r="2080" spans="4:15" x14ac:dyDescent="0.3">
      <c r="D2080" s="33"/>
      <c r="E2080" s="127"/>
      <c r="F2080" s="128"/>
      <c r="G2080" s="128"/>
      <c r="H2080" s="129"/>
      <c r="I2080" s="130"/>
      <c r="J2080" s="23"/>
      <c r="K2080" s="23"/>
      <c r="L2080" s="23"/>
      <c r="M2080" s="131"/>
      <c r="N2080" s="131"/>
      <c r="O2080" s="131"/>
    </row>
    <row r="2081" spans="4:15" x14ac:dyDescent="0.3">
      <c r="D2081" s="33"/>
      <c r="E2081" s="127"/>
      <c r="F2081" s="128"/>
      <c r="G2081" s="128"/>
      <c r="H2081" s="129"/>
      <c r="I2081" s="130"/>
      <c r="J2081" s="23"/>
      <c r="K2081" s="23"/>
      <c r="L2081" s="23"/>
      <c r="M2081" s="131"/>
      <c r="N2081" s="131"/>
      <c r="O2081" s="131"/>
    </row>
    <row r="2082" spans="4:15" x14ac:dyDescent="0.3">
      <c r="D2082" s="33"/>
      <c r="E2082" s="127"/>
      <c r="F2082" s="128"/>
      <c r="G2082" s="128"/>
      <c r="H2082" s="129"/>
      <c r="I2082" s="130"/>
      <c r="J2082" s="23"/>
      <c r="K2082" s="23"/>
      <c r="L2082" s="23"/>
      <c r="M2082" s="131"/>
      <c r="N2082" s="131"/>
      <c r="O2082" s="131"/>
    </row>
    <row r="2083" spans="4:15" x14ac:dyDescent="0.3">
      <c r="D2083" s="33"/>
      <c r="E2083" s="127"/>
      <c r="F2083" s="128"/>
      <c r="G2083" s="128"/>
      <c r="H2083" s="129"/>
      <c r="I2083" s="130"/>
      <c r="J2083" s="23"/>
      <c r="K2083" s="23"/>
      <c r="L2083" s="23"/>
      <c r="M2083" s="131"/>
      <c r="N2083" s="131"/>
      <c r="O2083" s="131"/>
    </row>
    <row r="2084" spans="4:15" x14ac:dyDescent="0.3">
      <c r="D2084" s="33"/>
      <c r="E2084" s="127"/>
      <c r="F2084" s="128"/>
      <c r="G2084" s="128"/>
      <c r="H2084" s="129"/>
      <c r="I2084" s="130"/>
      <c r="J2084" s="23"/>
      <c r="K2084" s="23"/>
      <c r="L2084" s="23"/>
      <c r="M2084" s="131"/>
      <c r="N2084" s="131"/>
      <c r="O2084" s="131"/>
    </row>
    <row r="2085" spans="4:15" x14ac:dyDescent="0.3">
      <c r="D2085" s="33"/>
      <c r="E2085" s="127"/>
      <c r="F2085" s="128"/>
      <c r="G2085" s="128"/>
      <c r="H2085" s="129"/>
      <c r="I2085" s="130"/>
      <c r="J2085" s="23"/>
      <c r="K2085" s="23"/>
      <c r="L2085" s="23"/>
      <c r="M2085" s="131"/>
      <c r="N2085" s="131"/>
      <c r="O2085" s="131"/>
    </row>
    <row r="2086" spans="4:15" x14ac:dyDescent="0.3">
      <c r="D2086" s="33"/>
      <c r="E2086" s="127"/>
      <c r="F2086" s="128"/>
      <c r="G2086" s="128"/>
      <c r="H2086" s="129"/>
      <c r="I2086" s="130"/>
      <c r="J2086" s="23"/>
      <c r="K2086" s="23"/>
      <c r="L2086" s="23"/>
      <c r="M2086" s="131"/>
      <c r="N2086" s="131"/>
      <c r="O2086" s="131"/>
    </row>
    <row r="2087" spans="4:15" x14ac:dyDescent="0.3">
      <c r="D2087" s="33"/>
      <c r="E2087" s="127"/>
      <c r="F2087" s="128"/>
      <c r="G2087" s="128"/>
      <c r="H2087" s="129"/>
      <c r="I2087" s="130"/>
      <c r="J2087" s="23"/>
      <c r="K2087" s="23"/>
      <c r="L2087" s="23"/>
      <c r="M2087" s="131"/>
      <c r="N2087" s="131"/>
      <c r="O2087" s="131"/>
    </row>
    <row r="2088" spans="4:15" x14ac:dyDescent="0.3">
      <c r="D2088" s="33"/>
      <c r="E2088" s="127"/>
      <c r="F2088" s="128"/>
      <c r="G2088" s="128"/>
      <c r="H2088" s="129"/>
      <c r="I2088" s="130"/>
      <c r="J2088" s="23"/>
      <c r="K2088" s="23"/>
      <c r="L2088" s="23"/>
      <c r="M2088" s="131"/>
      <c r="N2088" s="131"/>
      <c r="O2088" s="131"/>
    </row>
    <row r="2089" spans="4:15" x14ac:dyDescent="0.3">
      <c r="D2089" s="33"/>
      <c r="E2089" s="127"/>
      <c r="F2089" s="128"/>
      <c r="G2089" s="128"/>
      <c r="H2089" s="129"/>
      <c r="I2089" s="130"/>
      <c r="J2089" s="23"/>
      <c r="K2089" s="23"/>
      <c r="L2089" s="23"/>
      <c r="M2089" s="131"/>
      <c r="N2089" s="131"/>
      <c r="O2089" s="131"/>
    </row>
    <row r="2090" spans="4:15" x14ac:dyDescent="0.3">
      <c r="D2090" s="33"/>
      <c r="E2090" s="127"/>
      <c r="F2090" s="128"/>
      <c r="G2090" s="128"/>
      <c r="H2090" s="129"/>
      <c r="I2090" s="130"/>
      <c r="J2090" s="23"/>
      <c r="K2090" s="23"/>
      <c r="L2090" s="23"/>
      <c r="M2090" s="131"/>
      <c r="N2090" s="131"/>
      <c r="O2090" s="131"/>
    </row>
    <row r="2091" spans="4:15" x14ac:dyDescent="0.3">
      <c r="D2091" s="33"/>
      <c r="E2091" s="127"/>
      <c r="F2091" s="128"/>
      <c r="G2091" s="128"/>
      <c r="H2091" s="129"/>
      <c r="I2091" s="130"/>
      <c r="J2091" s="23"/>
      <c r="K2091" s="23"/>
      <c r="L2091" s="23"/>
      <c r="M2091" s="131"/>
      <c r="N2091" s="131"/>
      <c r="O2091" s="131"/>
    </row>
    <row r="2092" spans="4:15" x14ac:dyDescent="0.3">
      <c r="D2092" s="33"/>
      <c r="E2092" s="127"/>
      <c r="F2092" s="128"/>
      <c r="G2092" s="128"/>
      <c r="H2092" s="129"/>
      <c r="I2092" s="130"/>
      <c r="J2092" s="23"/>
      <c r="K2092" s="23"/>
      <c r="L2092" s="23"/>
      <c r="M2092" s="131"/>
      <c r="N2092" s="131"/>
      <c r="O2092" s="131"/>
    </row>
    <row r="2093" spans="4:15" x14ac:dyDescent="0.3">
      <c r="D2093" s="33"/>
      <c r="E2093" s="127"/>
      <c r="F2093" s="128"/>
      <c r="G2093" s="128"/>
      <c r="H2093" s="129"/>
      <c r="I2093" s="130"/>
      <c r="J2093" s="23"/>
      <c r="K2093" s="23"/>
      <c r="L2093" s="23"/>
      <c r="M2093" s="131"/>
      <c r="N2093" s="131"/>
      <c r="O2093" s="131"/>
    </row>
    <row r="2094" spans="4:15" x14ac:dyDescent="0.3">
      <c r="D2094" s="33"/>
      <c r="E2094" s="127"/>
      <c r="F2094" s="128"/>
      <c r="G2094" s="128"/>
      <c r="H2094" s="129"/>
      <c r="I2094" s="130"/>
      <c r="J2094" s="23"/>
      <c r="K2094" s="23"/>
      <c r="L2094" s="23"/>
      <c r="M2094" s="131"/>
      <c r="N2094" s="131"/>
      <c r="O2094" s="131"/>
    </row>
    <row r="2095" spans="4:15" x14ac:dyDescent="0.3">
      <c r="D2095" s="33"/>
      <c r="E2095" s="127"/>
      <c r="F2095" s="128"/>
      <c r="G2095" s="128"/>
      <c r="H2095" s="129"/>
      <c r="I2095" s="130"/>
      <c r="J2095" s="23"/>
      <c r="K2095" s="23"/>
      <c r="L2095" s="23"/>
      <c r="M2095" s="131"/>
      <c r="N2095" s="131"/>
      <c r="O2095" s="131"/>
    </row>
    <row r="2096" spans="4:15" x14ac:dyDescent="0.3">
      <c r="D2096" s="33"/>
      <c r="E2096" s="127"/>
      <c r="F2096" s="128"/>
      <c r="G2096" s="128"/>
      <c r="H2096" s="129"/>
      <c r="I2096" s="130"/>
      <c r="J2096" s="23"/>
      <c r="K2096" s="23"/>
      <c r="L2096" s="23"/>
      <c r="M2096" s="131"/>
      <c r="N2096" s="131"/>
      <c r="O2096" s="131"/>
    </row>
    <row r="2097" spans="4:15" x14ac:dyDescent="0.3">
      <c r="D2097" s="33"/>
      <c r="E2097" s="127"/>
      <c r="F2097" s="128"/>
      <c r="G2097" s="128"/>
      <c r="H2097" s="129"/>
      <c r="I2097" s="130"/>
      <c r="J2097" s="23"/>
      <c r="K2097" s="23"/>
      <c r="L2097" s="23"/>
      <c r="M2097" s="131"/>
      <c r="N2097" s="131"/>
      <c r="O2097" s="131"/>
    </row>
    <row r="2098" spans="4:15" x14ac:dyDescent="0.3">
      <c r="D2098" s="33"/>
      <c r="E2098" s="127"/>
      <c r="F2098" s="128"/>
      <c r="G2098" s="128"/>
      <c r="H2098" s="129"/>
      <c r="I2098" s="130"/>
      <c r="J2098" s="23"/>
      <c r="K2098" s="23"/>
      <c r="L2098" s="23"/>
      <c r="M2098" s="131"/>
      <c r="N2098" s="131"/>
      <c r="O2098" s="131"/>
    </row>
    <row r="2099" spans="4:15" x14ac:dyDescent="0.3">
      <c r="D2099" s="33"/>
      <c r="E2099" s="127"/>
      <c r="F2099" s="128"/>
      <c r="G2099" s="128"/>
      <c r="H2099" s="129"/>
      <c r="I2099" s="130"/>
      <c r="J2099" s="23"/>
      <c r="K2099" s="23"/>
      <c r="L2099" s="23"/>
      <c r="M2099" s="131"/>
      <c r="N2099" s="131"/>
      <c r="O2099" s="131"/>
    </row>
    <row r="2100" spans="4:15" x14ac:dyDescent="0.3">
      <c r="D2100" s="33"/>
      <c r="E2100" s="127"/>
      <c r="F2100" s="128"/>
      <c r="G2100" s="128"/>
      <c r="H2100" s="129"/>
      <c r="I2100" s="130"/>
      <c r="J2100" s="23"/>
      <c r="K2100" s="23"/>
      <c r="L2100" s="23"/>
      <c r="M2100" s="131"/>
      <c r="N2100" s="131"/>
      <c r="O2100" s="131"/>
    </row>
    <row r="2101" spans="4:15" x14ac:dyDescent="0.3">
      <c r="D2101" s="33"/>
      <c r="E2101" s="127"/>
      <c r="F2101" s="128"/>
      <c r="G2101" s="128"/>
      <c r="H2101" s="129"/>
      <c r="I2101" s="130"/>
      <c r="J2101" s="23"/>
      <c r="K2101" s="23"/>
      <c r="L2101" s="23"/>
      <c r="M2101" s="131"/>
      <c r="N2101" s="131"/>
      <c r="O2101" s="131"/>
    </row>
    <row r="2102" spans="4:15" x14ac:dyDescent="0.3">
      <c r="D2102" s="33"/>
      <c r="E2102" s="127"/>
      <c r="F2102" s="128"/>
      <c r="G2102" s="128"/>
      <c r="H2102" s="129"/>
      <c r="I2102" s="130"/>
      <c r="J2102" s="23"/>
      <c r="K2102" s="23"/>
      <c r="L2102" s="23"/>
      <c r="M2102" s="131"/>
      <c r="N2102" s="131"/>
      <c r="O2102" s="131"/>
    </row>
    <row r="2103" spans="4:15" x14ac:dyDescent="0.3">
      <c r="D2103" s="33"/>
      <c r="E2103" s="127"/>
      <c r="F2103" s="128"/>
      <c r="G2103" s="128"/>
      <c r="H2103" s="129"/>
      <c r="I2103" s="130"/>
      <c r="J2103" s="23"/>
      <c r="K2103" s="23"/>
      <c r="L2103" s="23"/>
      <c r="M2103" s="131"/>
      <c r="N2103" s="131"/>
      <c r="O2103" s="131"/>
    </row>
    <row r="2104" spans="4:15" x14ac:dyDescent="0.3">
      <c r="D2104" s="33"/>
      <c r="E2104" s="127"/>
      <c r="F2104" s="128"/>
      <c r="G2104" s="128"/>
      <c r="H2104" s="129"/>
      <c r="I2104" s="130"/>
      <c r="J2104" s="23"/>
      <c r="K2104" s="23"/>
      <c r="L2104" s="23"/>
      <c r="M2104" s="131"/>
      <c r="N2104" s="131"/>
      <c r="O2104" s="131"/>
    </row>
    <row r="2105" spans="4:15" x14ac:dyDescent="0.3">
      <c r="D2105" s="33"/>
      <c r="E2105" s="127"/>
      <c r="F2105" s="128"/>
      <c r="G2105" s="128"/>
      <c r="H2105" s="129"/>
      <c r="I2105" s="130"/>
      <c r="J2105" s="23"/>
      <c r="K2105" s="23"/>
      <c r="L2105" s="23"/>
      <c r="M2105" s="131"/>
      <c r="N2105" s="131"/>
      <c r="O2105" s="131"/>
    </row>
    <row r="2106" spans="4:15" x14ac:dyDescent="0.3">
      <c r="D2106" s="33"/>
      <c r="E2106" s="127"/>
      <c r="F2106" s="128"/>
      <c r="G2106" s="128"/>
      <c r="H2106" s="129"/>
      <c r="I2106" s="130"/>
      <c r="J2106" s="23"/>
      <c r="K2106" s="23"/>
      <c r="L2106" s="23"/>
      <c r="M2106" s="131"/>
      <c r="N2106" s="131"/>
      <c r="O2106" s="131"/>
    </row>
    <row r="2107" spans="4:15" x14ac:dyDescent="0.3">
      <c r="D2107" s="33"/>
      <c r="E2107" s="127"/>
      <c r="F2107" s="128"/>
      <c r="G2107" s="128"/>
      <c r="H2107" s="129"/>
      <c r="I2107" s="130"/>
      <c r="J2107" s="23"/>
      <c r="K2107" s="23"/>
      <c r="L2107" s="23"/>
      <c r="M2107" s="131"/>
      <c r="N2107" s="131"/>
      <c r="O2107" s="131"/>
    </row>
    <row r="2108" spans="4:15" x14ac:dyDescent="0.3">
      <c r="D2108" s="33"/>
      <c r="E2108" s="127"/>
      <c r="F2108" s="128"/>
      <c r="G2108" s="128"/>
      <c r="H2108" s="129"/>
      <c r="I2108" s="130"/>
      <c r="J2108" s="23"/>
      <c r="K2108" s="23"/>
      <c r="L2108" s="23"/>
      <c r="M2108" s="131"/>
      <c r="N2108" s="131"/>
      <c r="O2108" s="131"/>
    </row>
    <row r="2109" spans="4:15" x14ac:dyDescent="0.3">
      <c r="D2109" s="33"/>
      <c r="E2109" s="127"/>
      <c r="F2109" s="128"/>
      <c r="G2109" s="128"/>
      <c r="H2109" s="129"/>
      <c r="I2109" s="130"/>
      <c r="J2109" s="23"/>
      <c r="K2109" s="23"/>
      <c r="L2109" s="23"/>
      <c r="M2109" s="131"/>
      <c r="N2109" s="131"/>
      <c r="O2109" s="131"/>
    </row>
    <row r="2110" spans="4:15" x14ac:dyDescent="0.3">
      <c r="D2110" s="33"/>
      <c r="E2110" s="127"/>
      <c r="F2110" s="128"/>
      <c r="G2110" s="128"/>
      <c r="H2110" s="129"/>
      <c r="I2110" s="130"/>
      <c r="J2110" s="23"/>
      <c r="K2110" s="23"/>
      <c r="L2110" s="23"/>
      <c r="M2110" s="131"/>
      <c r="N2110" s="131"/>
      <c r="O2110" s="131"/>
    </row>
    <row r="2111" spans="4:15" x14ac:dyDescent="0.3">
      <c r="D2111" s="33"/>
      <c r="E2111" s="127"/>
      <c r="F2111" s="128"/>
      <c r="G2111" s="128"/>
      <c r="H2111" s="129"/>
      <c r="I2111" s="130"/>
      <c r="J2111" s="23"/>
      <c r="K2111" s="23"/>
      <c r="L2111" s="23"/>
      <c r="M2111" s="131"/>
      <c r="N2111" s="131"/>
      <c r="O2111" s="131"/>
    </row>
    <row r="2112" spans="4:15" x14ac:dyDescent="0.3">
      <c r="D2112" s="33"/>
      <c r="E2112" s="127"/>
      <c r="F2112" s="128"/>
      <c r="G2112" s="128"/>
      <c r="H2112" s="129"/>
      <c r="I2112" s="130"/>
      <c r="J2112" s="23"/>
      <c r="K2112" s="23"/>
      <c r="L2112" s="23"/>
      <c r="M2112" s="131"/>
      <c r="N2112" s="131"/>
      <c r="O2112" s="131"/>
    </row>
    <row r="2113" spans="4:15" x14ac:dyDescent="0.3">
      <c r="D2113" s="33"/>
      <c r="E2113" s="127"/>
      <c r="F2113" s="128"/>
      <c r="G2113" s="128"/>
      <c r="H2113" s="129"/>
      <c r="I2113" s="130"/>
      <c r="J2113" s="23"/>
      <c r="K2113" s="23"/>
      <c r="L2113" s="23"/>
      <c r="M2113" s="131"/>
      <c r="N2113" s="131"/>
      <c r="O2113" s="131"/>
    </row>
    <row r="2114" spans="4:15" x14ac:dyDescent="0.3">
      <c r="D2114" s="33"/>
      <c r="E2114" s="127"/>
      <c r="F2114" s="128"/>
      <c r="G2114" s="128"/>
      <c r="H2114" s="129"/>
      <c r="I2114" s="130"/>
      <c r="J2114" s="23"/>
      <c r="K2114" s="23"/>
      <c r="L2114" s="23"/>
      <c r="M2114" s="131"/>
      <c r="N2114" s="131"/>
      <c r="O2114" s="131"/>
    </row>
    <row r="2115" spans="4:15" x14ac:dyDescent="0.3">
      <c r="D2115" s="33"/>
      <c r="E2115" s="127"/>
      <c r="F2115" s="128"/>
      <c r="G2115" s="128"/>
      <c r="H2115" s="129"/>
      <c r="I2115" s="130"/>
      <c r="J2115" s="23"/>
      <c r="K2115" s="23"/>
      <c r="L2115" s="23"/>
      <c r="M2115" s="131"/>
      <c r="N2115" s="131"/>
      <c r="O2115" s="131"/>
    </row>
    <row r="2116" spans="4:15" x14ac:dyDescent="0.3">
      <c r="D2116" s="33"/>
      <c r="E2116" s="127"/>
      <c r="F2116" s="128"/>
      <c r="G2116" s="128"/>
      <c r="H2116" s="129"/>
      <c r="I2116" s="130"/>
      <c r="J2116" s="23"/>
      <c r="K2116" s="23"/>
      <c r="L2116" s="23"/>
      <c r="M2116" s="131"/>
      <c r="N2116" s="131"/>
      <c r="O2116" s="131"/>
    </row>
    <row r="2117" spans="4:15" x14ac:dyDescent="0.3">
      <c r="D2117" s="33"/>
      <c r="E2117" s="127"/>
      <c r="F2117" s="128"/>
      <c r="G2117" s="128"/>
      <c r="H2117" s="129"/>
      <c r="I2117" s="130"/>
      <c r="J2117" s="23"/>
      <c r="K2117" s="23"/>
      <c r="L2117" s="23"/>
      <c r="M2117" s="131"/>
      <c r="N2117" s="131"/>
      <c r="O2117" s="131"/>
    </row>
    <row r="2118" spans="4:15" x14ac:dyDescent="0.3">
      <c r="D2118" s="33"/>
      <c r="E2118" s="127"/>
      <c r="F2118" s="128"/>
      <c r="G2118" s="128"/>
      <c r="H2118" s="129"/>
      <c r="I2118" s="130"/>
      <c r="J2118" s="23"/>
      <c r="K2118" s="23"/>
      <c r="L2118" s="23"/>
      <c r="M2118" s="131"/>
      <c r="N2118" s="131"/>
      <c r="O2118" s="131"/>
    </row>
    <row r="2119" spans="4:15" x14ac:dyDescent="0.3">
      <c r="D2119" s="33"/>
      <c r="E2119" s="127"/>
      <c r="F2119" s="128"/>
      <c r="G2119" s="128"/>
      <c r="H2119" s="129"/>
      <c r="I2119" s="130"/>
      <c r="J2119" s="23"/>
      <c r="K2119" s="23"/>
      <c r="L2119" s="23"/>
      <c r="M2119" s="131"/>
      <c r="N2119" s="131"/>
      <c r="O2119" s="131"/>
    </row>
    <row r="2120" spans="4:15" x14ac:dyDescent="0.3">
      <c r="D2120" s="33"/>
      <c r="E2120" s="127"/>
      <c r="F2120" s="128"/>
      <c r="G2120" s="128"/>
      <c r="H2120" s="129"/>
      <c r="I2120" s="130"/>
      <c r="J2120" s="23"/>
      <c r="K2120" s="23"/>
      <c r="L2120" s="23"/>
      <c r="M2120" s="131"/>
      <c r="N2120" s="131"/>
      <c r="O2120" s="131"/>
    </row>
    <row r="2121" spans="4:15" x14ac:dyDescent="0.3">
      <c r="D2121" s="33"/>
      <c r="E2121" s="127"/>
      <c r="F2121" s="128"/>
      <c r="G2121" s="128"/>
      <c r="H2121" s="129"/>
      <c r="I2121" s="130"/>
      <c r="J2121" s="23"/>
      <c r="K2121" s="23"/>
      <c r="L2121" s="23"/>
      <c r="M2121" s="131"/>
      <c r="N2121" s="131"/>
      <c r="O2121" s="131"/>
    </row>
    <row r="2122" spans="4:15" x14ac:dyDescent="0.3">
      <c r="D2122" s="33"/>
      <c r="E2122" s="127"/>
      <c r="F2122" s="128"/>
      <c r="G2122" s="128"/>
      <c r="H2122" s="129"/>
      <c r="I2122" s="130"/>
      <c r="J2122" s="23"/>
      <c r="K2122" s="23"/>
      <c r="L2122" s="23"/>
      <c r="M2122" s="131"/>
      <c r="N2122" s="131"/>
      <c r="O2122" s="131"/>
    </row>
    <row r="2123" spans="4:15" x14ac:dyDescent="0.3">
      <c r="D2123" s="33"/>
      <c r="E2123" s="127"/>
      <c r="F2123" s="128"/>
      <c r="G2123" s="128"/>
      <c r="H2123" s="129"/>
      <c r="I2123" s="130"/>
      <c r="J2123" s="23"/>
      <c r="K2123" s="23"/>
      <c r="L2123" s="23"/>
      <c r="M2123" s="131"/>
      <c r="N2123" s="131"/>
      <c r="O2123" s="131"/>
    </row>
    <row r="2124" spans="4:15" x14ac:dyDescent="0.3">
      <c r="D2124" s="33"/>
      <c r="E2124" s="127"/>
      <c r="F2124" s="128"/>
      <c r="G2124" s="128"/>
      <c r="H2124" s="129"/>
      <c r="I2124" s="130"/>
      <c r="J2124" s="23"/>
      <c r="K2124" s="23"/>
      <c r="L2124" s="23"/>
      <c r="M2124" s="131"/>
      <c r="N2124" s="131"/>
      <c r="O2124" s="131"/>
    </row>
    <row r="2125" spans="4:15" x14ac:dyDescent="0.3">
      <c r="D2125" s="33"/>
      <c r="E2125" s="127"/>
      <c r="F2125" s="128"/>
      <c r="G2125" s="128"/>
      <c r="H2125" s="129"/>
      <c r="I2125" s="130"/>
      <c r="J2125" s="23"/>
      <c r="K2125" s="23"/>
      <c r="L2125" s="23"/>
      <c r="M2125" s="131"/>
      <c r="N2125" s="131"/>
      <c r="O2125" s="131"/>
    </row>
    <row r="2126" spans="4:15" x14ac:dyDescent="0.3">
      <c r="D2126" s="33"/>
      <c r="E2126" s="127"/>
      <c r="F2126" s="128"/>
      <c r="G2126" s="128"/>
      <c r="H2126" s="129"/>
      <c r="I2126" s="130"/>
      <c r="J2126" s="23"/>
      <c r="K2126" s="23"/>
      <c r="L2126" s="23"/>
      <c r="M2126" s="131"/>
      <c r="N2126" s="131"/>
      <c r="O2126" s="131"/>
    </row>
    <row r="2127" spans="4:15" x14ac:dyDescent="0.3">
      <c r="D2127" s="33"/>
      <c r="E2127" s="127"/>
      <c r="F2127" s="128"/>
      <c r="G2127" s="128"/>
      <c r="H2127" s="129"/>
      <c r="I2127" s="130"/>
      <c r="J2127" s="23"/>
      <c r="K2127" s="23"/>
      <c r="L2127" s="23"/>
      <c r="M2127" s="131"/>
      <c r="N2127" s="131"/>
      <c r="O2127" s="131"/>
    </row>
    <row r="2128" spans="4:15" x14ac:dyDescent="0.3">
      <c r="D2128" s="33"/>
      <c r="E2128" s="127"/>
      <c r="F2128" s="128"/>
      <c r="G2128" s="128"/>
      <c r="H2128" s="129"/>
      <c r="I2128" s="130"/>
      <c r="J2128" s="23"/>
      <c r="K2128" s="23"/>
      <c r="L2128" s="23"/>
      <c r="M2128" s="131"/>
      <c r="N2128" s="131"/>
      <c r="O2128" s="131"/>
    </row>
    <row r="2129" spans="4:15" x14ac:dyDescent="0.3">
      <c r="D2129" s="33"/>
      <c r="E2129" s="127"/>
      <c r="F2129" s="128"/>
      <c r="G2129" s="128"/>
      <c r="H2129" s="129"/>
      <c r="I2129" s="130"/>
      <c r="J2129" s="23"/>
      <c r="K2129" s="23"/>
      <c r="L2129" s="23"/>
      <c r="M2129" s="131"/>
      <c r="N2129" s="131"/>
      <c r="O2129" s="131"/>
    </row>
    <row r="2130" spans="4:15" x14ac:dyDescent="0.3">
      <c r="D2130" s="33"/>
      <c r="E2130" s="127"/>
      <c r="F2130" s="128"/>
      <c r="G2130" s="128"/>
      <c r="H2130" s="129"/>
      <c r="I2130" s="130"/>
      <c r="J2130" s="23"/>
      <c r="K2130" s="23"/>
      <c r="L2130" s="23"/>
      <c r="M2130" s="131"/>
      <c r="N2130" s="131"/>
      <c r="O2130" s="131"/>
    </row>
    <row r="2131" spans="4:15" x14ac:dyDescent="0.3">
      <c r="D2131" s="33"/>
      <c r="E2131" s="127"/>
      <c r="F2131" s="128"/>
      <c r="G2131" s="128"/>
      <c r="H2131" s="129"/>
      <c r="I2131" s="130"/>
      <c r="J2131" s="23"/>
      <c r="K2131" s="23"/>
      <c r="L2131" s="23"/>
      <c r="M2131" s="131"/>
      <c r="N2131" s="131"/>
      <c r="O2131" s="131"/>
    </row>
    <row r="2132" spans="4:15" x14ac:dyDescent="0.3">
      <c r="D2132" s="33"/>
      <c r="E2132" s="127"/>
      <c r="F2132" s="128"/>
      <c r="G2132" s="128"/>
      <c r="H2132" s="129"/>
      <c r="I2132" s="130"/>
      <c r="J2132" s="23"/>
      <c r="K2132" s="23"/>
      <c r="L2132" s="23"/>
      <c r="M2132" s="131"/>
      <c r="N2132" s="131"/>
      <c r="O2132" s="131"/>
    </row>
    <row r="2133" spans="4:15" x14ac:dyDescent="0.3">
      <c r="D2133" s="33"/>
      <c r="E2133" s="127"/>
      <c r="F2133" s="128"/>
      <c r="G2133" s="128"/>
      <c r="H2133" s="129"/>
      <c r="I2133" s="130"/>
      <c r="J2133" s="23"/>
      <c r="K2133" s="23"/>
      <c r="L2133" s="23"/>
      <c r="M2133" s="131"/>
      <c r="N2133" s="131"/>
      <c r="O2133" s="131"/>
    </row>
    <row r="2134" spans="4:15" x14ac:dyDescent="0.3">
      <c r="D2134" s="33"/>
      <c r="E2134" s="127"/>
      <c r="F2134" s="128"/>
      <c r="G2134" s="128"/>
      <c r="H2134" s="129"/>
      <c r="I2134" s="130"/>
      <c r="J2134" s="23"/>
      <c r="K2134" s="23"/>
      <c r="L2134" s="23"/>
      <c r="M2134" s="131"/>
      <c r="N2134" s="131"/>
      <c r="O2134" s="131"/>
    </row>
    <row r="2135" spans="4:15" x14ac:dyDescent="0.3">
      <c r="D2135" s="33"/>
      <c r="E2135" s="127"/>
      <c r="F2135" s="128"/>
      <c r="G2135" s="128"/>
      <c r="H2135" s="129"/>
      <c r="I2135" s="130"/>
      <c r="J2135" s="23"/>
      <c r="K2135" s="23"/>
      <c r="L2135" s="23"/>
      <c r="M2135" s="131"/>
      <c r="N2135" s="131"/>
      <c r="O2135" s="131"/>
    </row>
    <row r="2136" spans="4:15" x14ac:dyDescent="0.3">
      <c r="D2136" s="33"/>
      <c r="E2136" s="127"/>
      <c r="F2136" s="128"/>
      <c r="G2136" s="128"/>
      <c r="H2136" s="129"/>
      <c r="I2136" s="130"/>
      <c r="J2136" s="23"/>
      <c r="K2136" s="23"/>
      <c r="L2136" s="23"/>
      <c r="M2136" s="131"/>
      <c r="N2136" s="131"/>
      <c r="O2136" s="131"/>
    </row>
    <row r="2137" spans="4:15" x14ac:dyDescent="0.3">
      <c r="D2137" s="33"/>
      <c r="E2137" s="127"/>
      <c r="F2137" s="128"/>
      <c r="G2137" s="128"/>
      <c r="H2137" s="129"/>
      <c r="I2137" s="130"/>
      <c r="J2137" s="23"/>
      <c r="K2137" s="23"/>
      <c r="L2137" s="23"/>
      <c r="M2137" s="131"/>
      <c r="N2137" s="131"/>
      <c r="O2137" s="131"/>
    </row>
    <row r="2138" spans="4:15" x14ac:dyDescent="0.3">
      <c r="D2138" s="33"/>
      <c r="E2138" s="127"/>
      <c r="F2138" s="128"/>
      <c r="G2138" s="128"/>
      <c r="H2138" s="129"/>
      <c r="I2138" s="130"/>
      <c r="J2138" s="23"/>
      <c r="K2138" s="23"/>
      <c r="L2138" s="23"/>
      <c r="M2138" s="131"/>
      <c r="N2138" s="131"/>
      <c r="O2138" s="131"/>
    </row>
    <row r="2139" spans="4:15" x14ac:dyDescent="0.3">
      <c r="D2139" s="33"/>
      <c r="E2139" s="127"/>
      <c r="F2139" s="128"/>
      <c r="G2139" s="128"/>
      <c r="H2139" s="129"/>
      <c r="I2139" s="130"/>
      <c r="J2139" s="23"/>
      <c r="K2139" s="23"/>
      <c r="L2139" s="23"/>
      <c r="M2139" s="131"/>
      <c r="N2139" s="131"/>
      <c r="O2139" s="131"/>
    </row>
    <row r="2140" spans="4:15" x14ac:dyDescent="0.3">
      <c r="D2140" s="33"/>
      <c r="E2140" s="127"/>
      <c r="F2140" s="128"/>
      <c r="G2140" s="128"/>
      <c r="H2140" s="129"/>
      <c r="I2140" s="130"/>
      <c r="J2140" s="23"/>
      <c r="K2140" s="23"/>
      <c r="L2140" s="23"/>
      <c r="M2140" s="131"/>
      <c r="N2140" s="131"/>
      <c r="O2140" s="131"/>
    </row>
    <row r="2141" spans="4:15" x14ac:dyDescent="0.3">
      <c r="D2141" s="33"/>
      <c r="E2141" s="127"/>
      <c r="F2141" s="128"/>
      <c r="G2141" s="128"/>
      <c r="H2141" s="129"/>
      <c r="I2141" s="130"/>
      <c r="J2141" s="23"/>
      <c r="K2141" s="23"/>
      <c r="L2141" s="23"/>
      <c r="M2141" s="131"/>
      <c r="N2141" s="131"/>
      <c r="O2141" s="131"/>
    </row>
    <row r="2142" spans="4:15" x14ac:dyDescent="0.3">
      <c r="D2142" s="33"/>
      <c r="E2142" s="127"/>
      <c r="F2142" s="128"/>
      <c r="G2142" s="128"/>
      <c r="H2142" s="129"/>
      <c r="I2142" s="130"/>
      <c r="J2142" s="23"/>
      <c r="K2142" s="23"/>
      <c r="L2142" s="23"/>
      <c r="M2142" s="131"/>
      <c r="N2142" s="131"/>
      <c r="O2142" s="131"/>
    </row>
    <row r="2143" spans="4:15" x14ac:dyDescent="0.3">
      <c r="D2143" s="33"/>
      <c r="E2143" s="127"/>
      <c r="F2143" s="128"/>
      <c r="G2143" s="128"/>
      <c r="H2143" s="129"/>
      <c r="I2143" s="130"/>
      <c r="J2143" s="23"/>
      <c r="K2143" s="23"/>
      <c r="L2143" s="23"/>
      <c r="M2143" s="131"/>
      <c r="N2143" s="131"/>
      <c r="O2143" s="131"/>
    </row>
    <row r="2144" spans="4:15" x14ac:dyDescent="0.3">
      <c r="D2144" s="33"/>
      <c r="E2144" s="127"/>
      <c r="F2144" s="128"/>
      <c r="G2144" s="128"/>
      <c r="H2144" s="129"/>
      <c r="I2144" s="130"/>
      <c r="J2144" s="23"/>
      <c r="K2144" s="23"/>
      <c r="L2144" s="23"/>
      <c r="M2144" s="131"/>
      <c r="N2144" s="131"/>
      <c r="O2144" s="131"/>
    </row>
    <row r="2145" spans="4:15" x14ac:dyDescent="0.3">
      <c r="D2145" s="33"/>
      <c r="E2145" s="127"/>
      <c r="F2145" s="128"/>
      <c r="G2145" s="128"/>
      <c r="H2145" s="129"/>
      <c r="I2145" s="130"/>
      <c r="J2145" s="23"/>
      <c r="K2145" s="23"/>
      <c r="L2145" s="23"/>
      <c r="M2145" s="131"/>
      <c r="N2145" s="131"/>
      <c r="O2145" s="131"/>
    </row>
    <row r="2146" spans="4:15" x14ac:dyDescent="0.3">
      <c r="D2146" s="33"/>
      <c r="E2146" s="127"/>
      <c r="F2146" s="128"/>
      <c r="G2146" s="128"/>
      <c r="H2146" s="129"/>
      <c r="I2146" s="130"/>
      <c r="J2146" s="23"/>
      <c r="K2146" s="23"/>
      <c r="L2146" s="23"/>
      <c r="M2146" s="131"/>
      <c r="N2146" s="131"/>
      <c r="O2146" s="131"/>
    </row>
    <row r="2147" spans="4:15" x14ac:dyDescent="0.3">
      <c r="D2147" s="33"/>
      <c r="E2147" s="127"/>
      <c r="F2147" s="128"/>
      <c r="G2147" s="128"/>
      <c r="H2147" s="129"/>
      <c r="I2147" s="130"/>
      <c r="J2147" s="23"/>
      <c r="K2147" s="23"/>
      <c r="L2147" s="23"/>
      <c r="M2147" s="131"/>
      <c r="N2147" s="131"/>
      <c r="O2147" s="131"/>
    </row>
    <row r="2148" spans="4:15" x14ac:dyDescent="0.3">
      <c r="D2148" s="33"/>
      <c r="E2148" s="127"/>
      <c r="F2148" s="128"/>
      <c r="G2148" s="128"/>
      <c r="H2148" s="129"/>
      <c r="I2148" s="130"/>
      <c r="J2148" s="23"/>
      <c r="K2148" s="23"/>
      <c r="L2148" s="23"/>
      <c r="M2148" s="131"/>
      <c r="N2148" s="131"/>
      <c r="O2148" s="131"/>
    </row>
    <row r="2149" spans="4:15" x14ac:dyDescent="0.3">
      <c r="D2149" s="33"/>
      <c r="E2149" s="127"/>
      <c r="F2149" s="128"/>
      <c r="G2149" s="128"/>
      <c r="H2149" s="129"/>
      <c r="I2149" s="130"/>
      <c r="J2149" s="23"/>
      <c r="K2149" s="23"/>
      <c r="L2149" s="23"/>
      <c r="M2149" s="131"/>
      <c r="N2149" s="131"/>
      <c r="O2149" s="131"/>
    </row>
    <row r="2150" spans="4:15" x14ac:dyDescent="0.3">
      <c r="D2150" s="33"/>
      <c r="E2150" s="127"/>
      <c r="F2150" s="128"/>
      <c r="G2150" s="128"/>
      <c r="H2150" s="129"/>
      <c r="I2150" s="130"/>
      <c r="J2150" s="23"/>
      <c r="K2150" s="23"/>
      <c r="L2150" s="23"/>
      <c r="M2150" s="131"/>
      <c r="N2150" s="131"/>
      <c r="O2150" s="131"/>
    </row>
    <row r="2151" spans="4:15" x14ac:dyDescent="0.3">
      <c r="D2151" s="33"/>
      <c r="E2151" s="127"/>
      <c r="F2151" s="128"/>
      <c r="G2151" s="128"/>
      <c r="H2151" s="129"/>
      <c r="I2151" s="130"/>
      <c r="J2151" s="23"/>
      <c r="K2151" s="23"/>
      <c r="L2151" s="23"/>
      <c r="M2151" s="131"/>
      <c r="N2151" s="131"/>
      <c r="O2151" s="131"/>
    </row>
    <row r="2152" spans="4:15" x14ac:dyDescent="0.3">
      <c r="D2152" s="33"/>
      <c r="E2152" s="127"/>
      <c r="F2152" s="128"/>
      <c r="G2152" s="128"/>
      <c r="H2152" s="129"/>
      <c r="I2152" s="130"/>
      <c r="J2152" s="23"/>
      <c r="K2152" s="23"/>
      <c r="L2152" s="23"/>
      <c r="M2152" s="131"/>
      <c r="N2152" s="131"/>
      <c r="O2152" s="131"/>
    </row>
    <row r="2153" spans="4:15" x14ac:dyDescent="0.3">
      <c r="D2153" s="33"/>
      <c r="E2153" s="127"/>
      <c r="F2153" s="128"/>
      <c r="G2153" s="128"/>
      <c r="H2153" s="129"/>
      <c r="I2153" s="130"/>
      <c r="J2153" s="23"/>
      <c r="K2153" s="23"/>
      <c r="L2153" s="23"/>
      <c r="M2153" s="131"/>
      <c r="N2153" s="131"/>
      <c r="O2153" s="131"/>
    </row>
    <row r="2154" spans="4:15" x14ac:dyDescent="0.3">
      <c r="D2154" s="33"/>
      <c r="E2154" s="127"/>
      <c r="F2154" s="128"/>
      <c r="G2154" s="128"/>
      <c r="H2154" s="129"/>
      <c r="I2154" s="130"/>
      <c r="J2154" s="23"/>
      <c r="K2154" s="23"/>
      <c r="L2154" s="23"/>
      <c r="M2154" s="131"/>
      <c r="N2154" s="131"/>
      <c r="O2154" s="131"/>
    </row>
    <row r="2155" spans="4:15" x14ac:dyDescent="0.3">
      <c r="D2155" s="33"/>
      <c r="E2155" s="127"/>
      <c r="F2155" s="128"/>
      <c r="G2155" s="128"/>
      <c r="H2155" s="129"/>
      <c r="I2155" s="130"/>
      <c r="J2155" s="23"/>
      <c r="K2155" s="23"/>
      <c r="L2155" s="23"/>
      <c r="M2155" s="131"/>
      <c r="N2155" s="131"/>
      <c r="O2155" s="131"/>
    </row>
    <row r="2156" spans="4:15" x14ac:dyDescent="0.3">
      <c r="D2156" s="33"/>
      <c r="E2156" s="127"/>
      <c r="F2156" s="128"/>
      <c r="G2156" s="128"/>
      <c r="H2156" s="129"/>
      <c r="I2156" s="130"/>
      <c r="J2156" s="23"/>
      <c r="K2156" s="23"/>
      <c r="L2156" s="23"/>
      <c r="M2156" s="131"/>
      <c r="N2156" s="131"/>
      <c r="O2156" s="131"/>
    </row>
    <row r="2157" spans="4:15" x14ac:dyDescent="0.3">
      <c r="D2157" s="33"/>
      <c r="E2157" s="127"/>
      <c r="F2157" s="128"/>
      <c r="G2157" s="128"/>
      <c r="H2157" s="129"/>
      <c r="I2157" s="130"/>
      <c r="J2157" s="23"/>
      <c r="K2157" s="23"/>
      <c r="L2157" s="23"/>
      <c r="M2157" s="131"/>
      <c r="N2157" s="131"/>
      <c r="O2157" s="131"/>
    </row>
    <row r="2158" spans="4:15" x14ac:dyDescent="0.3">
      <c r="D2158" s="33"/>
      <c r="E2158" s="127"/>
      <c r="F2158" s="128"/>
      <c r="G2158" s="128"/>
      <c r="H2158" s="129"/>
      <c r="I2158" s="130"/>
      <c r="J2158" s="23"/>
      <c r="K2158" s="23"/>
      <c r="L2158" s="23"/>
      <c r="M2158" s="131"/>
      <c r="N2158" s="131"/>
      <c r="O2158" s="131"/>
    </row>
    <row r="2159" spans="4:15" x14ac:dyDescent="0.3">
      <c r="D2159" s="33"/>
      <c r="E2159" s="127"/>
      <c r="F2159" s="128"/>
      <c r="G2159" s="128"/>
      <c r="H2159" s="129"/>
      <c r="I2159" s="130"/>
      <c r="J2159" s="23"/>
      <c r="K2159" s="23"/>
      <c r="L2159" s="23"/>
      <c r="M2159" s="131"/>
      <c r="N2159" s="131"/>
      <c r="O2159" s="131"/>
    </row>
    <row r="2160" spans="4:15" x14ac:dyDescent="0.3">
      <c r="D2160" s="33"/>
      <c r="E2160" s="127"/>
      <c r="F2160" s="128"/>
      <c r="G2160" s="128"/>
      <c r="H2160" s="129"/>
      <c r="I2160" s="130"/>
      <c r="J2160" s="23"/>
      <c r="K2160" s="23"/>
      <c r="L2160" s="23"/>
      <c r="M2160" s="131"/>
      <c r="N2160" s="131"/>
      <c r="O2160" s="131"/>
    </row>
    <row r="2161" spans="4:15" x14ac:dyDescent="0.3">
      <c r="D2161" s="33"/>
      <c r="E2161" s="127"/>
      <c r="F2161" s="128"/>
      <c r="G2161" s="128"/>
      <c r="H2161" s="129"/>
      <c r="I2161" s="130"/>
      <c r="J2161" s="23"/>
      <c r="K2161" s="23"/>
      <c r="L2161" s="23"/>
      <c r="M2161" s="131"/>
      <c r="N2161" s="131"/>
      <c r="O2161" s="131"/>
    </row>
    <row r="2162" spans="4:15" x14ac:dyDescent="0.3">
      <c r="D2162" s="33"/>
      <c r="E2162" s="127"/>
      <c r="F2162" s="128"/>
      <c r="G2162" s="128"/>
      <c r="H2162" s="129"/>
      <c r="I2162" s="130"/>
      <c r="J2162" s="23"/>
      <c r="K2162" s="23"/>
      <c r="L2162" s="23"/>
      <c r="M2162" s="131"/>
      <c r="N2162" s="131"/>
      <c r="O2162" s="131"/>
    </row>
    <row r="2163" spans="4:15" x14ac:dyDescent="0.3">
      <c r="D2163" s="33"/>
      <c r="E2163" s="127"/>
      <c r="F2163" s="128"/>
      <c r="G2163" s="128"/>
      <c r="H2163" s="129"/>
      <c r="I2163" s="130"/>
      <c r="J2163" s="23"/>
      <c r="K2163" s="23"/>
      <c r="L2163" s="23"/>
      <c r="M2163" s="131"/>
      <c r="N2163" s="131"/>
      <c r="O2163" s="131"/>
    </row>
    <row r="2164" spans="4:15" x14ac:dyDescent="0.3">
      <c r="D2164" s="33"/>
      <c r="E2164" s="127"/>
      <c r="F2164" s="128"/>
      <c r="G2164" s="128"/>
      <c r="H2164" s="129"/>
      <c r="I2164" s="130"/>
      <c r="J2164" s="23"/>
      <c r="K2164" s="23"/>
      <c r="L2164" s="23"/>
      <c r="M2164" s="131"/>
      <c r="N2164" s="131"/>
      <c r="O2164" s="131"/>
    </row>
    <row r="2165" spans="4:15" x14ac:dyDescent="0.3">
      <c r="D2165" s="33"/>
      <c r="E2165" s="127"/>
      <c r="F2165" s="128"/>
      <c r="G2165" s="128"/>
      <c r="H2165" s="129"/>
      <c r="I2165" s="130"/>
      <c r="J2165" s="23"/>
      <c r="K2165" s="23"/>
      <c r="L2165" s="23"/>
      <c r="M2165" s="131"/>
      <c r="N2165" s="131"/>
      <c r="O2165" s="131"/>
    </row>
    <row r="2166" spans="4:15" x14ac:dyDescent="0.3">
      <c r="D2166" s="33"/>
      <c r="E2166" s="127"/>
      <c r="F2166" s="128"/>
      <c r="G2166" s="128"/>
      <c r="H2166" s="129"/>
      <c r="I2166" s="130"/>
      <c r="J2166" s="23"/>
      <c r="K2166" s="23"/>
      <c r="L2166" s="23"/>
      <c r="M2166" s="131"/>
      <c r="N2166" s="131"/>
      <c r="O2166" s="131"/>
    </row>
    <row r="2167" spans="4:15" x14ac:dyDescent="0.3">
      <c r="D2167" s="33"/>
      <c r="E2167" s="127"/>
      <c r="F2167" s="128"/>
      <c r="G2167" s="128"/>
      <c r="H2167" s="129"/>
      <c r="I2167" s="130"/>
      <c r="J2167" s="23"/>
      <c r="K2167" s="23"/>
      <c r="L2167" s="23"/>
      <c r="M2167" s="131"/>
      <c r="N2167" s="131"/>
      <c r="O2167" s="131"/>
    </row>
    <row r="2168" spans="4:15" x14ac:dyDescent="0.3">
      <c r="D2168" s="33"/>
      <c r="E2168" s="127"/>
      <c r="F2168" s="128"/>
      <c r="G2168" s="128"/>
      <c r="H2168" s="129"/>
      <c r="I2168" s="130"/>
      <c r="J2168" s="23"/>
      <c r="K2168" s="23"/>
      <c r="L2168" s="23"/>
      <c r="M2168" s="131"/>
      <c r="N2168" s="131"/>
      <c r="O2168" s="131"/>
    </row>
    <row r="2169" spans="4:15" x14ac:dyDescent="0.3">
      <c r="D2169" s="33"/>
      <c r="E2169" s="127"/>
      <c r="F2169" s="128"/>
      <c r="G2169" s="128"/>
      <c r="H2169" s="129"/>
      <c r="I2169" s="130"/>
      <c r="J2169" s="23"/>
      <c r="K2169" s="23"/>
      <c r="L2169" s="23"/>
      <c r="M2169" s="131"/>
      <c r="N2169" s="131"/>
      <c r="O2169" s="131"/>
    </row>
    <row r="2170" spans="4:15" x14ac:dyDescent="0.3">
      <c r="D2170" s="33"/>
      <c r="E2170" s="127"/>
      <c r="F2170" s="128"/>
      <c r="G2170" s="128"/>
      <c r="H2170" s="129"/>
      <c r="I2170" s="130"/>
      <c r="J2170" s="23"/>
      <c r="K2170" s="23"/>
      <c r="L2170" s="23"/>
      <c r="M2170" s="131"/>
      <c r="N2170" s="131"/>
      <c r="O2170" s="131"/>
    </row>
    <row r="2171" spans="4:15" x14ac:dyDescent="0.3">
      <c r="D2171" s="33"/>
      <c r="E2171" s="127"/>
      <c r="F2171" s="128"/>
      <c r="G2171" s="128"/>
      <c r="H2171" s="129"/>
      <c r="I2171" s="130"/>
      <c r="J2171" s="23"/>
      <c r="K2171" s="23"/>
      <c r="L2171" s="23"/>
      <c r="M2171" s="131"/>
      <c r="N2171" s="131"/>
      <c r="O2171" s="131"/>
    </row>
    <row r="2172" spans="4:15" x14ac:dyDescent="0.3">
      <c r="D2172" s="33"/>
      <c r="E2172" s="127"/>
      <c r="F2172" s="128"/>
      <c r="G2172" s="128"/>
      <c r="H2172" s="129"/>
      <c r="I2172" s="130"/>
      <c r="J2172" s="23"/>
      <c r="K2172" s="23"/>
      <c r="L2172" s="23"/>
      <c r="M2172" s="131"/>
      <c r="N2172" s="131"/>
      <c r="O2172" s="131"/>
    </row>
    <row r="2173" spans="4:15" x14ac:dyDescent="0.3">
      <c r="D2173" s="33"/>
      <c r="E2173" s="127"/>
      <c r="F2173" s="128"/>
      <c r="G2173" s="128"/>
      <c r="H2173" s="129"/>
      <c r="I2173" s="130"/>
      <c r="J2173" s="23"/>
      <c r="K2173" s="23"/>
      <c r="L2173" s="23"/>
      <c r="M2173" s="131"/>
      <c r="N2173" s="131"/>
      <c r="O2173" s="131"/>
    </row>
    <row r="2174" spans="4:15" x14ac:dyDescent="0.3">
      <c r="D2174" s="33"/>
      <c r="E2174" s="127"/>
      <c r="F2174" s="128"/>
      <c r="G2174" s="128"/>
      <c r="H2174" s="129"/>
      <c r="I2174" s="130"/>
      <c r="J2174" s="23"/>
      <c r="K2174" s="23"/>
      <c r="L2174" s="23"/>
      <c r="M2174" s="131"/>
      <c r="N2174" s="131"/>
      <c r="O2174" s="131"/>
    </row>
    <row r="2175" spans="4:15" x14ac:dyDescent="0.3">
      <c r="D2175" s="33"/>
      <c r="E2175" s="127"/>
      <c r="F2175" s="128"/>
      <c r="G2175" s="128"/>
      <c r="H2175" s="129"/>
      <c r="I2175" s="130"/>
      <c r="J2175" s="23"/>
      <c r="K2175" s="23"/>
      <c r="L2175" s="23"/>
      <c r="M2175" s="131"/>
      <c r="N2175" s="131"/>
      <c r="O2175" s="131"/>
    </row>
    <row r="2176" spans="4:15" x14ac:dyDescent="0.3">
      <c r="D2176" s="33"/>
      <c r="E2176" s="127"/>
      <c r="F2176" s="128"/>
      <c r="G2176" s="128"/>
      <c r="H2176" s="129"/>
      <c r="I2176" s="130"/>
      <c r="J2176" s="23"/>
      <c r="K2176" s="23"/>
      <c r="L2176" s="23"/>
      <c r="M2176" s="131"/>
      <c r="N2176" s="131"/>
      <c r="O2176" s="131"/>
    </row>
    <row r="2177" spans="4:15" x14ac:dyDescent="0.3">
      <c r="D2177" s="33"/>
      <c r="E2177" s="127"/>
      <c r="F2177" s="128"/>
      <c r="G2177" s="128"/>
      <c r="H2177" s="129"/>
      <c r="I2177" s="130"/>
      <c r="J2177" s="23"/>
      <c r="K2177" s="23"/>
      <c r="L2177" s="23"/>
      <c r="M2177" s="131"/>
      <c r="N2177" s="131"/>
      <c r="O2177" s="131"/>
    </row>
    <row r="2178" spans="4:15" x14ac:dyDescent="0.3">
      <c r="D2178" s="33"/>
      <c r="E2178" s="127"/>
      <c r="F2178" s="128"/>
      <c r="G2178" s="128"/>
      <c r="H2178" s="129"/>
      <c r="I2178" s="130"/>
      <c r="J2178" s="23"/>
      <c r="K2178" s="23"/>
      <c r="L2178" s="23"/>
      <c r="M2178" s="131"/>
      <c r="N2178" s="131"/>
      <c r="O2178" s="131"/>
    </row>
    <row r="2179" spans="4:15" x14ac:dyDescent="0.3">
      <c r="D2179" s="33"/>
      <c r="E2179" s="127"/>
      <c r="F2179" s="128"/>
      <c r="G2179" s="128"/>
      <c r="H2179" s="129"/>
      <c r="I2179" s="130"/>
      <c r="J2179" s="23"/>
      <c r="K2179" s="23"/>
      <c r="L2179" s="23"/>
      <c r="M2179" s="131"/>
      <c r="N2179" s="131"/>
      <c r="O2179" s="131"/>
    </row>
    <row r="2180" spans="4:15" x14ac:dyDescent="0.3">
      <c r="D2180" s="33"/>
      <c r="E2180" s="127"/>
      <c r="F2180" s="128"/>
      <c r="G2180" s="128"/>
      <c r="H2180" s="129"/>
      <c r="I2180" s="130"/>
      <c r="J2180" s="23"/>
      <c r="K2180" s="23"/>
      <c r="L2180" s="23"/>
      <c r="M2180" s="131"/>
      <c r="N2180" s="131"/>
      <c r="O2180" s="131"/>
    </row>
    <row r="2181" spans="4:15" x14ac:dyDescent="0.3">
      <c r="D2181" s="33"/>
      <c r="E2181" s="127"/>
      <c r="F2181" s="128"/>
      <c r="G2181" s="128"/>
      <c r="H2181" s="129"/>
      <c r="I2181" s="130"/>
      <c r="J2181" s="23"/>
      <c r="K2181" s="23"/>
      <c r="L2181" s="23"/>
      <c r="M2181" s="131"/>
      <c r="N2181" s="131"/>
      <c r="O2181" s="131"/>
    </row>
    <row r="2182" spans="4:15" x14ac:dyDescent="0.3">
      <c r="D2182" s="33"/>
      <c r="E2182" s="127"/>
      <c r="F2182" s="128"/>
      <c r="G2182" s="128"/>
      <c r="H2182" s="129"/>
      <c r="I2182" s="130"/>
      <c r="J2182" s="23"/>
      <c r="K2182" s="23"/>
      <c r="L2182" s="23"/>
      <c r="M2182" s="131"/>
      <c r="N2182" s="131"/>
      <c r="O2182" s="131"/>
    </row>
    <row r="2183" spans="4:15" x14ac:dyDescent="0.3">
      <c r="D2183" s="33"/>
      <c r="E2183" s="127"/>
      <c r="F2183" s="128"/>
      <c r="G2183" s="128"/>
      <c r="H2183" s="129"/>
      <c r="I2183" s="130"/>
      <c r="J2183" s="23"/>
      <c r="K2183" s="23"/>
      <c r="L2183" s="23"/>
      <c r="M2183" s="131"/>
      <c r="N2183" s="131"/>
      <c r="O2183" s="131"/>
    </row>
    <row r="2184" spans="4:15" x14ac:dyDescent="0.3">
      <c r="D2184" s="33"/>
      <c r="E2184" s="127"/>
      <c r="F2184" s="128"/>
      <c r="G2184" s="128"/>
      <c r="H2184" s="129"/>
      <c r="I2184" s="130"/>
      <c r="J2184" s="23"/>
      <c r="K2184" s="23"/>
      <c r="L2184" s="23"/>
      <c r="M2184" s="131"/>
      <c r="N2184" s="131"/>
      <c r="O2184" s="131"/>
    </row>
    <row r="2185" spans="4:15" x14ac:dyDescent="0.3">
      <c r="D2185" s="33"/>
      <c r="E2185" s="127"/>
      <c r="F2185" s="128"/>
      <c r="G2185" s="128"/>
      <c r="H2185" s="129"/>
      <c r="I2185" s="130"/>
      <c r="J2185" s="23"/>
      <c r="K2185" s="23"/>
      <c r="L2185" s="23"/>
      <c r="M2185" s="131"/>
      <c r="N2185" s="131"/>
      <c r="O2185" s="131"/>
    </row>
    <row r="2186" spans="4:15" x14ac:dyDescent="0.3">
      <c r="D2186" s="33"/>
      <c r="E2186" s="127"/>
      <c r="F2186" s="128"/>
      <c r="G2186" s="128"/>
      <c r="H2186" s="129"/>
      <c r="I2186" s="130"/>
      <c r="J2186" s="23"/>
      <c r="K2186" s="23"/>
      <c r="L2186" s="23"/>
      <c r="M2186" s="131"/>
      <c r="N2186" s="131"/>
      <c r="O2186" s="131"/>
    </row>
    <row r="2187" spans="4:15" x14ac:dyDescent="0.3">
      <c r="D2187" s="33"/>
      <c r="E2187" s="127"/>
      <c r="F2187" s="128"/>
      <c r="G2187" s="128"/>
      <c r="H2187" s="129"/>
      <c r="I2187" s="130"/>
      <c r="J2187" s="23"/>
      <c r="K2187" s="23"/>
      <c r="L2187" s="23"/>
      <c r="M2187" s="131"/>
      <c r="N2187" s="131"/>
      <c r="O2187" s="131"/>
    </row>
    <row r="2188" spans="4:15" x14ac:dyDescent="0.3">
      <c r="D2188" s="33"/>
      <c r="E2188" s="127"/>
      <c r="F2188" s="128"/>
      <c r="G2188" s="128"/>
      <c r="H2188" s="129"/>
      <c r="I2188" s="130"/>
      <c r="J2188" s="23"/>
      <c r="K2188" s="23"/>
      <c r="L2188" s="23"/>
      <c r="M2188" s="131"/>
      <c r="N2188" s="131"/>
      <c r="O2188" s="131"/>
    </row>
    <row r="2189" spans="4:15" x14ac:dyDescent="0.3">
      <c r="D2189" s="33"/>
      <c r="E2189" s="127"/>
      <c r="F2189" s="128"/>
      <c r="G2189" s="128"/>
      <c r="H2189" s="129"/>
      <c r="I2189" s="130"/>
      <c r="J2189" s="23"/>
      <c r="K2189" s="23"/>
      <c r="L2189" s="23"/>
      <c r="M2189" s="131"/>
      <c r="N2189" s="131"/>
      <c r="O2189" s="131"/>
    </row>
    <row r="2190" spans="4:15" x14ac:dyDescent="0.3">
      <c r="D2190" s="33"/>
      <c r="E2190" s="127"/>
      <c r="F2190" s="128"/>
      <c r="G2190" s="128"/>
      <c r="H2190" s="129"/>
      <c r="I2190" s="130"/>
      <c r="J2190" s="23"/>
      <c r="K2190" s="23"/>
      <c r="L2190" s="23"/>
      <c r="M2190" s="131"/>
      <c r="N2190" s="131"/>
      <c r="O2190" s="131"/>
    </row>
    <row r="2191" spans="4:15" x14ac:dyDescent="0.3">
      <c r="D2191" s="33"/>
      <c r="E2191" s="127"/>
      <c r="F2191" s="128"/>
      <c r="G2191" s="128"/>
      <c r="H2191" s="129"/>
      <c r="I2191" s="130"/>
      <c r="J2191" s="23"/>
      <c r="K2191" s="23"/>
      <c r="L2191" s="23"/>
      <c r="M2191" s="131"/>
      <c r="N2191" s="131"/>
      <c r="O2191" s="131"/>
    </row>
    <row r="2192" spans="4:15" x14ac:dyDescent="0.3">
      <c r="D2192" s="33"/>
      <c r="E2192" s="127"/>
      <c r="F2192" s="128"/>
      <c r="G2192" s="128"/>
      <c r="H2192" s="129"/>
      <c r="I2192" s="130"/>
      <c r="J2192" s="23"/>
      <c r="K2192" s="23"/>
      <c r="L2192" s="23"/>
      <c r="M2192" s="131"/>
      <c r="N2192" s="131"/>
      <c r="O2192" s="131"/>
    </row>
    <row r="2193" spans="4:15" x14ac:dyDescent="0.3">
      <c r="D2193" s="33"/>
      <c r="E2193" s="127"/>
      <c r="F2193" s="128"/>
      <c r="G2193" s="128"/>
      <c r="H2193" s="129"/>
      <c r="I2193" s="130"/>
      <c r="J2193" s="23"/>
      <c r="K2193" s="23"/>
      <c r="L2193" s="23"/>
      <c r="M2193" s="131"/>
      <c r="N2193" s="131"/>
      <c r="O2193" s="131"/>
    </row>
    <row r="2194" spans="4:15" x14ac:dyDescent="0.3">
      <c r="D2194" s="33"/>
      <c r="E2194" s="127"/>
      <c r="F2194" s="128"/>
      <c r="G2194" s="128"/>
      <c r="H2194" s="129"/>
      <c r="I2194" s="130"/>
      <c r="J2194" s="23"/>
      <c r="K2194" s="23"/>
      <c r="L2194" s="23"/>
      <c r="M2194" s="131"/>
      <c r="N2194" s="131"/>
      <c r="O2194" s="131"/>
    </row>
    <row r="2195" spans="4:15" x14ac:dyDescent="0.3">
      <c r="D2195" s="33"/>
      <c r="E2195" s="127"/>
      <c r="F2195" s="128"/>
      <c r="G2195" s="128"/>
      <c r="H2195" s="129"/>
      <c r="I2195" s="130"/>
      <c r="J2195" s="23"/>
      <c r="K2195" s="23"/>
      <c r="L2195" s="23"/>
      <c r="M2195" s="131"/>
      <c r="N2195" s="131"/>
      <c r="O2195" s="131"/>
    </row>
    <row r="2196" spans="4:15" x14ac:dyDescent="0.3">
      <c r="D2196" s="33"/>
      <c r="E2196" s="127"/>
      <c r="F2196" s="128"/>
      <c r="G2196" s="128"/>
      <c r="H2196" s="129"/>
      <c r="I2196" s="130"/>
      <c r="J2196" s="23"/>
      <c r="K2196" s="23"/>
      <c r="L2196" s="23"/>
      <c r="M2196" s="131"/>
      <c r="N2196" s="131"/>
      <c r="O2196" s="131"/>
    </row>
    <row r="2197" spans="4:15" x14ac:dyDescent="0.3">
      <c r="D2197" s="33"/>
      <c r="E2197" s="127"/>
      <c r="F2197" s="128"/>
      <c r="G2197" s="128"/>
      <c r="H2197" s="129"/>
      <c r="I2197" s="130"/>
      <c r="J2197" s="23"/>
      <c r="K2197" s="23"/>
      <c r="L2197" s="23"/>
      <c r="M2197" s="131"/>
      <c r="N2197" s="131"/>
      <c r="O2197" s="131"/>
    </row>
    <row r="2198" spans="4:15" x14ac:dyDescent="0.3">
      <c r="D2198" s="33"/>
      <c r="E2198" s="127"/>
      <c r="F2198" s="128"/>
      <c r="G2198" s="128"/>
      <c r="H2198" s="129"/>
      <c r="I2198" s="130"/>
      <c r="J2198" s="23"/>
      <c r="K2198" s="23"/>
      <c r="L2198" s="23"/>
      <c r="M2198" s="131"/>
      <c r="N2198" s="131"/>
      <c r="O2198" s="131"/>
    </row>
    <row r="2199" spans="4:15" x14ac:dyDescent="0.3">
      <c r="D2199" s="33"/>
      <c r="E2199" s="127"/>
      <c r="F2199" s="128"/>
      <c r="G2199" s="128"/>
      <c r="H2199" s="129"/>
      <c r="I2199" s="130"/>
      <c r="J2199" s="23"/>
      <c r="K2199" s="23"/>
      <c r="L2199" s="23"/>
      <c r="M2199" s="131"/>
      <c r="N2199" s="131"/>
      <c r="O2199" s="131"/>
    </row>
    <row r="2200" spans="4:15" x14ac:dyDescent="0.3">
      <c r="D2200" s="33"/>
      <c r="E2200" s="127"/>
      <c r="F2200" s="128"/>
      <c r="G2200" s="128"/>
      <c r="H2200" s="129"/>
      <c r="I2200" s="130"/>
      <c r="J2200" s="23"/>
      <c r="K2200" s="23"/>
      <c r="L2200" s="23"/>
      <c r="M2200" s="131"/>
      <c r="N2200" s="131"/>
      <c r="O2200" s="131"/>
    </row>
    <row r="2201" spans="4:15" x14ac:dyDescent="0.3">
      <c r="D2201" s="33"/>
      <c r="E2201" s="127"/>
      <c r="F2201" s="128"/>
      <c r="G2201" s="128"/>
      <c r="H2201" s="129"/>
      <c r="I2201" s="130"/>
      <c r="J2201" s="23"/>
      <c r="K2201" s="23"/>
      <c r="L2201" s="23"/>
      <c r="M2201" s="131"/>
      <c r="N2201" s="131"/>
      <c r="O2201" s="131"/>
    </row>
    <row r="2202" spans="4:15" x14ac:dyDescent="0.3">
      <c r="D2202" s="33"/>
      <c r="E2202" s="127"/>
      <c r="F2202" s="128"/>
      <c r="G2202" s="128"/>
      <c r="H2202" s="129"/>
      <c r="I2202" s="130"/>
      <c r="J2202" s="23"/>
      <c r="K2202" s="23"/>
      <c r="L2202" s="23"/>
      <c r="M2202" s="131"/>
      <c r="N2202" s="131"/>
      <c r="O2202" s="131"/>
    </row>
    <row r="2203" spans="4:15" x14ac:dyDescent="0.3">
      <c r="D2203" s="33"/>
      <c r="E2203" s="127"/>
      <c r="F2203" s="128"/>
      <c r="G2203" s="128"/>
      <c r="H2203" s="129"/>
      <c r="I2203" s="130"/>
      <c r="J2203" s="23"/>
      <c r="K2203" s="23"/>
      <c r="L2203" s="23"/>
      <c r="M2203" s="131"/>
      <c r="N2203" s="131"/>
      <c r="O2203" s="131"/>
    </row>
    <row r="2204" spans="4:15" x14ac:dyDescent="0.3">
      <c r="D2204" s="33"/>
      <c r="E2204" s="127"/>
      <c r="F2204" s="128"/>
      <c r="G2204" s="128"/>
      <c r="H2204" s="129"/>
      <c r="I2204" s="130"/>
      <c r="J2204" s="23"/>
      <c r="K2204" s="23"/>
      <c r="L2204" s="23"/>
      <c r="M2204" s="131"/>
      <c r="N2204" s="131"/>
      <c r="O2204" s="131"/>
    </row>
    <row r="2205" spans="4:15" x14ac:dyDescent="0.3">
      <c r="D2205" s="33"/>
      <c r="E2205" s="127"/>
      <c r="F2205" s="128"/>
      <c r="G2205" s="128"/>
      <c r="H2205" s="129"/>
      <c r="I2205" s="130"/>
      <c r="J2205" s="23"/>
      <c r="K2205" s="23"/>
      <c r="L2205" s="23"/>
      <c r="M2205" s="131"/>
      <c r="N2205" s="131"/>
      <c r="O2205" s="131"/>
    </row>
    <row r="2206" spans="4:15" x14ac:dyDescent="0.3">
      <c r="D2206" s="33"/>
      <c r="E2206" s="127"/>
      <c r="F2206" s="128"/>
      <c r="G2206" s="128"/>
      <c r="H2206" s="129"/>
      <c r="I2206" s="130"/>
      <c r="J2206" s="23"/>
      <c r="K2206" s="23"/>
      <c r="L2206" s="23"/>
      <c r="M2206" s="131"/>
      <c r="N2206" s="131"/>
      <c r="O2206" s="131"/>
    </row>
    <row r="2207" spans="4:15" x14ac:dyDescent="0.3">
      <c r="D2207" s="33"/>
      <c r="E2207" s="127"/>
      <c r="F2207" s="128"/>
      <c r="G2207" s="128"/>
      <c r="H2207" s="129"/>
      <c r="I2207" s="130"/>
      <c r="J2207" s="23"/>
      <c r="K2207" s="23"/>
      <c r="L2207" s="23"/>
      <c r="M2207" s="131"/>
      <c r="N2207" s="131"/>
      <c r="O2207" s="131"/>
    </row>
    <row r="2208" spans="4:15" x14ac:dyDescent="0.3">
      <c r="D2208" s="33"/>
      <c r="E2208" s="127"/>
      <c r="F2208" s="128"/>
      <c r="G2208" s="128"/>
      <c r="H2208" s="129"/>
      <c r="I2208" s="130"/>
      <c r="J2208" s="23"/>
      <c r="K2208" s="23"/>
      <c r="L2208" s="23"/>
      <c r="M2208" s="131"/>
      <c r="N2208" s="131"/>
      <c r="O2208" s="131"/>
    </row>
    <row r="2209" spans="4:15" x14ac:dyDescent="0.3">
      <c r="D2209" s="33"/>
      <c r="E2209" s="127"/>
      <c r="F2209" s="128"/>
      <c r="G2209" s="128"/>
      <c r="H2209" s="129"/>
      <c r="I2209" s="130"/>
      <c r="J2209" s="23"/>
      <c r="K2209" s="23"/>
      <c r="L2209" s="23"/>
      <c r="M2209" s="131"/>
      <c r="N2209" s="131"/>
      <c r="O2209" s="131"/>
    </row>
    <row r="2210" spans="4:15" x14ac:dyDescent="0.3">
      <c r="D2210" s="33"/>
      <c r="E2210" s="127"/>
      <c r="F2210" s="128"/>
      <c r="G2210" s="128"/>
      <c r="H2210" s="129"/>
      <c r="I2210" s="130"/>
      <c r="J2210" s="23"/>
      <c r="K2210" s="23"/>
      <c r="L2210" s="23"/>
      <c r="M2210" s="131"/>
      <c r="N2210" s="131"/>
      <c r="O2210" s="131"/>
    </row>
    <row r="2211" spans="4:15" x14ac:dyDescent="0.3">
      <c r="D2211" s="33"/>
      <c r="E2211" s="127"/>
      <c r="F2211" s="128"/>
      <c r="G2211" s="128"/>
      <c r="H2211" s="129"/>
      <c r="I2211" s="130"/>
      <c r="J2211" s="23"/>
      <c r="K2211" s="23"/>
      <c r="L2211" s="23"/>
      <c r="M2211" s="131"/>
      <c r="N2211" s="131"/>
      <c r="O2211" s="131"/>
    </row>
    <row r="2212" spans="4:15" x14ac:dyDescent="0.3">
      <c r="D2212" s="33"/>
      <c r="E2212" s="127"/>
      <c r="F2212" s="128"/>
      <c r="G2212" s="128"/>
      <c r="H2212" s="129"/>
      <c r="I2212" s="130"/>
      <c r="J2212" s="23"/>
      <c r="K2212" s="23"/>
      <c r="L2212" s="23"/>
      <c r="M2212" s="131"/>
      <c r="N2212" s="131"/>
      <c r="O2212" s="131"/>
    </row>
    <row r="2213" spans="4:15" x14ac:dyDescent="0.3">
      <c r="D2213" s="33"/>
      <c r="E2213" s="127"/>
      <c r="F2213" s="128"/>
      <c r="G2213" s="128"/>
      <c r="H2213" s="129"/>
      <c r="I2213" s="130"/>
      <c r="J2213" s="23"/>
      <c r="K2213" s="23"/>
      <c r="L2213" s="23"/>
      <c r="M2213" s="131"/>
      <c r="N2213" s="131"/>
      <c r="O2213" s="131"/>
    </row>
    <row r="2214" spans="4:15" x14ac:dyDescent="0.3">
      <c r="D2214" s="33"/>
      <c r="E2214" s="127"/>
      <c r="F2214" s="128"/>
      <c r="G2214" s="128"/>
      <c r="H2214" s="129"/>
      <c r="I2214" s="130"/>
      <c r="J2214" s="23"/>
      <c r="K2214" s="23"/>
      <c r="L2214" s="23"/>
      <c r="M2214" s="131"/>
      <c r="N2214" s="131"/>
      <c r="O2214" s="131"/>
    </row>
    <row r="2215" spans="4:15" x14ac:dyDescent="0.3">
      <c r="D2215" s="33"/>
      <c r="E2215" s="127"/>
      <c r="F2215" s="128"/>
      <c r="G2215" s="128"/>
      <c r="H2215" s="129"/>
      <c r="I2215" s="130"/>
      <c r="J2215" s="23"/>
      <c r="K2215" s="23"/>
      <c r="L2215" s="23"/>
      <c r="M2215" s="131"/>
      <c r="N2215" s="131"/>
      <c r="O2215" s="131"/>
    </row>
    <row r="2216" spans="4:15" x14ac:dyDescent="0.3">
      <c r="D2216" s="33"/>
      <c r="E2216" s="127"/>
      <c r="F2216" s="128"/>
      <c r="G2216" s="128"/>
      <c r="H2216" s="129"/>
      <c r="I2216" s="130"/>
      <c r="J2216" s="23"/>
      <c r="K2216" s="23"/>
      <c r="L2216" s="23"/>
      <c r="M2216" s="131"/>
      <c r="N2216" s="131"/>
      <c r="O2216" s="131"/>
    </row>
    <row r="2217" spans="4:15" x14ac:dyDescent="0.3">
      <c r="D2217" s="33"/>
      <c r="E2217" s="127"/>
      <c r="F2217" s="128"/>
      <c r="G2217" s="128"/>
      <c r="H2217" s="129"/>
      <c r="I2217" s="130"/>
      <c r="J2217" s="23"/>
      <c r="K2217" s="23"/>
      <c r="L2217" s="23"/>
      <c r="M2217" s="131"/>
      <c r="N2217" s="131"/>
      <c r="O2217" s="131"/>
    </row>
    <row r="2218" spans="4:15" x14ac:dyDescent="0.3">
      <c r="D2218" s="33"/>
      <c r="E2218" s="127"/>
      <c r="F2218" s="128"/>
      <c r="G2218" s="128"/>
      <c r="H2218" s="129"/>
      <c r="I2218" s="130"/>
      <c r="J2218" s="23"/>
      <c r="K2218" s="23"/>
      <c r="L2218" s="23"/>
      <c r="M2218" s="131"/>
      <c r="N2218" s="131"/>
      <c r="O2218" s="131"/>
    </row>
    <row r="2219" spans="4:15" x14ac:dyDescent="0.3">
      <c r="D2219" s="33"/>
      <c r="E2219" s="127"/>
      <c r="F2219" s="128"/>
      <c r="G2219" s="128"/>
      <c r="H2219" s="129"/>
      <c r="I2219" s="130"/>
      <c r="J2219" s="23"/>
      <c r="K2219" s="23"/>
      <c r="L2219" s="23"/>
      <c r="M2219" s="131"/>
      <c r="N2219" s="131"/>
      <c r="O2219" s="131"/>
    </row>
    <row r="2220" spans="4:15" x14ac:dyDescent="0.3">
      <c r="D2220" s="33"/>
      <c r="E2220" s="127"/>
      <c r="F2220" s="128"/>
      <c r="G2220" s="128"/>
      <c r="H2220" s="129"/>
      <c r="I2220" s="130"/>
      <c r="J2220" s="23"/>
      <c r="K2220" s="23"/>
      <c r="L2220" s="23"/>
      <c r="M2220" s="131"/>
      <c r="N2220" s="131"/>
      <c r="O2220" s="131"/>
    </row>
    <row r="2221" spans="4:15" x14ac:dyDescent="0.3">
      <c r="D2221" s="33"/>
      <c r="E2221" s="127"/>
      <c r="F2221" s="128"/>
      <c r="G2221" s="128"/>
      <c r="H2221" s="129"/>
      <c r="I2221" s="130"/>
      <c r="J2221" s="23"/>
      <c r="K2221" s="23"/>
      <c r="L2221" s="23"/>
      <c r="M2221" s="131"/>
      <c r="N2221" s="131"/>
      <c r="O2221" s="131"/>
    </row>
    <row r="2222" spans="4:15" x14ac:dyDescent="0.3">
      <c r="D2222" s="33"/>
      <c r="E2222" s="127"/>
      <c r="F2222" s="128"/>
      <c r="G2222" s="128"/>
      <c r="H2222" s="129"/>
      <c r="I2222" s="130"/>
      <c r="J2222" s="23"/>
      <c r="K2222" s="23"/>
      <c r="L2222" s="23"/>
      <c r="M2222" s="131"/>
      <c r="N2222" s="131"/>
      <c r="O2222" s="131"/>
    </row>
    <row r="2223" spans="4:15" x14ac:dyDescent="0.3">
      <c r="D2223" s="33"/>
      <c r="E2223" s="127"/>
      <c r="F2223" s="128"/>
      <c r="G2223" s="128"/>
      <c r="H2223" s="129"/>
      <c r="I2223" s="130"/>
      <c r="J2223" s="23"/>
      <c r="K2223" s="23"/>
      <c r="L2223" s="23"/>
      <c r="M2223" s="131"/>
      <c r="N2223" s="131"/>
      <c r="O2223" s="131"/>
    </row>
    <row r="2224" spans="4:15" x14ac:dyDescent="0.3">
      <c r="D2224" s="33"/>
      <c r="E2224" s="127"/>
      <c r="F2224" s="128"/>
      <c r="G2224" s="128"/>
      <c r="H2224" s="129"/>
      <c r="I2224" s="130"/>
      <c r="J2224" s="23"/>
      <c r="K2224" s="23"/>
      <c r="L2224" s="23"/>
      <c r="M2224" s="131"/>
      <c r="N2224" s="131"/>
      <c r="O2224" s="131"/>
    </row>
    <row r="2225" spans="4:15" x14ac:dyDescent="0.3">
      <c r="D2225" s="33"/>
      <c r="E2225" s="127"/>
      <c r="F2225" s="128"/>
      <c r="G2225" s="128"/>
      <c r="H2225" s="129"/>
      <c r="I2225" s="130"/>
      <c r="J2225" s="23"/>
      <c r="K2225" s="23"/>
      <c r="L2225" s="23"/>
      <c r="M2225" s="131"/>
      <c r="N2225" s="131"/>
      <c r="O2225" s="131"/>
    </row>
    <row r="2226" spans="4:15" x14ac:dyDescent="0.3">
      <c r="D2226" s="33"/>
      <c r="E2226" s="127"/>
      <c r="F2226" s="128"/>
      <c r="G2226" s="128"/>
      <c r="H2226" s="129"/>
      <c r="I2226" s="130"/>
      <c r="J2226" s="23"/>
      <c r="K2226" s="23"/>
      <c r="L2226" s="23"/>
      <c r="M2226" s="131"/>
      <c r="N2226" s="131"/>
      <c r="O2226" s="131"/>
    </row>
    <row r="2227" spans="4:15" x14ac:dyDescent="0.3">
      <c r="D2227" s="33"/>
      <c r="E2227" s="127"/>
      <c r="F2227" s="128"/>
      <c r="G2227" s="128"/>
      <c r="H2227" s="129"/>
      <c r="I2227" s="130"/>
      <c r="J2227" s="23"/>
      <c r="K2227" s="23"/>
      <c r="L2227" s="23"/>
      <c r="M2227" s="131"/>
      <c r="N2227" s="131"/>
      <c r="O2227" s="131"/>
    </row>
    <row r="2228" spans="4:15" x14ac:dyDescent="0.3">
      <c r="D2228" s="33"/>
      <c r="E2228" s="127"/>
      <c r="F2228" s="128"/>
      <c r="G2228" s="128"/>
      <c r="H2228" s="129"/>
      <c r="I2228" s="130"/>
      <c r="J2228" s="23"/>
      <c r="K2228" s="23"/>
      <c r="L2228" s="23"/>
      <c r="M2228" s="131"/>
      <c r="N2228" s="131"/>
      <c r="O2228" s="131"/>
    </row>
    <row r="2229" spans="4:15" x14ac:dyDescent="0.3">
      <c r="D2229" s="33"/>
      <c r="E2229" s="127"/>
      <c r="F2229" s="128"/>
      <c r="G2229" s="128"/>
      <c r="H2229" s="129"/>
      <c r="I2229" s="130"/>
      <c r="J2229" s="23"/>
      <c r="K2229" s="23"/>
      <c r="L2229" s="23"/>
      <c r="M2229" s="131"/>
      <c r="N2229" s="131"/>
      <c r="O2229" s="131"/>
    </row>
    <row r="2230" spans="4:15" x14ac:dyDescent="0.3">
      <c r="D2230" s="33"/>
      <c r="E2230" s="127"/>
      <c r="F2230" s="128"/>
      <c r="G2230" s="128"/>
      <c r="H2230" s="129"/>
      <c r="I2230" s="130"/>
      <c r="J2230" s="23"/>
      <c r="K2230" s="23"/>
      <c r="L2230" s="23"/>
      <c r="M2230" s="131"/>
      <c r="N2230" s="131"/>
      <c r="O2230" s="131"/>
    </row>
    <row r="2231" spans="4:15" x14ac:dyDescent="0.3">
      <c r="D2231" s="33"/>
      <c r="E2231" s="127"/>
      <c r="F2231" s="128"/>
      <c r="G2231" s="128"/>
      <c r="H2231" s="129"/>
      <c r="I2231" s="130"/>
      <c r="J2231" s="23"/>
      <c r="K2231" s="23"/>
      <c r="L2231" s="23"/>
      <c r="M2231" s="131"/>
      <c r="N2231" s="131"/>
      <c r="O2231" s="131"/>
    </row>
    <row r="2232" spans="4:15" x14ac:dyDescent="0.3">
      <c r="D2232" s="33"/>
      <c r="E2232" s="127"/>
      <c r="F2232" s="128"/>
      <c r="G2232" s="128"/>
      <c r="H2232" s="129"/>
      <c r="I2232" s="130"/>
      <c r="J2232" s="23"/>
      <c r="K2232" s="23"/>
      <c r="L2232" s="23"/>
      <c r="M2232" s="131"/>
      <c r="N2232" s="131"/>
      <c r="O2232" s="131"/>
    </row>
    <row r="2233" spans="4:15" x14ac:dyDescent="0.3">
      <c r="D2233" s="33"/>
      <c r="E2233" s="127"/>
      <c r="F2233" s="128"/>
      <c r="G2233" s="128"/>
      <c r="H2233" s="129"/>
      <c r="I2233" s="130"/>
      <c r="J2233" s="23"/>
      <c r="K2233" s="23"/>
      <c r="L2233" s="23"/>
      <c r="M2233" s="131"/>
      <c r="N2233" s="131"/>
      <c r="O2233" s="131"/>
    </row>
    <row r="2234" spans="4:15" x14ac:dyDescent="0.3">
      <c r="D2234" s="33"/>
      <c r="E2234" s="127"/>
      <c r="F2234" s="128"/>
      <c r="G2234" s="128"/>
      <c r="H2234" s="129"/>
      <c r="I2234" s="130"/>
      <c r="J2234" s="23"/>
      <c r="K2234" s="23"/>
      <c r="L2234" s="23"/>
      <c r="M2234" s="131"/>
      <c r="N2234" s="131"/>
      <c r="O2234" s="131"/>
    </row>
    <row r="2235" spans="4:15" x14ac:dyDescent="0.3">
      <c r="D2235" s="33"/>
      <c r="E2235" s="127"/>
      <c r="F2235" s="128"/>
      <c r="G2235" s="128"/>
      <c r="H2235" s="129"/>
      <c r="I2235" s="130"/>
      <c r="J2235" s="23"/>
      <c r="K2235" s="23"/>
      <c r="L2235" s="23"/>
      <c r="M2235" s="131"/>
      <c r="N2235" s="131"/>
      <c r="O2235" s="131"/>
    </row>
    <row r="2236" spans="4:15" x14ac:dyDescent="0.3">
      <c r="D2236" s="33"/>
      <c r="E2236" s="127"/>
      <c r="F2236" s="128"/>
      <c r="G2236" s="128"/>
      <c r="H2236" s="129"/>
      <c r="I2236" s="130"/>
      <c r="J2236" s="23"/>
      <c r="K2236" s="23"/>
      <c r="L2236" s="23"/>
      <c r="M2236" s="131"/>
      <c r="N2236" s="131"/>
      <c r="O2236" s="131"/>
    </row>
    <row r="2237" spans="4:15" x14ac:dyDescent="0.3">
      <c r="D2237" s="33"/>
      <c r="E2237" s="127"/>
      <c r="F2237" s="128"/>
      <c r="G2237" s="128"/>
      <c r="H2237" s="129"/>
      <c r="I2237" s="130"/>
      <c r="J2237" s="23"/>
      <c r="K2237" s="23"/>
      <c r="L2237" s="23"/>
      <c r="M2237" s="131"/>
      <c r="N2237" s="131"/>
      <c r="O2237" s="131"/>
    </row>
    <row r="2238" spans="4:15" x14ac:dyDescent="0.3">
      <c r="D2238" s="33"/>
      <c r="E2238" s="127"/>
      <c r="F2238" s="128"/>
      <c r="G2238" s="128"/>
      <c r="H2238" s="129"/>
      <c r="I2238" s="130"/>
      <c r="J2238" s="23"/>
      <c r="K2238" s="23"/>
      <c r="L2238" s="23"/>
      <c r="M2238" s="131"/>
      <c r="N2238" s="131"/>
      <c r="O2238" s="131"/>
    </row>
    <row r="2239" spans="4:15" x14ac:dyDescent="0.3">
      <c r="D2239" s="33"/>
      <c r="E2239" s="127"/>
      <c r="F2239" s="128"/>
      <c r="G2239" s="128"/>
      <c r="H2239" s="129"/>
      <c r="I2239" s="130"/>
      <c r="J2239" s="23"/>
      <c r="K2239" s="23"/>
      <c r="L2239" s="23"/>
      <c r="M2239" s="131"/>
      <c r="N2239" s="131"/>
      <c r="O2239" s="131"/>
    </row>
    <row r="2240" spans="4:15" x14ac:dyDescent="0.3">
      <c r="D2240" s="33"/>
      <c r="E2240" s="127"/>
      <c r="F2240" s="128"/>
      <c r="G2240" s="128"/>
      <c r="H2240" s="129"/>
      <c r="I2240" s="130"/>
      <c r="J2240" s="23"/>
      <c r="K2240" s="23"/>
      <c r="L2240" s="23"/>
      <c r="M2240" s="131"/>
      <c r="N2240" s="131"/>
      <c r="O2240" s="131"/>
    </row>
    <row r="2241" spans="4:15" x14ac:dyDescent="0.3">
      <c r="D2241" s="33"/>
      <c r="E2241" s="127"/>
      <c r="F2241" s="128"/>
      <c r="G2241" s="128"/>
      <c r="H2241" s="129"/>
      <c r="I2241" s="130"/>
      <c r="J2241" s="23"/>
      <c r="K2241" s="23"/>
      <c r="L2241" s="23"/>
      <c r="M2241" s="131"/>
      <c r="N2241" s="131"/>
      <c r="O2241" s="131"/>
    </row>
    <row r="2242" spans="4:15" x14ac:dyDescent="0.3">
      <c r="D2242" s="33"/>
      <c r="E2242" s="127"/>
      <c r="F2242" s="128"/>
      <c r="G2242" s="128"/>
      <c r="H2242" s="129"/>
      <c r="I2242" s="130"/>
      <c r="J2242" s="23"/>
      <c r="K2242" s="23"/>
      <c r="L2242" s="23"/>
      <c r="M2242" s="131"/>
      <c r="N2242" s="131"/>
      <c r="O2242" s="131"/>
    </row>
    <row r="2243" spans="4:15" x14ac:dyDescent="0.3">
      <c r="D2243" s="33"/>
      <c r="E2243" s="127"/>
      <c r="F2243" s="128"/>
      <c r="G2243" s="128"/>
      <c r="H2243" s="129"/>
      <c r="I2243" s="130"/>
      <c r="J2243" s="23"/>
      <c r="K2243" s="23"/>
      <c r="L2243" s="23"/>
      <c r="M2243" s="131"/>
      <c r="N2243" s="131"/>
      <c r="O2243" s="131"/>
    </row>
    <row r="2244" spans="4:15" x14ac:dyDescent="0.3">
      <c r="D2244" s="33"/>
      <c r="E2244" s="127"/>
      <c r="F2244" s="128"/>
      <c r="G2244" s="128"/>
      <c r="H2244" s="129"/>
      <c r="I2244" s="130"/>
      <c r="J2244" s="23"/>
      <c r="K2244" s="23"/>
      <c r="L2244" s="23"/>
      <c r="M2244" s="131"/>
      <c r="N2244" s="131"/>
      <c r="O2244" s="131"/>
    </row>
    <row r="2245" spans="4:15" x14ac:dyDescent="0.3">
      <c r="D2245" s="33"/>
      <c r="E2245" s="127"/>
      <c r="F2245" s="128"/>
      <c r="G2245" s="128"/>
      <c r="H2245" s="129"/>
      <c r="I2245" s="130"/>
      <c r="J2245" s="23"/>
      <c r="K2245" s="23"/>
      <c r="L2245" s="23"/>
      <c r="M2245" s="131"/>
      <c r="N2245" s="131"/>
      <c r="O2245" s="131"/>
    </row>
    <row r="2246" spans="4:15" x14ac:dyDescent="0.3">
      <c r="D2246" s="33"/>
      <c r="E2246" s="127"/>
      <c r="F2246" s="128"/>
      <c r="G2246" s="128"/>
      <c r="H2246" s="129"/>
      <c r="I2246" s="130"/>
      <c r="J2246" s="23"/>
      <c r="K2246" s="23"/>
      <c r="L2246" s="23"/>
      <c r="M2246" s="131"/>
      <c r="N2246" s="131"/>
      <c r="O2246" s="131"/>
    </row>
    <row r="2247" spans="4:15" x14ac:dyDescent="0.3">
      <c r="D2247" s="33"/>
      <c r="E2247" s="127"/>
      <c r="F2247" s="128"/>
      <c r="G2247" s="128"/>
      <c r="H2247" s="129"/>
      <c r="I2247" s="130"/>
      <c r="J2247" s="23"/>
      <c r="K2247" s="23"/>
      <c r="L2247" s="23"/>
      <c r="M2247" s="131"/>
      <c r="N2247" s="131"/>
      <c r="O2247" s="131"/>
    </row>
    <row r="2248" spans="4:15" x14ac:dyDescent="0.3">
      <c r="D2248" s="33"/>
      <c r="E2248" s="127"/>
      <c r="F2248" s="128"/>
      <c r="G2248" s="128"/>
      <c r="H2248" s="129"/>
      <c r="I2248" s="130"/>
      <c r="J2248" s="23"/>
      <c r="K2248" s="23"/>
      <c r="L2248" s="23"/>
      <c r="M2248" s="131"/>
      <c r="N2248" s="131"/>
      <c r="O2248" s="131"/>
    </row>
    <row r="2249" spans="4:15" x14ac:dyDescent="0.3">
      <c r="D2249" s="33"/>
      <c r="E2249" s="127"/>
      <c r="F2249" s="128"/>
      <c r="G2249" s="128"/>
      <c r="H2249" s="129"/>
      <c r="I2249" s="130"/>
      <c r="J2249" s="23"/>
      <c r="K2249" s="23"/>
      <c r="L2249" s="23"/>
      <c r="M2249" s="131"/>
      <c r="N2249" s="131"/>
      <c r="O2249" s="131"/>
    </row>
    <row r="2250" spans="4:15" x14ac:dyDescent="0.3">
      <c r="D2250" s="33"/>
      <c r="E2250" s="127"/>
      <c r="F2250" s="128"/>
      <c r="G2250" s="128"/>
      <c r="H2250" s="129"/>
      <c r="I2250" s="130"/>
      <c r="J2250" s="23"/>
      <c r="K2250" s="23"/>
      <c r="L2250" s="23"/>
      <c r="M2250" s="131"/>
      <c r="N2250" s="131"/>
      <c r="O2250" s="131"/>
    </row>
    <row r="2251" spans="4:15" x14ac:dyDescent="0.3">
      <c r="D2251" s="33"/>
      <c r="E2251" s="127"/>
      <c r="F2251" s="128"/>
      <c r="G2251" s="128"/>
      <c r="H2251" s="129"/>
      <c r="I2251" s="130"/>
      <c r="J2251" s="23"/>
      <c r="K2251" s="23"/>
      <c r="L2251" s="23"/>
      <c r="M2251" s="131"/>
      <c r="N2251" s="131"/>
      <c r="O2251" s="131"/>
    </row>
    <row r="2252" spans="4:15" x14ac:dyDescent="0.3">
      <c r="D2252" s="33"/>
      <c r="E2252" s="127"/>
      <c r="F2252" s="128"/>
      <c r="G2252" s="128"/>
      <c r="H2252" s="129"/>
      <c r="I2252" s="130"/>
      <c r="J2252" s="23"/>
      <c r="K2252" s="23"/>
      <c r="L2252" s="23"/>
      <c r="M2252" s="131"/>
      <c r="N2252" s="131"/>
      <c r="O2252" s="131"/>
    </row>
    <row r="2253" spans="4:15" x14ac:dyDescent="0.3">
      <c r="D2253" s="33"/>
      <c r="E2253" s="127"/>
      <c r="F2253" s="128"/>
      <c r="G2253" s="128"/>
      <c r="H2253" s="129"/>
      <c r="I2253" s="130"/>
      <c r="J2253" s="23"/>
      <c r="K2253" s="23"/>
      <c r="L2253" s="23"/>
      <c r="M2253" s="131"/>
      <c r="N2253" s="131"/>
      <c r="O2253" s="131"/>
    </row>
    <row r="2254" spans="4:15" x14ac:dyDescent="0.3">
      <c r="D2254" s="33"/>
      <c r="E2254" s="127"/>
      <c r="F2254" s="128"/>
      <c r="G2254" s="128"/>
      <c r="H2254" s="129"/>
      <c r="I2254" s="130"/>
      <c r="J2254" s="23"/>
      <c r="K2254" s="23"/>
      <c r="L2254" s="23"/>
      <c r="M2254" s="131"/>
      <c r="N2254" s="131"/>
      <c r="O2254" s="131"/>
    </row>
    <row r="2255" spans="4:15" x14ac:dyDescent="0.3">
      <c r="D2255" s="33"/>
      <c r="E2255" s="127"/>
      <c r="F2255" s="128"/>
      <c r="G2255" s="128"/>
      <c r="H2255" s="129"/>
      <c r="I2255" s="130"/>
      <c r="J2255" s="23"/>
      <c r="K2255" s="23"/>
      <c r="L2255" s="23"/>
      <c r="M2255" s="131"/>
      <c r="N2255" s="131"/>
      <c r="O2255" s="131"/>
    </row>
    <row r="2256" spans="4:15" x14ac:dyDescent="0.3">
      <c r="D2256" s="33"/>
      <c r="E2256" s="127"/>
      <c r="F2256" s="128"/>
      <c r="G2256" s="128"/>
      <c r="H2256" s="129"/>
      <c r="I2256" s="130"/>
      <c r="J2256" s="23"/>
      <c r="K2256" s="23"/>
      <c r="L2256" s="23"/>
      <c r="M2256" s="131"/>
      <c r="N2256" s="131"/>
      <c r="O2256" s="131"/>
    </row>
    <row r="2257" spans="4:15" x14ac:dyDescent="0.3">
      <c r="D2257" s="33"/>
      <c r="E2257" s="127"/>
      <c r="F2257" s="128"/>
      <c r="G2257" s="128"/>
      <c r="H2257" s="129"/>
      <c r="I2257" s="130"/>
      <c r="J2257" s="23"/>
      <c r="K2257" s="23"/>
      <c r="L2257" s="23"/>
      <c r="M2257" s="131"/>
      <c r="N2257" s="131"/>
      <c r="O2257" s="131"/>
    </row>
    <row r="2258" spans="4:15" x14ac:dyDescent="0.3">
      <c r="D2258" s="33"/>
      <c r="E2258" s="127"/>
      <c r="F2258" s="128"/>
      <c r="G2258" s="128"/>
      <c r="H2258" s="129"/>
      <c r="I2258" s="130"/>
      <c r="J2258" s="23"/>
      <c r="K2258" s="23"/>
      <c r="L2258" s="23"/>
      <c r="M2258" s="131"/>
      <c r="N2258" s="131"/>
      <c r="O2258" s="131"/>
    </row>
    <row r="2259" spans="4:15" x14ac:dyDescent="0.3">
      <c r="D2259" s="33"/>
      <c r="E2259" s="127"/>
      <c r="F2259" s="128"/>
      <c r="G2259" s="128"/>
      <c r="H2259" s="129"/>
      <c r="I2259" s="130"/>
      <c r="J2259" s="23"/>
      <c r="K2259" s="23"/>
      <c r="L2259" s="23"/>
      <c r="M2259" s="131"/>
      <c r="N2259" s="131"/>
      <c r="O2259" s="131"/>
    </row>
    <row r="2260" spans="4:15" x14ac:dyDescent="0.3">
      <c r="D2260" s="33"/>
      <c r="E2260" s="127"/>
      <c r="F2260" s="128"/>
      <c r="G2260" s="128"/>
      <c r="H2260" s="129"/>
      <c r="I2260" s="130"/>
      <c r="J2260" s="23"/>
      <c r="K2260" s="23"/>
      <c r="L2260" s="23"/>
      <c r="M2260" s="131"/>
      <c r="N2260" s="131"/>
      <c r="O2260" s="131"/>
    </row>
    <row r="2261" spans="4:15" x14ac:dyDescent="0.3">
      <c r="D2261" s="33"/>
      <c r="E2261" s="127"/>
      <c r="F2261" s="128"/>
      <c r="G2261" s="128"/>
      <c r="H2261" s="129"/>
      <c r="I2261" s="130"/>
      <c r="J2261" s="23"/>
      <c r="K2261" s="23"/>
      <c r="L2261" s="23"/>
      <c r="M2261" s="131"/>
      <c r="N2261" s="131"/>
      <c r="O2261" s="131"/>
    </row>
    <row r="2262" spans="4:15" x14ac:dyDescent="0.3">
      <c r="D2262" s="33"/>
      <c r="E2262" s="127"/>
      <c r="F2262" s="128"/>
      <c r="G2262" s="128"/>
      <c r="H2262" s="129"/>
      <c r="I2262" s="130"/>
      <c r="J2262" s="23"/>
      <c r="K2262" s="23"/>
      <c r="L2262" s="23"/>
      <c r="M2262" s="131"/>
      <c r="N2262" s="131"/>
      <c r="O2262" s="131"/>
    </row>
    <row r="2263" spans="4:15" x14ac:dyDescent="0.3">
      <c r="D2263" s="33"/>
      <c r="E2263" s="127"/>
      <c r="F2263" s="128"/>
      <c r="G2263" s="128"/>
      <c r="H2263" s="129"/>
      <c r="I2263" s="130"/>
      <c r="J2263" s="23"/>
      <c r="K2263" s="23"/>
      <c r="L2263" s="23"/>
      <c r="M2263" s="131"/>
      <c r="N2263" s="131"/>
      <c r="O2263" s="131"/>
    </row>
    <row r="2264" spans="4:15" x14ac:dyDescent="0.3">
      <c r="D2264" s="33"/>
      <c r="E2264" s="127"/>
      <c r="F2264" s="128"/>
      <c r="G2264" s="128"/>
      <c r="H2264" s="129"/>
      <c r="I2264" s="130"/>
      <c r="J2264" s="23"/>
      <c r="K2264" s="23"/>
      <c r="L2264" s="23"/>
      <c r="M2264" s="131"/>
      <c r="N2264" s="131"/>
      <c r="O2264" s="131"/>
    </row>
    <row r="2265" spans="4:15" x14ac:dyDescent="0.3">
      <c r="D2265" s="33"/>
      <c r="E2265" s="127"/>
      <c r="F2265" s="128"/>
      <c r="G2265" s="128"/>
      <c r="H2265" s="129"/>
      <c r="I2265" s="130"/>
      <c r="J2265" s="23"/>
      <c r="K2265" s="23"/>
      <c r="L2265" s="23"/>
      <c r="M2265" s="131"/>
      <c r="N2265" s="131"/>
      <c r="O2265" s="131"/>
    </row>
    <row r="2266" spans="4:15" x14ac:dyDescent="0.3">
      <c r="D2266" s="33"/>
      <c r="E2266" s="127"/>
      <c r="F2266" s="128"/>
      <c r="G2266" s="128"/>
      <c r="H2266" s="129"/>
      <c r="I2266" s="130"/>
      <c r="J2266" s="23"/>
      <c r="K2266" s="23"/>
      <c r="L2266" s="23"/>
      <c r="M2266" s="131"/>
      <c r="N2266" s="131"/>
      <c r="O2266" s="131"/>
    </row>
    <row r="2267" spans="4:15" x14ac:dyDescent="0.3">
      <c r="D2267" s="33"/>
      <c r="E2267" s="127"/>
      <c r="F2267" s="128"/>
      <c r="G2267" s="128"/>
      <c r="H2267" s="129"/>
      <c r="I2267" s="130"/>
      <c r="J2267" s="23"/>
      <c r="K2267" s="23"/>
      <c r="L2267" s="23"/>
      <c r="M2267" s="131"/>
      <c r="N2267" s="131"/>
      <c r="O2267" s="131"/>
    </row>
    <row r="2268" spans="4:15" x14ac:dyDescent="0.3">
      <c r="D2268" s="33"/>
      <c r="E2268" s="127"/>
      <c r="F2268" s="128"/>
      <c r="G2268" s="128"/>
      <c r="H2268" s="129"/>
      <c r="I2268" s="130"/>
      <c r="J2268" s="23"/>
      <c r="K2268" s="23"/>
      <c r="L2268" s="23"/>
      <c r="M2268" s="131"/>
      <c r="N2268" s="131"/>
      <c r="O2268" s="131"/>
    </row>
    <row r="2269" spans="4:15" x14ac:dyDescent="0.3">
      <c r="D2269" s="33"/>
      <c r="E2269" s="127"/>
      <c r="F2269" s="128"/>
      <c r="G2269" s="128"/>
      <c r="H2269" s="129"/>
      <c r="I2269" s="130"/>
      <c r="J2269" s="23"/>
      <c r="K2269" s="23"/>
      <c r="L2269" s="23"/>
      <c r="M2269" s="131"/>
      <c r="N2269" s="131"/>
      <c r="O2269" s="131"/>
    </row>
    <row r="2270" spans="4:15" x14ac:dyDescent="0.3">
      <c r="D2270" s="33"/>
      <c r="E2270" s="127"/>
      <c r="F2270" s="128"/>
      <c r="G2270" s="128"/>
      <c r="H2270" s="129"/>
      <c r="I2270" s="130"/>
      <c r="J2270" s="23"/>
      <c r="K2270" s="23"/>
      <c r="L2270" s="23"/>
      <c r="M2270" s="131"/>
      <c r="N2270" s="131"/>
      <c r="O2270" s="131"/>
    </row>
    <row r="2271" spans="4:15" x14ac:dyDescent="0.3">
      <c r="D2271" s="33"/>
      <c r="E2271" s="127"/>
      <c r="F2271" s="128"/>
      <c r="G2271" s="128"/>
      <c r="H2271" s="129"/>
      <c r="I2271" s="130"/>
      <c r="J2271" s="23"/>
      <c r="K2271" s="23"/>
      <c r="L2271" s="23"/>
      <c r="M2271" s="131"/>
      <c r="N2271" s="131"/>
      <c r="O2271" s="131"/>
    </row>
    <row r="2272" spans="4:15" x14ac:dyDescent="0.3">
      <c r="D2272" s="33"/>
      <c r="E2272" s="127"/>
      <c r="F2272" s="128"/>
      <c r="G2272" s="128"/>
      <c r="H2272" s="129"/>
      <c r="I2272" s="130"/>
      <c r="J2272" s="23"/>
      <c r="K2272" s="23"/>
      <c r="L2272" s="23"/>
      <c r="M2272" s="131"/>
      <c r="N2272" s="131"/>
      <c r="O2272" s="131"/>
    </row>
    <row r="2273" spans="4:15" x14ac:dyDescent="0.3">
      <c r="D2273" s="33"/>
      <c r="E2273" s="127"/>
      <c r="F2273" s="128"/>
      <c r="G2273" s="128"/>
      <c r="H2273" s="129"/>
      <c r="I2273" s="130"/>
      <c r="J2273" s="23"/>
      <c r="K2273" s="23"/>
      <c r="L2273" s="23"/>
      <c r="M2273" s="131"/>
      <c r="N2273" s="131"/>
      <c r="O2273" s="131"/>
    </row>
    <row r="2274" spans="4:15" x14ac:dyDescent="0.3">
      <c r="D2274" s="33"/>
      <c r="E2274" s="127"/>
      <c r="F2274" s="128"/>
      <c r="G2274" s="128"/>
      <c r="H2274" s="129"/>
      <c r="I2274" s="130"/>
      <c r="J2274" s="23"/>
      <c r="K2274" s="23"/>
      <c r="L2274" s="23"/>
      <c r="M2274" s="131"/>
      <c r="N2274" s="131"/>
      <c r="O2274" s="131"/>
    </row>
    <row r="2275" spans="4:15" x14ac:dyDescent="0.3">
      <c r="D2275" s="33"/>
      <c r="E2275" s="127"/>
      <c r="F2275" s="128"/>
      <c r="G2275" s="128"/>
      <c r="H2275" s="129"/>
      <c r="I2275" s="130"/>
      <c r="J2275" s="23"/>
      <c r="K2275" s="23"/>
      <c r="L2275" s="23"/>
      <c r="M2275" s="131"/>
      <c r="N2275" s="131"/>
      <c r="O2275" s="131"/>
    </row>
    <row r="2276" spans="4:15" x14ac:dyDescent="0.3">
      <c r="D2276" s="33"/>
      <c r="E2276" s="127"/>
      <c r="F2276" s="128"/>
      <c r="G2276" s="128"/>
      <c r="H2276" s="129"/>
      <c r="I2276" s="130"/>
      <c r="J2276" s="23"/>
      <c r="K2276" s="23"/>
      <c r="L2276" s="23"/>
      <c r="M2276" s="131"/>
      <c r="N2276" s="131"/>
      <c r="O2276" s="131"/>
    </row>
    <row r="2277" spans="4:15" x14ac:dyDescent="0.3">
      <c r="D2277" s="33"/>
      <c r="E2277" s="127"/>
      <c r="F2277" s="128"/>
      <c r="G2277" s="128"/>
      <c r="H2277" s="129"/>
      <c r="I2277" s="130"/>
      <c r="J2277" s="23"/>
      <c r="K2277" s="23"/>
      <c r="L2277" s="23"/>
      <c r="M2277" s="131"/>
      <c r="N2277" s="131"/>
      <c r="O2277" s="131"/>
    </row>
    <row r="2278" spans="4:15" x14ac:dyDescent="0.3">
      <c r="D2278" s="33"/>
      <c r="E2278" s="127"/>
      <c r="F2278" s="128"/>
      <c r="G2278" s="128"/>
      <c r="H2278" s="129"/>
      <c r="I2278" s="130"/>
      <c r="J2278" s="23"/>
      <c r="K2278" s="23"/>
      <c r="L2278" s="23"/>
      <c r="M2278" s="131"/>
      <c r="N2278" s="131"/>
      <c r="O2278" s="131"/>
    </row>
    <row r="2279" spans="4:15" x14ac:dyDescent="0.3">
      <c r="D2279" s="33"/>
      <c r="E2279" s="127"/>
      <c r="F2279" s="128"/>
      <c r="G2279" s="128"/>
      <c r="H2279" s="129"/>
      <c r="I2279" s="130"/>
      <c r="J2279" s="23"/>
      <c r="K2279" s="23"/>
      <c r="L2279" s="23"/>
      <c r="M2279" s="131"/>
      <c r="N2279" s="131"/>
      <c r="O2279" s="131"/>
    </row>
    <row r="2280" spans="4:15" x14ac:dyDescent="0.3">
      <c r="D2280" s="33"/>
      <c r="E2280" s="127"/>
      <c r="F2280" s="128"/>
      <c r="G2280" s="128"/>
      <c r="H2280" s="129"/>
      <c r="I2280" s="130"/>
      <c r="J2280" s="23"/>
      <c r="K2280" s="23"/>
      <c r="L2280" s="23"/>
      <c r="M2280" s="131"/>
      <c r="N2280" s="131"/>
      <c r="O2280" s="131"/>
    </row>
    <row r="2281" spans="4:15" x14ac:dyDescent="0.3">
      <c r="D2281" s="33"/>
      <c r="E2281" s="127"/>
      <c r="F2281" s="128"/>
      <c r="G2281" s="128"/>
      <c r="H2281" s="129"/>
      <c r="I2281" s="130"/>
      <c r="J2281" s="23"/>
      <c r="K2281" s="23"/>
      <c r="L2281" s="23"/>
      <c r="M2281" s="131"/>
      <c r="N2281" s="131"/>
      <c r="O2281" s="131"/>
    </row>
    <row r="2282" spans="4:15" x14ac:dyDescent="0.3">
      <c r="D2282" s="33"/>
      <c r="E2282" s="127"/>
      <c r="F2282" s="128"/>
      <c r="G2282" s="128"/>
      <c r="H2282" s="129"/>
      <c r="I2282" s="130"/>
      <c r="J2282" s="23"/>
      <c r="K2282" s="23"/>
      <c r="L2282" s="23"/>
      <c r="M2282" s="131"/>
      <c r="N2282" s="131"/>
      <c r="O2282" s="131"/>
    </row>
    <row r="2283" spans="4:15" x14ac:dyDescent="0.3">
      <c r="D2283" s="33"/>
      <c r="E2283" s="127"/>
      <c r="F2283" s="128"/>
      <c r="G2283" s="128"/>
      <c r="H2283" s="129"/>
      <c r="I2283" s="130"/>
      <c r="J2283" s="23"/>
      <c r="K2283" s="23"/>
      <c r="L2283" s="23"/>
      <c r="M2283" s="131"/>
      <c r="N2283" s="131"/>
      <c r="O2283" s="131"/>
    </row>
    <row r="2284" spans="4:15" x14ac:dyDescent="0.3">
      <c r="D2284" s="33"/>
      <c r="E2284" s="127"/>
      <c r="F2284" s="128"/>
      <c r="G2284" s="128"/>
      <c r="H2284" s="129"/>
      <c r="I2284" s="130"/>
      <c r="J2284" s="23"/>
      <c r="K2284" s="23"/>
      <c r="L2284" s="23"/>
      <c r="M2284" s="131"/>
      <c r="N2284" s="131"/>
      <c r="O2284" s="131"/>
    </row>
    <row r="2285" spans="4:15" x14ac:dyDescent="0.3">
      <c r="D2285" s="33"/>
      <c r="E2285" s="127"/>
      <c r="F2285" s="128"/>
      <c r="G2285" s="128"/>
      <c r="H2285" s="129"/>
      <c r="I2285" s="130"/>
      <c r="J2285" s="23"/>
      <c r="K2285" s="23"/>
      <c r="L2285" s="23"/>
      <c r="M2285" s="131"/>
      <c r="N2285" s="131"/>
      <c r="O2285" s="131"/>
    </row>
    <row r="2286" spans="4:15" x14ac:dyDescent="0.3">
      <c r="D2286" s="33"/>
      <c r="E2286" s="127"/>
      <c r="F2286" s="128"/>
      <c r="G2286" s="128"/>
      <c r="H2286" s="129"/>
      <c r="I2286" s="130"/>
      <c r="J2286" s="23"/>
      <c r="K2286" s="23"/>
      <c r="L2286" s="23"/>
      <c r="M2286" s="131"/>
      <c r="N2286" s="131"/>
      <c r="O2286" s="131"/>
    </row>
    <row r="2287" spans="4:15" x14ac:dyDescent="0.3">
      <c r="D2287" s="33"/>
      <c r="E2287" s="127"/>
      <c r="F2287" s="128"/>
      <c r="G2287" s="128"/>
      <c r="H2287" s="129"/>
      <c r="I2287" s="130"/>
      <c r="J2287" s="23"/>
      <c r="K2287" s="23"/>
      <c r="L2287" s="23"/>
      <c r="M2287" s="131"/>
      <c r="N2287" s="131"/>
      <c r="O2287" s="131"/>
    </row>
    <row r="2288" spans="4:15" x14ac:dyDescent="0.3">
      <c r="D2288" s="33"/>
      <c r="E2288" s="127"/>
      <c r="F2288" s="128"/>
      <c r="G2288" s="128"/>
      <c r="H2288" s="129"/>
      <c r="I2288" s="130"/>
      <c r="J2288" s="23"/>
      <c r="K2288" s="23"/>
      <c r="L2288" s="23"/>
      <c r="M2288" s="131"/>
      <c r="N2288" s="131"/>
      <c r="O2288" s="131"/>
    </row>
    <row r="2289" spans="4:15" x14ac:dyDescent="0.3">
      <c r="D2289" s="33"/>
      <c r="E2289" s="127"/>
      <c r="F2289" s="128"/>
      <c r="G2289" s="128"/>
      <c r="H2289" s="129"/>
      <c r="I2289" s="130"/>
      <c r="J2289" s="23"/>
      <c r="K2289" s="23"/>
      <c r="L2289" s="23"/>
      <c r="M2289" s="131"/>
      <c r="N2289" s="131"/>
      <c r="O2289" s="131"/>
    </row>
    <row r="2290" spans="4:15" x14ac:dyDescent="0.3">
      <c r="D2290" s="33"/>
      <c r="E2290" s="127"/>
      <c r="F2290" s="128"/>
      <c r="G2290" s="128"/>
      <c r="H2290" s="129"/>
      <c r="I2290" s="130"/>
      <c r="J2290" s="23"/>
      <c r="K2290" s="23"/>
      <c r="L2290" s="23"/>
      <c r="M2290" s="131"/>
      <c r="N2290" s="131"/>
      <c r="O2290" s="131"/>
    </row>
    <row r="2291" spans="4:15" x14ac:dyDescent="0.3">
      <c r="D2291" s="33"/>
      <c r="E2291" s="127"/>
      <c r="F2291" s="128"/>
      <c r="G2291" s="128"/>
      <c r="H2291" s="129"/>
      <c r="I2291" s="130"/>
      <c r="J2291" s="23"/>
      <c r="K2291" s="23"/>
      <c r="L2291" s="23"/>
      <c r="M2291" s="131"/>
      <c r="N2291" s="131"/>
      <c r="O2291" s="131"/>
    </row>
    <row r="2292" spans="4:15" x14ac:dyDescent="0.3">
      <c r="D2292" s="33"/>
      <c r="E2292" s="127"/>
      <c r="F2292" s="128"/>
      <c r="G2292" s="128"/>
      <c r="H2292" s="129"/>
      <c r="I2292" s="130"/>
      <c r="J2292" s="23"/>
      <c r="K2292" s="23"/>
      <c r="L2292" s="23"/>
      <c r="M2292" s="131"/>
      <c r="N2292" s="131"/>
      <c r="O2292" s="131"/>
    </row>
    <row r="2293" spans="4:15" x14ac:dyDescent="0.3">
      <c r="D2293" s="33"/>
      <c r="E2293" s="127"/>
      <c r="F2293" s="128"/>
      <c r="G2293" s="128"/>
      <c r="H2293" s="129"/>
      <c r="I2293" s="130"/>
      <c r="J2293" s="23"/>
      <c r="K2293" s="23"/>
      <c r="L2293" s="23"/>
      <c r="M2293" s="131"/>
      <c r="N2293" s="131"/>
      <c r="O2293" s="131"/>
    </row>
    <row r="2294" spans="4:15" x14ac:dyDescent="0.3">
      <c r="D2294" s="33"/>
      <c r="E2294" s="127"/>
      <c r="F2294" s="128"/>
      <c r="G2294" s="128"/>
      <c r="H2294" s="129"/>
      <c r="I2294" s="130"/>
      <c r="J2294" s="23"/>
      <c r="K2294" s="23"/>
      <c r="L2294" s="23"/>
      <c r="M2294" s="131"/>
      <c r="N2294" s="131"/>
      <c r="O2294" s="131"/>
    </row>
    <row r="2295" spans="4:15" x14ac:dyDescent="0.3">
      <c r="D2295" s="33"/>
      <c r="E2295" s="127"/>
      <c r="F2295" s="128"/>
      <c r="G2295" s="128"/>
      <c r="H2295" s="129"/>
      <c r="I2295" s="130"/>
      <c r="J2295" s="23"/>
      <c r="K2295" s="23"/>
      <c r="L2295" s="23"/>
      <c r="M2295" s="131"/>
      <c r="N2295" s="131"/>
      <c r="O2295" s="131"/>
    </row>
    <row r="2296" spans="4:15" x14ac:dyDescent="0.3">
      <c r="D2296" s="33"/>
      <c r="E2296" s="127"/>
      <c r="F2296" s="128"/>
      <c r="G2296" s="128"/>
      <c r="H2296" s="129"/>
      <c r="I2296" s="130"/>
      <c r="J2296" s="23"/>
      <c r="K2296" s="23"/>
      <c r="L2296" s="23"/>
      <c r="M2296" s="131"/>
      <c r="N2296" s="131"/>
      <c r="O2296" s="131"/>
    </row>
    <row r="2297" spans="4:15" x14ac:dyDescent="0.3">
      <c r="D2297" s="33"/>
      <c r="E2297" s="127"/>
      <c r="F2297" s="128"/>
      <c r="G2297" s="128"/>
      <c r="H2297" s="129"/>
      <c r="I2297" s="130"/>
      <c r="J2297" s="23"/>
      <c r="K2297" s="23"/>
      <c r="L2297" s="23"/>
      <c r="M2297" s="131"/>
      <c r="N2297" s="131"/>
      <c r="O2297" s="131"/>
    </row>
    <row r="2298" spans="4:15" x14ac:dyDescent="0.3">
      <c r="D2298" s="33"/>
      <c r="E2298" s="127"/>
      <c r="F2298" s="128"/>
      <c r="G2298" s="128"/>
      <c r="H2298" s="129"/>
      <c r="I2298" s="130"/>
      <c r="J2298" s="23"/>
      <c r="K2298" s="23"/>
      <c r="L2298" s="23"/>
      <c r="M2298" s="131"/>
      <c r="N2298" s="131"/>
      <c r="O2298" s="131"/>
    </row>
    <row r="2299" spans="4:15" x14ac:dyDescent="0.3">
      <c r="D2299" s="33"/>
      <c r="E2299" s="127"/>
      <c r="F2299" s="128"/>
      <c r="G2299" s="128"/>
      <c r="H2299" s="129"/>
      <c r="I2299" s="130"/>
      <c r="J2299" s="23"/>
      <c r="K2299" s="23"/>
      <c r="L2299" s="23"/>
      <c r="M2299" s="131"/>
      <c r="N2299" s="131"/>
      <c r="O2299" s="131"/>
    </row>
    <row r="2300" spans="4:15" x14ac:dyDescent="0.3">
      <c r="D2300" s="33"/>
      <c r="E2300" s="127"/>
      <c r="F2300" s="128"/>
      <c r="G2300" s="128"/>
      <c r="H2300" s="129"/>
      <c r="I2300" s="130"/>
      <c r="J2300" s="23"/>
      <c r="K2300" s="23"/>
      <c r="L2300" s="23"/>
      <c r="M2300" s="131"/>
      <c r="N2300" s="131"/>
      <c r="O2300" s="131"/>
    </row>
    <row r="2301" spans="4:15" x14ac:dyDescent="0.3">
      <c r="D2301" s="33"/>
      <c r="E2301" s="127"/>
      <c r="F2301" s="128"/>
      <c r="G2301" s="128"/>
      <c r="H2301" s="129"/>
      <c r="I2301" s="130"/>
      <c r="J2301" s="23"/>
      <c r="K2301" s="23"/>
      <c r="L2301" s="23"/>
      <c r="M2301" s="131"/>
      <c r="N2301" s="131"/>
      <c r="O2301" s="131"/>
    </row>
    <row r="2302" spans="4:15" x14ac:dyDescent="0.3">
      <c r="D2302" s="33"/>
      <c r="E2302" s="127"/>
      <c r="F2302" s="128"/>
      <c r="G2302" s="128"/>
      <c r="H2302" s="129"/>
      <c r="I2302" s="130"/>
      <c r="J2302" s="23"/>
      <c r="K2302" s="23"/>
      <c r="L2302" s="23"/>
      <c r="M2302" s="131"/>
      <c r="N2302" s="131"/>
      <c r="O2302" s="131"/>
    </row>
    <row r="2303" spans="4:15" x14ac:dyDescent="0.3">
      <c r="D2303" s="33"/>
      <c r="E2303" s="127"/>
      <c r="F2303" s="128"/>
      <c r="G2303" s="128"/>
      <c r="H2303" s="129"/>
      <c r="I2303" s="130"/>
      <c r="J2303" s="23"/>
      <c r="K2303" s="23"/>
      <c r="L2303" s="23"/>
      <c r="M2303" s="131"/>
      <c r="N2303" s="131"/>
      <c r="O2303" s="131"/>
    </row>
    <row r="2304" spans="4:15" x14ac:dyDescent="0.3">
      <c r="D2304" s="33"/>
      <c r="E2304" s="127"/>
      <c r="F2304" s="128"/>
      <c r="G2304" s="128"/>
      <c r="H2304" s="129"/>
      <c r="I2304" s="130"/>
      <c r="J2304" s="23"/>
      <c r="K2304" s="23"/>
      <c r="L2304" s="23"/>
      <c r="M2304" s="131"/>
      <c r="N2304" s="131"/>
      <c r="O2304" s="131"/>
    </row>
    <row r="2305" spans="4:15" x14ac:dyDescent="0.3">
      <c r="D2305" s="33"/>
      <c r="E2305" s="127"/>
      <c r="F2305" s="128"/>
      <c r="G2305" s="128"/>
      <c r="H2305" s="129"/>
      <c r="I2305" s="130"/>
      <c r="J2305" s="23"/>
      <c r="K2305" s="23"/>
      <c r="L2305" s="23"/>
      <c r="M2305" s="131"/>
      <c r="N2305" s="131"/>
      <c r="O2305" s="131"/>
    </row>
    <row r="2306" spans="4:15" x14ac:dyDescent="0.3">
      <c r="D2306" s="33"/>
      <c r="E2306" s="127"/>
      <c r="F2306" s="128"/>
      <c r="G2306" s="128"/>
      <c r="H2306" s="129"/>
      <c r="I2306" s="130"/>
      <c r="J2306" s="23"/>
      <c r="K2306" s="23"/>
      <c r="L2306" s="23"/>
      <c r="M2306" s="131"/>
      <c r="N2306" s="131"/>
      <c r="O2306" s="131"/>
    </row>
    <row r="2307" spans="4:15" x14ac:dyDescent="0.3">
      <c r="D2307" s="33"/>
      <c r="E2307" s="127"/>
      <c r="F2307" s="128"/>
      <c r="G2307" s="128"/>
      <c r="H2307" s="129"/>
      <c r="I2307" s="130"/>
      <c r="J2307" s="23"/>
      <c r="K2307" s="23"/>
      <c r="L2307" s="23"/>
      <c r="M2307" s="131"/>
      <c r="N2307" s="131"/>
      <c r="O2307" s="131"/>
    </row>
    <row r="2308" spans="4:15" x14ac:dyDescent="0.3">
      <c r="D2308" s="33"/>
      <c r="E2308" s="127"/>
      <c r="F2308" s="128"/>
      <c r="G2308" s="128"/>
      <c r="H2308" s="129"/>
      <c r="I2308" s="130"/>
      <c r="J2308" s="23"/>
      <c r="K2308" s="23"/>
      <c r="L2308" s="23"/>
      <c r="M2308" s="131"/>
      <c r="N2308" s="131"/>
      <c r="O2308" s="131"/>
    </row>
    <row r="2309" spans="4:15" x14ac:dyDescent="0.3">
      <c r="D2309" s="33"/>
      <c r="E2309" s="127"/>
      <c r="F2309" s="128"/>
      <c r="G2309" s="128"/>
      <c r="H2309" s="129"/>
      <c r="I2309" s="130"/>
      <c r="J2309" s="23"/>
      <c r="K2309" s="23"/>
      <c r="L2309" s="23"/>
      <c r="M2309" s="131"/>
      <c r="N2309" s="131"/>
      <c r="O2309" s="131"/>
    </row>
    <row r="2310" spans="4:15" x14ac:dyDescent="0.3">
      <c r="D2310" s="33"/>
      <c r="E2310" s="127"/>
      <c r="F2310" s="128"/>
      <c r="G2310" s="128"/>
      <c r="H2310" s="129"/>
      <c r="I2310" s="130"/>
      <c r="J2310" s="23"/>
      <c r="K2310" s="23"/>
      <c r="L2310" s="23"/>
      <c r="M2310" s="131"/>
      <c r="N2310" s="131"/>
      <c r="O2310" s="131"/>
    </row>
    <row r="2311" spans="4:15" x14ac:dyDescent="0.3">
      <c r="D2311" s="33"/>
      <c r="E2311" s="127"/>
      <c r="F2311" s="128"/>
      <c r="G2311" s="128"/>
      <c r="H2311" s="129"/>
      <c r="I2311" s="130"/>
      <c r="J2311" s="23"/>
      <c r="K2311" s="23"/>
      <c r="L2311" s="23"/>
      <c r="M2311" s="131"/>
      <c r="N2311" s="131"/>
      <c r="O2311" s="131"/>
    </row>
    <row r="2312" spans="4:15" x14ac:dyDescent="0.3">
      <c r="D2312" s="33"/>
      <c r="E2312" s="127"/>
      <c r="F2312" s="128"/>
      <c r="G2312" s="128"/>
      <c r="H2312" s="129"/>
      <c r="I2312" s="130"/>
      <c r="J2312" s="23"/>
      <c r="K2312" s="23"/>
      <c r="L2312" s="23"/>
      <c r="M2312" s="131"/>
      <c r="N2312" s="131"/>
      <c r="O2312" s="131"/>
    </row>
    <row r="2313" spans="4:15" x14ac:dyDescent="0.3">
      <c r="D2313" s="33"/>
      <c r="E2313" s="127"/>
      <c r="F2313" s="128"/>
      <c r="G2313" s="128"/>
      <c r="H2313" s="129"/>
      <c r="I2313" s="130"/>
      <c r="J2313" s="23"/>
      <c r="K2313" s="23"/>
      <c r="L2313" s="23"/>
      <c r="M2313" s="131"/>
      <c r="N2313" s="131"/>
      <c r="O2313" s="131"/>
    </row>
    <row r="2314" spans="4:15" x14ac:dyDescent="0.3">
      <c r="D2314" s="33"/>
      <c r="E2314" s="127"/>
      <c r="F2314" s="128"/>
      <c r="G2314" s="128"/>
      <c r="H2314" s="129"/>
      <c r="I2314" s="130"/>
      <c r="J2314" s="23"/>
      <c r="K2314" s="23"/>
      <c r="L2314" s="23"/>
      <c r="M2314" s="131"/>
      <c r="N2314" s="131"/>
      <c r="O2314" s="131"/>
    </row>
    <row r="2315" spans="4:15" x14ac:dyDescent="0.3">
      <c r="D2315" s="33"/>
      <c r="E2315" s="127"/>
      <c r="F2315" s="128"/>
      <c r="G2315" s="128"/>
      <c r="H2315" s="129"/>
      <c r="I2315" s="130"/>
      <c r="J2315" s="23"/>
      <c r="K2315" s="23"/>
      <c r="L2315" s="23"/>
      <c r="M2315" s="131"/>
      <c r="N2315" s="131"/>
      <c r="O2315" s="131"/>
    </row>
    <row r="2316" spans="4:15" x14ac:dyDescent="0.3">
      <c r="D2316" s="33"/>
      <c r="E2316" s="127"/>
      <c r="F2316" s="128"/>
      <c r="G2316" s="128"/>
      <c r="H2316" s="129"/>
      <c r="I2316" s="130"/>
      <c r="J2316" s="23"/>
      <c r="K2316" s="23"/>
      <c r="L2316" s="23"/>
      <c r="M2316" s="131"/>
      <c r="N2316" s="131"/>
      <c r="O2316" s="131"/>
    </row>
    <row r="2317" spans="4:15" x14ac:dyDescent="0.3">
      <c r="D2317" s="33"/>
      <c r="E2317" s="127"/>
      <c r="F2317" s="128"/>
      <c r="G2317" s="128"/>
      <c r="H2317" s="129"/>
      <c r="I2317" s="130"/>
      <c r="J2317" s="23"/>
      <c r="K2317" s="23"/>
      <c r="L2317" s="23"/>
      <c r="M2317" s="131"/>
      <c r="N2317" s="131"/>
      <c r="O2317" s="131"/>
    </row>
    <row r="2318" spans="4:15" x14ac:dyDescent="0.3">
      <c r="D2318" s="33"/>
      <c r="E2318" s="127"/>
      <c r="F2318" s="128"/>
      <c r="G2318" s="128"/>
      <c r="H2318" s="129"/>
      <c r="I2318" s="130"/>
      <c r="J2318" s="23"/>
      <c r="K2318" s="23"/>
      <c r="L2318" s="23"/>
      <c r="M2318" s="131"/>
      <c r="N2318" s="131"/>
      <c r="O2318" s="131"/>
    </row>
    <row r="2319" spans="4:15" x14ac:dyDescent="0.3">
      <c r="D2319" s="33"/>
      <c r="E2319" s="127"/>
      <c r="F2319" s="128"/>
      <c r="G2319" s="128"/>
      <c r="H2319" s="129"/>
      <c r="I2319" s="130"/>
      <c r="J2319" s="23"/>
      <c r="K2319" s="23"/>
      <c r="L2319" s="23"/>
      <c r="M2319" s="131"/>
      <c r="N2319" s="131"/>
      <c r="O2319" s="131"/>
    </row>
    <row r="2320" spans="4:15" x14ac:dyDescent="0.3">
      <c r="D2320" s="33"/>
      <c r="E2320" s="127"/>
      <c r="F2320" s="128"/>
      <c r="G2320" s="128"/>
      <c r="H2320" s="129"/>
      <c r="I2320" s="130"/>
      <c r="J2320" s="23"/>
      <c r="K2320" s="23"/>
      <c r="L2320" s="23"/>
      <c r="M2320" s="131"/>
      <c r="N2320" s="131"/>
      <c r="O2320" s="131"/>
    </row>
    <row r="2321" spans="4:15" x14ac:dyDescent="0.3">
      <c r="D2321" s="33"/>
      <c r="E2321" s="127"/>
      <c r="F2321" s="128"/>
      <c r="G2321" s="128"/>
      <c r="H2321" s="129"/>
      <c r="I2321" s="130"/>
      <c r="J2321" s="23"/>
      <c r="K2321" s="23"/>
      <c r="L2321" s="23"/>
      <c r="M2321" s="131"/>
      <c r="N2321" s="131"/>
      <c r="O2321" s="131"/>
    </row>
    <row r="2322" spans="4:15" x14ac:dyDescent="0.3">
      <c r="D2322" s="33"/>
      <c r="E2322" s="127"/>
      <c r="F2322" s="128"/>
      <c r="G2322" s="128"/>
      <c r="H2322" s="129"/>
      <c r="I2322" s="130"/>
      <c r="J2322" s="23"/>
      <c r="K2322" s="23"/>
      <c r="L2322" s="23"/>
      <c r="M2322" s="131"/>
      <c r="N2322" s="131"/>
      <c r="O2322" s="131"/>
    </row>
    <row r="2323" spans="4:15" x14ac:dyDescent="0.3">
      <c r="D2323" s="33"/>
      <c r="E2323" s="127"/>
      <c r="F2323" s="128"/>
      <c r="G2323" s="128"/>
      <c r="H2323" s="129"/>
      <c r="I2323" s="130"/>
      <c r="J2323" s="23"/>
      <c r="K2323" s="23"/>
      <c r="L2323" s="23"/>
      <c r="M2323" s="131"/>
      <c r="N2323" s="131"/>
      <c r="O2323" s="131"/>
    </row>
    <row r="2324" spans="4:15" x14ac:dyDescent="0.3">
      <c r="D2324" s="33"/>
      <c r="E2324" s="127"/>
      <c r="F2324" s="128"/>
      <c r="G2324" s="128"/>
      <c r="H2324" s="129"/>
      <c r="I2324" s="130"/>
      <c r="J2324" s="23"/>
      <c r="K2324" s="23"/>
      <c r="L2324" s="23"/>
      <c r="M2324" s="131"/>
      <c r="N2324" s="131"/>
      <c r="O2324" s="131"/>
    </row>
    <row r="2325" spans="4:15" x14ac:dyDescent="0.3">
      <c r="D2325" s="33"/>
      <c r="E2325" s="127"/>
      <c r="F2325" s="128"/>
      <c r="G2325" s="128"/>
      <c r="H2325" s="129"/>
      <c r="I2325" s="130"/>
      <c r="J2325" s="23"/>
      <c r="K2325" s="23"/>
      <c r="L2325" s="23"/>
      <c r="M2325" s="131"/>
      <c r="N2325" s="131"/>
      <c r="O2325" s="131"/>
    </row>
    <row r="2326" spans="4:15" x14ac:dyDescent="0.3">
      <c r="D2326" s="33"/>
      <c r="E2326" s="127"/>
      <c r="F2326" s="128"/>
      <c r="G2326" s="128"/>
      <c r="H2326" s="129"/>
      <c r="I2326" s="130"/>
      <c r="J2326" s="23"/>
      <c r="K2326" s="23"/>
      <c r="L2326" s="23"/>
      <c r="M2326" s="131"/>
      <c r="N2326" s="131"/>
      <c r="O2326" s="131"/>
    </row>
    <row r="2327" spans="4:15" x14ac:dyDescent="0.3">
      <c r="D2327" s="33"/>
      <c r="E2327" s="127"/>
      <c r="F2327" s="128"/>
      <c r="G2327" s="128"/>
      <c r="H2327" s="129"/>
      <c r="I2327" s="130"/>
      <c r="J2327" s="23"/>
      <c r="K2327" s="23"/>
      <c r="L2327" s="23"/>
      <c r="M2327" s="131"/>
      <c r="N2327" s="131"/>
      <c r="O2327" s="131"/>
    </row>
    <row r="2328" spans="4:15" x14ac:dyDescent="0.3">
      <c r="D2328" s="33"/>
      <c r="E2328" s="127"/>
      <c r="F2328" s="128"/>
      <c r="G2328" s="128"/>
      <c r="H2328" s="129"/>
      <c r="I2328" s="130"/>
      <c r="J2328" s="23"/>
      <c r="K2328" s="23"/>
      <c r="L2328" s="23"/>
      <c r="M2328" s="131"/>
      <c r="N2328" s="131"/>
      <c r="O2328" s="131"/>
    </row>
    <row r="2329" spans="4:15" x14ac:dyDescent="0.3">
      <c r="D2329" s="33"/>
      <c r="E2329" s="127"/>
      <c r="F2329" s="128"/>
      <c r="G2329" s="128"/>
      <c r="H2329" s="129"/>
      <c r="I2329" s="130"/>
      <c r="J2329" s="23"/>
      <c r="K2329" s="23"/>
      <c r="L2329" s="23"/>
      <c r="M2329" s="131"/>
      <c r="N2329" s="131"/>
      <c r="O2329" s="131"/>
    </row>
    <row r="2330" spans="4:15" x14ac:dyDescent="0.3">
      <c r="D2330" s="33"/>
      <c r="E2330" s="127"/>
      <c r="F2330" s="128"/>
      <c r="G2330" s="128"/>
      <c r="H2330" s="129"/>
      <c r="I2330" s="130"/>
      <c r="J2330" s="23"/>
      <c r="K2330" s="23"/>
      <c r="L2330" s="23"/>
      <c r="M2330" s="131"/>
      <c r="N2330" s="131"/>
      <c r="O2330" s="131"/>
    </row>
    <row r="2331" spans="4:15" x14ac:dyDescent="0.3">
      <c r="D2331" s="33"/>
      <c r="E2331" s="127"/>
      <c r="F2331" s="128"/>
      <c r="G2331" s="128"/>
      <c r="H2331" s="129"/>
      <c r="I2331" s="130"/>
      <c r="J2331" s="23"/>
      <c r="K2331" s="23"/>
      <c r="L2331" s="23"/>
      <c r="M2331" s="131"/>
      <c r="N2331" s="131"/>
      <c r="O2331" s="131"/>
    </row>
    <row r="2332" spans="4:15" x14ac:dyDescent="0.3">
      <c r="D2332" s="33"/>
      <c r="E2332" s="127"/>
      <c r="F2332" s="128"/>
      <c r="G2332" s="128"/>
      <c r="H2332" s="129"/>
      <c r="I2332" s="130"/>
      <c r="J2332" s="23"/>
      <c r="K2332" s="23"/>
      <c r="L2332" s="23"/>
      <c r="M2332" s="131"/>
      <c r="N2332" s="131"/>
      <c r="O2332" s="131"/>
    </row>
    <row r="2333" spans="4:15" x14ac:dyDescent="0.3">
      <c r="D2333" s="33"/>
      <c r="E2333" s="127"/>
      <c r="F2333" s="128"/>
      <c r="G2333" s="128"/>
      <c r="H2333" s="129"/>
      <c r="I2333" s="130"/>
      <c r="J2333" s="23"/>
      <c r="K2333" s="23"/>
      <c r="L2333" s="23"/>
      <c r="M2333" s="131"/>
      <c r="N2333" s="131"/>
      <c r="O2333" s="131"/>
    </row>
    <row r="2334" spans="4:15" x14ac:dyDescent="0.3">
      <c r="D2334" s="33"/>
      <c r="E2334" s="127"/>
      <c r="F2334" s="128"/>
      <c r="G2334" s="128"/>
      <c r="H2334" s="129"/>
      <c r="I2334" s="130"/>
      <c r="J2334" s="23"/>
      <c r="K2334" s="23"/>
      <c r="L2334" s="23"/>
      <c r="M2334" s="131"/>
      <c r="N2334" s="131"/>
      <c r="O2334" s="131"/>
    </row>
    <row r="2335" spans="4:15" x14ac:dyDescent="0.3">
      <c r="D2335" s="33"/>
      <c r="E2335" s="127"/>
      <c r="F2335" s="128"/>
      <c r="G2335" s="128"/>
      <c r="H2335" s="129"/>
      <c r="I2335" s="130"/>
      <c r="J2335" s="23"/>
      <c r="K2335" s="23"/>
      <c r="L2335" s="23"/>
      <c r="M2335" s="131"/>
      <c r="N2335" s="131"/>
      <c r="O2335" s="131"/>
    </row>
    <row r="2336" spans="4:15" x14ac:dyDescent="0.3">
      <c r="D2336" s="33"/>
      <c r="E2336" s="127"/>
      <c r="F2336" s="128"/>
      <c r="G2336" s="128"/>
      <c r="H2336" s="129"/>
      <c r="I2336" s="130"/>
      <c r="J2336" s="23"/>
      <c r="K2336" s="23"/>
      <c r="L2336" s="23"/>
      <c r="M2336" s="131"/>
      <c r="N2336" s="131"/>
      <c r="O2336" s="131"/>
    </row>
    <row r="2337" spans="4:15" x14ac:dyDescent="0.3">
      <c r="D2337" s="33"/>
      <c r="E2337" s="127"/>
      <c r="F2337" s="128"/>
      <c r="G2337" s="128"/>
      <c r="H2337" s="129"/>
      <c r="I2337" s="130"/>
      <c r="J2337" s="23"/>
      <c r="K2337" s="23"/>
      <c r="L2337" s="23"/>
      <c r="M2337" s="131"/>
      <c r="N2337" s="131"/>
      <c r="O2337" s="131"/>
    </row>
    <row r="2338" spans="4:15" x14ac:dyDescent="0.3">
      <c r="D2338" s="33"/>
      <c r="E2338" s="127"/>
      <c r="F2338" s="128"/>
      <c r="G2338" s="128"/>
      <c r="H2338" s="129"/>
      <c r="I2338" s="130"/>
      <c r="J2338" s="23"/>
      <c r="K2338" s="23"/>
      <c r="L2338" s="23"/>
      <c r="M2338" s="131"/>
      <c r="N2338" s="131"/>
      <c r="O2338" s="131"/>
    </row>
    <row r="2339" spans="4:15" x14ac:dyDescent="0.3">
      <c r="D2339" s="33"/>
      <c r="E2339" s="127"/>
      <c r="F2339" s="128"/>
      <c r="G2339" s="128"/>
      <c r="H2339" s="129"/>
      <c r="I2339" s="130"/>
      <c r="J2339" s="23"/>
      <c r="K2339" s="23"/>
      <c r="L2339" s="23"/>
      <c r="M2339" s="131"/>
      <c r="N2339" s="131"/>
      <c r="O2339" s="131"/>
    </row>
    <row r="2340" spans="4:15" x14ac:dyDescent="0.3">
      <c r="D2340" s="33"/>
      <c r="E2340" s="127"/>
      <c r="F2340" s="128"/>
      <c r="G2340" s="128"/>
      <c r="H2340" s="129"/>
      <c r="I2340" s="130"/>
      <c r="J2340" s="23"/>
      <c r="K2340" s="23"/>
      <c r="L2340" s="23"/>
      <c r="M2340" s="131"/>
      <c r="N2340" s="131"/>
      <c r="O2340" s="131"/>
    </row>
    <row r="2341" spans="4:15" x14ac:dyDescent="0.3">
      <c r="D2341" s="33"/>
      <c r="E2341" s="127"/>
      <c r="F2341" s="128"/>
      <c r="G2341" s="128"/>
      <c r="H2341" s="129"/>
      <c r="I2341" s="130"/>
      <c r="J2341" s="23"/>
      <c r="K2341" s="23"/>
      <c r="L2341" s="23"/>
      <c r="M2341" s="131"/>
      <c r="N2341" s="131"/>
      <c r="O2341" s="131"/>
    </row>
    <row r="2342" spans="4:15" x14ac:dyDescent="0.3">
      <c r="D2342" s="33"/>
      <c r="E2342" s="127"/>
      <c r="F2342" s="128"/>
      <c r="G2342" s="128"/>
      <c r="H2342" s="129"/>
      <c r="I2342" s="130"/>
      <c r="J2342" s="23"/>
      <c r="K2342" s="23"/>
      <c r="L2342" s="23"/>
      <c r="M2342" s="131"/>
      <c r="N2342" s="131"/>
      <c r="O2342" s="131"/>
    </row>
    <row r="2343" spans="4:15" x14ac:dyDescent="0.3">
      <c r="D2343" s="33"/>
      <c r="E2343" s="127"/>
      <c r="F2343" s="128"/>
      <c r="G2343" s="128"/>
      <c r="H2343" s="129"/>
      <c r="I2343" s="130"/>
      <c r="J2343" s="23"/>
      <c r="K2343" s="23"/>
      <c r="L2343" s="23"/>
      <c r="M2343" s="131"/>
      <c r="N2343" s="131"/>
      <c r="O2343" s="131"/>
    </row>
    <row r="2344" spans="4:15" x14ac:dyDescent="0.3">
      <c r="D2344" s="33"/>
      <c r="E2344" s="127"/>
      <c r="F2344" s="128"/>
      <c r="G2344" s="128"/>
      <c r="H2344" s="129"/>
      <c r="I2344" s="130"/>
      <c r="J2344" s="23"/>
      <c r="K2344" s="23"/>
      <c r="L2344" s="23"/>
      <c r="M2344" s="131"/>
      <c r="N2344" s="131"/>
      <c r="O2344" s="131"/>
    </row>
    <row r="2345" spans="4:15" x14ac:dyDescent="0.3">
      <c r="D2345" s="33"/>
      <c r="E2345" s="127"/>
      <c r="F2345" s="128"/>
      <c r="G2345" s="128"/>
      <c r="H2345" s="129"/>
      <c r="I2345" s="130"/>
      <c r="J2345" s="23"/>
      <c r="K2345" s="23"/>
      <c r="L2345" s="23"/>
      <c r="M2345" s="131"/>
      <c r="N2345" s="131"/>
      <c r="O2345" s="131"/>
    </row>
    <row r="2346" spans="4:15" x14ac:dyDescent="0.3">
      <c r="D2346" s="33"/>
      <c r="E2346" s="127"/>
      <c r="F2346" s="128"/>
      <c r="G2346" s="128"/>
      <c r="H2346" s="129"/>
      <c r="I2346" s="130"/>
      <c r="J2346" s="23"/>
      <c r="K2346" s="23"/>
      <c r="L2346" s="23"/>
      <c r="M2346" s="131"/>
      <c r="N2346" s="131"/>
      <c r="O2346" s="131"/>
    </row>
    <row r="2347" spans="4:15" x14ac:dyDescent="0.3">
      <c r="D2347" s="33"/>
      <c r="E2347" s="127"/>
      <c r="F2347" s="128"/>
      <c r="G2347" s="128"/>
      <c r="H2347" s="129"/>
      <c r="I2347" s="130"/>
      <c r="J2347" s="23"/>
      <c r="K2347" s="23"/>
      <c r="L2347" s="23"/>
      <c r="M2347" s="131"/>
      <c r="N2347" s="131"/>
      <c r="O2347" s="131"/>
    </row>
    <row r="2348" spans="4:15" x14ac:dyDescent="0.3">
      <c r="D2348" s="33"/>
      <c r="E2348" s="127"/>
      <c r="F2348" s="128"/>
      <c r="G2348" s="128"/>
      <c r="H2348" s="129"/>
      <c r="I2348" s="130"/>
      <c r="J2348" s="23"/>
      <c r="K2348" s="23"/>
      <c r="L2348" s="23"/>
      <c r="M2348" s="131"/>
      <c r="N2348" s="131"/>
      <c r="O2348" s="131"/>
    </row>
    <row r="2349" spans="4:15" x14ac:dyDescent="0.3">
      <c r="D2349" s="33"/>
      <c r="E2349" s="127"/>
      <c r="F2349" s="128"/>
      <c r="G2349" s="128"/>
      <c r="H2349" s="129"/>
      <c r="I2349" s="130"/>
      <c r="J2349" s="23"/>
      <c r="K2349" s="23"/>
      <c r="L2349" s="23"/>
      <c r="M2349" s="131"/>
      <c r="N2349" s="131"/>
      <c r="O2349" s="131"/>
    </row>
    <row r="2350" spans="4:15" x14ac:dyDescent="0.3">
      <c r="D2350" s="33"/>
      <c r="E2350" s="127"/>
      <c r="F2350" s="128"/>
      <c r="G2350" s="128"/>
      <c r="H2350" s="129"/>
      <c r="I2350" s="130"/>
      <c r="J2350" s="23"/>
      <c r="K2350" s="23"/>
      <c r="L2350" s="23"/>
      <c r="M2350" s="131"/>
      <c r="N2350" s="131"/>
      <c r="O2350" s="131"/>
    </row>
    <row r="2351" spans="4:15" x14ac:dyDescent="0.3">
      <c r="D2351" s="33"/>
      <c r="E2351" s="127"/>
      <c r="F2351" s="128"/>
      <c r="G2351" s="128"/>
      <c r="H2351" s="129"/>
      <c r="I2351" s="130"/>
      <c r="J2351" s="23"/>
      <c r="K2351" s="23"/>
      <c r="L2351" s="23"/>
      <c r="M2351" s="131"/>
      <c r="N2351" s="131"/>
      <c r="O2351" s="131"/>
    </row>
    <row r="2352" spans="4:15" x14ac:dyDescent="0.3">
      <c r="D2352" s="33"/>
      <c r="E2352" s="127"/>
      <c r="F2352" s="128"/>
      <c r="G2352" s="128"/>
      <c r="H2352" s="129"/>
      <c r="I2352" s="130"/>
      <c r="J2352" s="23"/>
      <c r="K2352" s="23"/>
      <c r="L2352" s="23"/>
      <c r="M2352" s="131"/>
      <c r="N2352" s="131"/>
      <c r="O2352" s="131"/>
    </row>
    <row r="2353" spans="4:15" x14ac:dyDescent="0.3">
      <c r="D2353" s="33"/>
      <c r="E2353" s="127"/>
      <c r="F2353" s="128"/>
      <c r="G2353" s="128"/>
      <c r="H2353" s="129"/>
      <c r="I2353" s="130"/>
      <c r="J2353" s="23"/>
      <c r="K2353" s="23"/>
      <c r="L2353" s="23"/>
      <c r="M2353" s="131"/>
      <c r="N2353" s="131"/>
      <c r="O2353" s="131"/>
    </row>
    <row r="2354" spans="4:15" x14ac:dyDescent="0.3">
      <c r="D2354" s="33"/>
      <c r="E2354" s="127"/>
      <c r="F2354" s="128"/>
      <c r="G2354" s="128"/>
      <c r="H2354" s="129"/>
      <c r="I2354" s="130"/>
      <c r="J2354" s="23"/>
      <c r="K2354" s="23"/>
      <c r="L2354" s="23"/>
      <c r="M2354" s="131"/>
      <c r="N2354" s="131"/>
      <c r="O2354" s="131"/>
    </row>
    <row r="2355" spans="4:15" x14ac:dyDescent="0.3">
      <c r="D2355" s="33"/>
      <c r="E2355" s="127"/>
      <c r="F2355" s="128"/>
      <c r="G2355" s="128"/>
      <c r="H2355" s="129"/>
      <c r="I2355" s="130"/>
      <c r="J2355" s="23"/>
      <c r="K2355" s="23"/>
      <c r="L2355" s="23"/>
      <c r="M2355" s="131"/>
      <c r="N2355" s="131"/>
      <c r="O2355" s="131"/>
    </row>
    <row r="2356" spans="4:15" x14ac:dyDescent="0.3">
      <c r="D2356" s="33"/>
      <c r="E2356" s="127"/>
      <c r="F2356" s="128"/>
      <c r="G2356" s="128"/>
      <c r="H2356" s="129"/>
      <c r="I2356" s="130"/>
      <c r="J2356" s="23"/>
      <c r="K2356" s="23"/>
      <c r="L2356" s="23"/>
      <c r="M2356" s="131"/>
      <c r="N2356" s="131"/>
      <c r="O2356" s="131"/>
    </row>
    <row r="2357" spans="4:15" x14ac:dyDescent="0.3">
      <c r="D2357" s="33"/>
      <c r="E2357" s="127"/>
      <c r="F2357" s="128"/>
      <c r="G2357" s="128"/>
      <c r="H2357" s="129"/>
      <c r="I2357" s="130"/>
      <c r="J2357" s="23"/>
      <c r="K2357" s="23"/>
      <c r="L2357" s="23"/>
      <c r="M2357" s="131"/>
      <c r="N2357" s="131"/>
      <c r="O2357" s="131"/>
    </row>
    <row r="2358" spans="4:15" x14ac:dyDescent="0.3">
      <c r="D2358" s="33"/>
      <c r="E2358" s="127"/>
      <c r="F2358" s="128"/>
      <c r="G2358" s="128"/>
      <c r="H2358" s="129"/>
      <c r="I2358" s="130"/>
      <c r="J2358" s="23"/>
      <c r="K2358" s="23"/>
      <c r="L2358" s="23"/>
      <c r="M2358" s="131"/>
      <c r="N2358" s="131"/>
      <c r="O2358" s="131"/>
    </row>
    <row r="2359" spans="4:15" x14ac:dyDescent="0.3">
      <c r="D2359" s="33"/>
      <c r="E2359" s="127"/>
      <c r="F2359" s="128"/>
      <c r="G2359" s="128"/>
      <c r="H2359" s="129"/>
      <c r="I2359" s="130"/>
      <c r="J2359" s="23"/>
      <c r="K2359" s="23"/>
      <c r="L2359" s="23"/>
      <c r="M2359" s="131"/>
      <c r="N2359" s="131"/>
      <c r="O2359" s="131"/>
    </row>
    <row r="2360" spans="4:15" x14ac:dyDescent="0.3">
      <c r="D2360" s="33"/>
      <c r="E2360" s="127"/>
      <c r="F2360" s="128"/>
      <c r="G2360" s="128"/>
      <c r="H2360" s="129"/>
      <c r="I2360" s="130"/>
      <c r="J2360" s="23"/>
      <c r="K2360" s="23"/>
      <c r="L2360" s="23"/>
      <c r="M2360" s="131"/>
      <c r="N2360" s="131"/>
      <c r="O2360" s="131"/>
    </row>
    <row r="2361" spans="4:15" x14ac:dyDescent="0.3">
      <c r="D2361" s="33"/>
      <c r="E2361" s="127"/>
      <c r="F2361" s="128"/>
      <c r="G2361" s="128"/>
      <c r="H2361" s="129"/>
      <c r="I2361" s="130"/>
      <c r="J2361" s="23"/>
      <c r="K2361" s="23"/>
      <c r="L2361" s="23"/>
      <c r="M2361" s="131"/>
      <c r="N2361" s="131"/>
      <c r="O2361" s="131"/>
    </row>
    <row r="2362" spans="4:15" x14ac:dyDescent="0.3">
      <c r="D2362" s="33"/>
      <c r="E2362" s="127"/>
      <c r="F2362" s="128"/>
      <c r="G2362" s="128"/>
      <c r="H2362" s="129"/>
      <c r="I2362" s="130"/>
      <c r="J2362" s="23"/>
      <c r="K2362" s="23"/>
      <c r="L2362" s="23"/>
      <c r="M2362" s="131"/>
      <c r="N2362" s="131"/>
      <c r="O2362" s="131"/>
    </row>
    <row r="2363" spans="4:15" x14ac:dyDescent="0.3">
      <c r="D2363" s="33"/>
      <c r="E2363" s="127"/>
      <c r="F2363" s="128"/>
      <c r="G2363" s="128"/>
      <c r="H2363" s="129"/>
      <c r="I2363" s="130"/>
      <c r="J2363" s="23"/>
      <c r="K2363" s="23"/>
      <c r="L2363" s="23"/>
      <c r="M2363" s="131"/>
      <c r="N2363" s="131"/>
      <c r="O2363" s="131"/>
    </row>
    <row r="2364" spans="4:15" x14ac:dyDescent="0.3">
      <c r="D2364" s="33"/>
      <c r="E2364" s="127"/>
      <c r="F2364" s="128"/>
      <c r="G2364" s="128"/>
      <c r="H2364" s="129"/>
      <c r="I2364" s="130"/>
      <c r="J2364" s="23"/>
      <c r="K2364" s="23"/>
      <c r="L2364" s="23"/>
      <c r="M2364" s="131"/>
      <c r="N2364" s="131"/>
      <c r="O2364" s="131"/>
    </row>
    <row r="2365" spans="4:15" x14ac:dyDescent="0.3">
      <c r="D2365" s="33"/>
      <c r="E2365" s="127"/>
      <c r="F2365" s="128"/>
      <c r="G2365" s="128"/>
      <c r="H2365" s="129"/>
      <c r="I2365" s="130"/>
      <c r="J2365" s="23"/>
      <c r="K2365" s="23"/>
      <c r="L2365" s="23"/>
      <c r="M2365" s="131"/>
      <c r="N2365" s="131"/>
      <c r="O2365" s="131"/>
    </row>
    <row r="2366" spans="4:15" x14ac:dyDescent="0.3">
      <c r="D2366" s="33"/>
      <c r="E2366" s="127"/>
      <c r="F2366" s="128"/>
      <c r="G2366" s="128"/>
      <c r="H2366" s="129"/>
      <c r="I2366" s="130"/>
      <c r="J2366" s="23"/>
      <c r="K2366" s="23"/>
      <c r="L2366" s="23"/>
      <c r="M2366" s="131"/>
      <c r="N2366" s="131"/>
      <c r="O2366" s="131"/>
    </row>
    <row r="2367" spans="4:15" x14ac:dyDescent="0.3">
      <c r="D2367" s="33"/>
      <c r="E2367" s="127"/>
      <c r="F2367" s="128"/>
      <c r="G2367" s="128"/>
      <c r="H2367" s="129"/>
      <c r="I2367" s="130"/>
      <c r="J2367" s="23"/>
      <c r="K2367" s="23"/>
      <c r="L2367" s="23"/>
      <c r="M2367" s="131"/>
      <c r="N2367" s="131"/>
      <c r="O2367" s="131"/>
    </row>
    <row r="2368" spans="4:15" x14ac:dyDescent="0.3">
      <c r="D2368" s="33"/>
      <c r="E2368" s="127"/>
      <c r="F2368" s="128"/>
      <c r="G2368" s="128"/>
      <c r="H2368" s="129"/>
      <c r="I2368" s="130"/>
      <c r="J2368" s="23"/>
      <c r="K2368" s="23"/>
      <c r="L2368" s="23"/>
      <c r="M2368" s="131"/>
      <c r="N2368" s="131"/>
      <c r="O2368" s="131"/>
    </row>
    <row r="2369" spans="4:15" x14ac:dyDescent="0.3">
      <c r="D2369" s="33"/>
      <c r="E2369" s="127"/>
      <c r="F2369" s="128"/>
      <c r="G2369" s="128"/>
      <c r="H2369" s="129"/>
      <c r="I2369" s="130"/>
      <c r="J2369" s="23"/>
      <c r="K2369" s="23"/>
      <c r="L2369" s="23"/>
      <c r="M2369" s="131"/>
      <c r="N2369" s="131"/>
      <c r="O2369" s="131"/>
    </row>
    <row r="2370" spans="4:15" x14ac:dyDescent="0.3">
      <c r="D2370" s="33"/>
      <c r="E2370" s="127"/>
      <c r="F2370" s="128"/>
      <c r="G2370" s="128"/>
      <c r="H2370" s="129"/>
      <c r="I2370" s="130"/>
      <c r="J2370" s="23"/>
      <c r="K2370" s="23"/>
      <c r="L2370" s="23"/>
      <c r="M2370" s="131"/>
      <c r="N2370" s="131"/>
      <c r="O2370" s="131"/>
    </row>
    <row r="2371" spans="4:15" x14ac:dyDescent="0.3">
      <c r="D2371" s="33"/>
      <c r="E2371" s="127"/>
      <c r="F2371" s="128"/>
      <c r="G2371" s="128"/>
      <c r="H2371" s="129"/>
      <c r="I2371" s="130"/>
      <c r="J2371" s="23"/>
      <c r="K2371" s="23"/>
      <c r="L2371" s="23"/>
      <c r="M2371" s="131"/>
      <c r="N2371" s="131"/>
      <c r="O2371" s="131"/>
    </row>
    <row r="2372" spans="4:15" x14ac:dyDescent="0.3">
      <c r="D2372" s="33"/>
      <c r="E2372" s="127"/>
      <c r="F2372" s="128"/>
      <c r="G2372" s="128"/>
      <c r="H2372" s="129"/>
      <c r="I2372" s="130"/>
      <c r="J2372" s="23"/>
      <c r="K2372" s="23"/>
      <c r="L2372" s="23"/>
      <c r="M2372" s="131"/>
      <c r="N2372" s="131"/>
      <c r="O2372" s="131"/>
    </row>
    <row r="2373" spans="4:15" x14ac:dyDescent="0.3">
      <c r="D2373" s="33"/>
      <c r="E2373" s="127"/>
      <c r="F2373" s="128"/>
      <c r="G2373" s="128"/>
      <c r="H2373" s="129"/>
      <c r="I2373" s="130"/>
      <c r="J2373" s="23"/>
      <c r="K2373" s="23"/>
      <c r="L2373" s="23"/>
      <c r="M2373" s="131"/>
      <c r="N2373" s="131"/>
      <c r="O2373" s="131"/>
    </row>
    <row r="2374" spans="4:15" x14ac:dyDescent="0.3">
      <c r="D2374" s="33"/>
      <c r="E2374" s="127"/>
      <c r="F2374" s="128"/>
      <c r="G2374" s="128"/>
      <c r="H2374" s="129"/>
      <c r="I2374" s="130"/>
      <c r="J2374" s="23"/>
      <c r="K2374" s="23"/>
      <c r="L2374" s="23"/>
      <c r="M2374" s="131"/>
      <c r="N2374" s="131"/>
      <c r="O2374" s="131"/>
    </row>
    <row r="2375" spans="4:15" x14ac:dyDescent="0.3">
      <c r="D2375" s="33"/>
      <c r="E2375" s="127"/>
      <c r="F2375" s="128"/>
      <c r="G2375" s="128"/>
      <c r="H2375" s="129"/>
      <c r="I2375" s="130"/>
      <c r="J2375" s="23"/>
      <c r="K2375" s="23"/>
      <c r="L2375" s="23"/>
      <c r="M2375" s="131"/>
      <c r="N2375" s="131"/>
      <c r="O2375" s="131"/>
    </row>
    <row r="2376" spans="4:15" x14ac:dyDescent="0.3">
      <c r="D2376" s="33"/>
      <c r="E2376" s="127"/>
      <c r="F2376" s="128"/>
      <c r="G2376" s="128"/>
      <c r="H2376" s="129"/>
      <c r="I2376" s="130"/>
      <c r="J2376" s="23"/>
      <c r="K2376" s="23"/>
      <c r="L2376" s="23"/>
      <c r="M2376" s="131"/>
      <c r="N2376" s="131"/>
      <c r="O2376" s="131"/>
    </row>
    <row r="2377" spans="4:15" x14ac:dyDescent="0.3">
      <c r="D2377" s="33"/>
      <c r="E2377" s="127"/>
      <c r="F2377" s="128"/>
      <c r="G2377" s="128"/>
      <c r="H2377" s="129"/>
      <c r="I2377" s="130"/>
      <c r="J2377" s="23"/>
      <c r="K2377" s="23"/>
      <c r="L2377" s="23"/>
      <c r="M2377" s="131"/>
      <c r="N2377" s="131"/>
      <c r="O2377" s="131"/>
    </row>
    <row r="2378" spans="4:15" x14ac:dyDescent="0.3">
      <c r="D2378" s="33"/>
      <c r="E2378" s="127"/>
      <c r="F2378" s="128"/>
      <c r="G2378" s="128"/>
      <c r="H2378" s="129"/>
      <c r="I2378" s="130"/>
      <c r="J2378" s="23"/>
      <c r="K2378" s="23"/>
      <c r="L2378" s="23"/>
      <c r="M2378" s="131"/>
      <c r="N2378" s="131"/>
      <c r="O2378" s="131"/>
    </row>
    <row r="2379" spans="4:15" x14ac:dyDescent="0.3">
      <c r="D2379" s="33"/>
      <c r="E2379" s="127"/>
      <c r="F2379" s="128"/>
      <c r="G2379" s="128"/>
      <c r="H2379" s="129"/>
      <c r="I2379" s="130"/>
      <c r="J2379" s="23"/>
      <c r="K2379" s="23"/>
      <c r="L2379" s="23"/>
      <c r="M2379" s="131"/>
      <c r="N2379" s="131"/>
      <c r="O2379" s="131"/>
    </row>
    <row r="2380" spans="4:15" x14ac:dyDescent="0.3">
      <c r="D2380" s="33"/>
      <c r="E2380" s="127"/>
      <c r="F2380" s="128"/>
      <c r="G2380" s="128"/>
      <c r="H2380" s="129"/>
      <c r="I2380" s="130"/>
      <c r="J2380" s="23"/>
      <c r="K2380" s="23"/>
      <c r="L2380" s="23"/>
      <c r="M2380" s="131"/>
      <c r="N2380" s="131"/>
      <c r="O2380" s="131"/>
    </row>
    <row r="2381" spans="4:15" x14ac:dyDescent="0.3">
      <c r="D2381" s="33"/>
      <c r="E2381" s="127"/>
      <c r="F2381" s="128"/>
      <c r="G2381" s="128"/>
      <c r="H2381" s="129"/>
      <c r="I2381" s="130"/>
      <c r="J2381" s="23"/>
      <c r="K2381" s="23"/>
      <c r="L2381" s="23"/>
      <c r="M2381" s="131"/>
      <c r="N2381" s="131"/>
      <c r="O2381" s="131"/>
    </row>
    <row r="2382" spans="4:15" x14ac:dyDescent="0.3">
      <c r="D2382" s="33"/>
      <c r="E2382" s="127"/>
      <c r="F2382" s="128"/>
      <c r="G2382" s="128"/>
      <c r="H2382" s="129"/>
      <c r="I2382" s="130"/>
      <c r="J2382" s="23"/>
      <c r="K2382" s="23"/>
      <c r="L2382" s="23"/>
      <c r="M2382" s="131"/>
      <c r="N2382" s="131"/>
      <c r="O2382" s="131"/>
    </row>
    <row r="2383" spans="4:15" x14ac:dyDescent="0.3">
      <c r="D2383" s="33"/>
      <c r="E2383" s="127"/>
      <c r="F2383" s="128"/>
      <c r="G2383" s="128"/>
      <c r="H2383" s="129"/>
      <c r="I2383" s="130"/>
      <c r="J2383" s="23"/>
      <c r="K2383" s="23"/>
      <c r="L2383" s="23"/>
      <c r="M2383" s="131"/>
      <c r="N2383" s="131"/>
      <c r="O2383" s="131"/>
    </row>
    <row r="2384" spans="4:15" x14ac:dyDescent="0.3">
      <c r="D2384" s="33"/>
      <c r="E2384" s="127"/>
      <c r="F2384" s="128"/>
      <c r="G2384" s="128"/>
      <c r="H2384" s="129"/>
      <c r="I2384" s="130"/>
      <c r="J2384" s="23"/>
      <c r="K2384" s="23"/>
      <c r="L2384" s="23"/>
      <c r="M2384" s="131"/>
      <c r="N2384" s="131"/>
      <c r="O2384" s="131"/>
    </row>
    <row r="2385" spans="4:15" x14ac:dyDescent="0.3">
      <c r="D2385" s="33"/>
      <c r="E2385" s="127"/>
      <c r="F2385" s="128"/>
      <c r="G2385" s="128"/>
      <c r="H2385" s="129"/>
      <c r="I2385" s="130"/>
      <c r="J2385" s="23"/>
      <c r="K2385" s="23"/>
      <c r="L2385" s="23"/>
      <c r="M2385" s="131"/>
      <c r="N2385" s="131"/>
      <c r="O2385" s="131"/>
    </row>
    <row r="2386" spans="4:15" x14ac:dyDescent="0.3">
      <c r="D2386" s="33"/>
      <c r="E2386" s="127"/>
      <c r="F2386" s="128"/>
      <c r="G2386" s="128"/>
      <c r="H2386" s="129"/>
      <c r="I2386" s="130"/>
      <c r="J2386" s="23"/>
      <c r="K2386" s="23"/>
      <c r="L2386" s="23"/>
      <c r="M2386" s="131"/>
      <c r="N2386" s="131"/>
      <c r="O2386" s="131"/>
    </row>
    <row r="2387" spans="4:15" x14ac:dyDescent="0.3">
      <c r="D2387" s="33"/>
      <c r="E2387" s="127"/>
      <c r="F2387" s="128"/>
      <c r="G2387" s="128"/>
      <c r="H2387" s="129"/>
      <c r="I2387" s="130"/>
      <c r="J2387" s="23"/>
      <c r="K2387" s="23"/>
      <c r="L2387" s="23"/>
      <c r="M2387" s="131"/>
      <c r="N2387" s="131"/>
      <c r="O2387" s="131"/>
    </row>
    <row r="2388" spans="4:15" x14ac:dyDescent="0.3">
      <c r="D2388" s="33"/>
      <c r="E2388" s="127"/>
      <c r="F2388" s="128"/>
      <c r="G2388" s="128"/>
      <c r="H2388" s="129"/>
      <c r="I2388" s="130"/>
      <c r="J2388" s="23"/>
      <c r="K2388" s="23"/>
      <c r="L2388" s="23"/>
      <c r="M2388" s="131"/>
      <c r="N2388" s="131"/>
      <c r="O2388" s="131"/>
    </row>
    <row r="2389" spans="4:15" x14ac:dyDescent="0.3">
      <c r="D2389" s="33"/>
      <c r="E2389" s="127"/>
      <c r="F2389" s="128"/>
      <c r="G2389" s="128"/>
      <c r="H2389" s="129"/>
      <c r="I2389" s="130"/>
      <c r="J2389" s="23"/>
      <c r="K2389" s="23"/>
      <c r="L2389" s="23"/>
      <c r="M2389" s="131"/>
      <c r="N2389" s="131"/>
      <c r="O2389" s="131"/>
    </row>
    <row r="2390" spans="4:15" x14ac:dyDescent="0.3">
      <c r="D2390" s="33"/>
      <c r="E2390" s="127"/>
      <c r="F2390" s="128"/>
      <c r="G2390" s="128"/>
      <c r="H2390" s="129"/>
      <c r="I2390" s="130"/>
      <c r="J2390" s="23"/>
      <c r="K2390" s="23"/>
      <c r="L2390" s="23"/>
      <c r="M2390" s="131"/>
      <c r="N2390" s="131"/>
      <c r="O2390" s="131"/>
    </row>
    <row r="2391" spans="4:15" x14ac:dyDescent="0.3">
      <c r="D2391" s="33"/>
      <c r="E2391" s="127"/>
      <c r="F2391" s="128"/>
      <c r="G2391" s="128"/>
      <c r="H2391" s="129"/>
      <c r="I2391" s="130"/>
      <c r="J2391" s="23"/>
      <c r="K2391" s="23"/>
      <c r="L2391" s="23"/>
      <c r="M2391" s="131"/>
      <c r="N2391" s="131"/>
      <c r="O2391" s="131"/>
    </row>
    <row r="2392" spans="4:15" x14ac:dyDescent="0.3">
      <c r="D2392" s="33"/>
      <c r="E2392" s="127"/>
      <c r="F2392" s="128"/>
      <c r="G2392" s="128"/>
      <c r="H2392" s="129"/>
      <c r="I2392" s="130"/>
      <c r="J2392" s="23"/>
      <c r="K2392" s="23"/>
      <c r="L2392" s="23"/>
      <c r="M2392" s="131"/>
      <c r="N2392" s="131"/>
      <c r="O2392" s="131"/>
    </row>
    <row r="2393" spans="4:15" x14ac:dyDescent="0.3">
      <c r="D2393" s="33"/>
      <c r="E2393" s="127"/>
      <c r="F2393" s="128"/>
      <c r="G2393" s="128"/>
      <c r="H2393" s="129"/>
      <c r="I2393" s="130"/>
      <c r="J2393" s="23"/>
      <c r="K2393" s="23"/>
      <c r="L2393" s="23"/>
      <c r="M2393" s="131"/>
      <c r="N2393" s="131"/>
      <c r="O2393" s="131"/>
    </row>
    <row r="2394" spans="4:15" x14ac:dyDescent="0.3">
      <c r="D2394" s="33"/>
      <c r="E2394" s="127"/>
      <c r="F2394" s="128"/>
      <c r="G2394" s="128"/>
      <c r="H2394" s="129"/>
      <c r="I2394" s="130"/>
      <c r="J2394" s="23"/>
      <c r="K2394" s="23"/>
      <c r="L2394" s="23"/>
      <c r="M2394" s="131"/>
      <c r="N2394" s="131"/>
      <c r="O2394" s="131"/>
    </row>
    <row r="2395" spans="4:15" x14ac:dyDescent="0.3">
      <c r="D2395" s="33"/>
      <c r="E2395" s="127"/>
      <c r="F2395" s="128"/>
      <c r="G2395" s="128"/>
      <c r="H2395" s="129"/>
      <c r="I2395" s="130"/>
      <c r="J2395" s="23"/>
      <c r="K2395" s="23"/>
      <c r="L2395" s="23"/>
      <c r="M2395" s="131"/>
      <c r="N2395" s="131"/>
      <c r="O2395" s="131"/>
    </row>
    <row r="2396" spans="4:15" x14ac:dyDescent="0.3">
      <c r="D2396" s="33"/>
      <c r="E2396" s="127"/>
      <c r="F2396" s="128"/>
      <c r="G2396" s="128"/>
      <c r="H2396" s="129"/>
      <c r="I2396" s="130"/>
      <c r="J2396" s="23"/>
      <c r="K2396" s="23"/>
      <c r="L2396" s="23"/>
      <c r="M2396" s="131"/>
      <c r="N2396" s="131"/>
      <c r="O2396" s="131"/>
    </row>
    <row r="2397" spans="4:15" x14ac:dyDescent="0.3">
      <c r="D2397" s="33"/>
      <c r="E2397" s="127"/>
      <c r="F2397" s="128"/>
      <c r="G2397" s="128"/>
      <c r="H2397" s="129"/>
      <c r="I2397" s="130"/>
      <c r="J2397" s="23"/>
      <c r="K2397" s="23"/>
      <c r="L2397" s="23"/>
      <c r="M2397" s="131"/>
      <c r="N2397" s="131"/>
      <c r="O2397" s="131"/>
    </row>
    <row r="2398" spans="4:15" x14ac:dyDescent="0.3">
      <c r="D2398" s="33"/>
      <c r="E2398" s="127"/>
      <c r="F2398" s="128"/>
      <c r="G2398" s="128"/>
      <c r="H2398" s="129"/>
      <c r="I2398" s="130"/>
      <c r="J2398" s="23"/>
      <c r="K2398" s="23"/>
      <c r="L2398" s="23"/>
      <c r="M2398" s="131"/>
      <c r="N2398" s="131"/>
      <c r="O2398" s="131"/>
    </row>
    <row r="2399" spans="4:15" x14ac:dyDescent="0.3">
      <c r="D2399" s="33"/>
      <c r="E2399" s="127"/>
      <c r="F2399" s="128"/>
      <c r="G2399" s="128"/>
      <c r="H2399" s="129"/>
      <c r="I2399" s="130"/>
      <c r="J2399" s="23"/>
      <c r="K2399" s="23"/>
      <c r="L2399" s="23"/>
      <c r="M2399" s="131"/>
      <c r="N2399" s="131"/>
      <c r="O2399" s="131"/>
    </row>
    <row r="2400" spans="4:15" x14ac:dyDescent="0.3">
      <c r="D2400" s="33"/>
      <c r="E2400" s="127"/>
      <c r="F2400" s="128"/>
      <c r="G2400" s="128"/>
      <c r="H2400" s="129"/>
      <c r="I2400" s="130"/>
      <c r="J2400" s="23"/>
      <c r="K2400" s="23"/>
      <c r="L2400" s="23"/>
      <c r="M2400" s="131"/>
      <c r="N2400" s="131"/>
      <c r="O2400" s="131"/>
    </row>
    <row r="2401" spans="4:15" x14ac:dyDescent="0.3">
      <c r="D2401" s="33"/>
      <c r="E2401" s="127"/>
      <c r="F2401" s="128"/>
      <c r="G2401" s="128"/>
      <c r="H2401" s="129"/>
      <c r="I2401" s="130"/>
      <c r="J2401" s="23"/>
      <c r="K2401" s="23"/>
      <c r="L2401" s="23"/>
      <c r="M2401" s="131"/>
      <c r="N2401" s="131"/>
      <c r="O2401" s="131"/>
    </row>
    <row r="2402" spans="4:15" x14ac:dyDescent="0.3">
      <c r="D2402" s="33"/>
      <c r="E2402" s="127"/>
      <c r="F2402" s="128"/>
      <c r="G2402" s="128"/>
      <c r="H2402" s="129"/>
      <c r="I2402" s="130"/>
      <c r="J2402" s="23"/>
      <c r="K2402" s="23"/>
      <c r="L2402" s="23"/>
      <c r="M2402" s="131"/>
      <c r="N2402" s="131"/>
      <c r="O2402" s="131"/>
    </row>
    <row r="2403" spans="4:15" x14ac:dyDescent="0.3">
      <c r="D2403" s="33"/>
      <c r="E2403" s="127"/>
      <c r="F2403" s="128"/>
      <c r="G2403" s="128"/>
      <c r="H2403" s="129"/>
      <c r="I2403" s="130"/>
      <c r="J2403" s="23"/>
      <c r="K2403" s="23"/>
      <c r="L2403" s="23"/>
      <c r="M2403" s="131"/>
      <c r="N2403" s="131"/>
      <c r="O2403" s="131"/>
    </row>
    <row r="2404" spans="4:15" x14ac:dyDescent="0.3">
      <c r="D2404" s="33"/>
      <c r="E2404" s="127"/>
      <c r="F2404" s="128"/>
      <c r="G2404" s="128"/>
      <c r="H2404" s="129"/>
      <c r="I2404" s="130"/>
      <c r="J2404" s="23"/>
      <c r="K2404" s="23"/>
      <c r="L2404" s="23"/>
      <c r="M2404" s="131"/>
      <c r="N2404" s="131"/>
      <c r="O2404" s="131"/>
    </row>
    <row r="2405" spans="4:15" x14ac:dyDescent="0.3">
      <c r="D2405" s="33"/>
      <c r="E2405" s="127"/>
      <c r="F2405" s="128"/>
      <c r="G2405" s="128"/>
      <c r="H2405" s="129"/>
      <c r="I2405" s="130"/>
      <c r="J2405" s="23"/>
      <c r="K2405" s="23"/>
      <c r="L2405" s="23"/>
      <c r="M2405" s="131"/>
      <c r="N2405" s="131"/>
      <c r="O2405" s="131"/>
    </row>
    <row r="2406" spans="4:15" x14ac:dyDescent="0.3">
      <c r="D2406" s="33"/>
      <c r="E2406" s="127"/>
      <c r="F2406" s="128"/>
      <c r="G2406" s="128"/>
      <c r="H2406" s="129"/>
      <c r="I2406" s="130"/>
      <c r="J2406" s="23"/>
      <c r="K2406" s="23"/>
      <c r="L2406" s="23"/>
      <c r="M2406" s="131"/>
      <c r="N2406" s="131"/>
      <c r="O2406" s="131"/>
    </row>
    <row r="2407" spans="4:15" x14ac:dyDescent="0.3">
      <c r="D2407" s="33"/>
      <c r="E2407" s="127"/>
      <c r="F2407" s="128"/>
      <c r="G2407" s="128"/>
      <c r="H2407" s="129"/>
      <c r="I2407" s="130"/>
      <c r="J2407" s="23"/>
      <c r="K2407" s="23"/>
      <c r="L2407" s="23"/>
      <c r="M2407" s="131"/>
      <c r="N2407" s="131"/>
      <c r="O2407" s="131"/>
    </row>
    <row r="2408" spans="4:15" x14ac:dyDescent="0.3">
      <c r="D2408" s="33"/>
      <c r="E2408" s="127"/>
      <c r="F2408" s="128"/>
      <c r="G2408" s="128"/>
      <c r="H2408" s="129"/>
      <c r="I2408" s="130"/>
      <c r="J2408" s="23"/>
      <c r="K2408" s="23"/>
      <c r="L2408" s="23"/>
      <c r="M2408" s="131"/>
      <c r="N2408" s="131"/>
      <c r="O2408" s="131"/>
    </row>
    <row r="2409" spans="4:15" x14ac:dyDescent="0.3">
      <c r="D2409" s="33"/>
      <c r="E2409" s="127"/>
      <c r="F2409" s="128"/>
      <c r="G2409" s="128"/>
      <c r="H2409" s="129"/>
      <c r="I2409" s="130"/>
      <c r="J2409" s="23"/>
      <c r="K2409" s="23"/>
      <c r="L2409" s="23"/>
      <c r="M2409" s="131"/>
      <c r="N2409" s="131"/>
      <c r="O2409" s="131"/>
    </row>
    <row r="2410" spans="4:15" x14ac:dyDescent="0.3">
      <c r="D2410" s="33"/>
      <c r="E2410" s="127"/>
      <c r="F2410" s="128"/>
      <c r="G2410" s="128"/>
      <c r="H2410" s="129"/>
      <c r="I2410" s="130"/>
      <c r="J2410" s="23"/>
      <c r="K2410" s="23"/>
      <c r="L2410" s="23"/>
      <c r="M2410" s="131"/>
      <c r="N2410" s="131"/>
      <c r="O2410" s="131"/>
    </row>
    <row r="2411" spans="4:15" x14ac:dyDescent="0.3">
      <c r="D2411" s="33"/>
      <c r="E2411" s="127"/>
      <c r="F2411" s="128"/>
      <c r="G2411" s="128"/>
      <c r="H2411" s="129"/>
      <c r="I2411" s="130"/>
      <c r="J2411" s="23"/>
      <c r="K2411" s="23"/>
      <c r="L2411" s="23"/>
      <c r="M2411" s="131"/>
      <c r="N2411" s="131"/>
      <c r="O2411" s="131"/>
    </row>
    <row r="2412" spans="4:15" x14ac:dyDescent="0.3">
      <c r="D2412" s="33"/>
      <c r="E2412" s="127"/>
      <c r="F2412" s="128"/>
      <c r="G2412" s="128"/>
      <c r="H2412" s="129"/>
      <c r="I2412" s="130"/>
      <c r="J2412" s="23"/>
      <c r="K2412" s="23"/>
      <c r="L2412" s="23"/>
      <c r="M2412" s="131"/>
      <c r="N2412" s="131"/>
      <c r="O2412" s="131"/>
    </row>
    <row r="2413" spans="4:15" x14ac:dyDescent="0.3">
      <c r="D2413" s="33"/>
      <c r="E2413" s="127"/>
      <c r="F2413" s="128"/>
      <c r="G2413" s="128"/>
      <c r="H2413" s="129"/>
      <c r="I2413" s="130"/>
      <c r="J2413" s="23"/>
      <c r="K2413" s="23"/>
      <c r="L2413" s="23"/>
      <c r="M2413" s="131"/>
      <c r="N2413" s="131"/>
      <c r="O2413" s="131"/>
    </row>
    <row r="2414" spans="4:15" x14ac:dyDescent="0.3">
      <c r="D2414" s="33"/>
      <c r="E2414" s="127"/>
      <c r="F2414" s="128"/>
      <c r="G2414" s="128"/>
      <c r="H2414" s="129"/>
      <c r="I2414" s="130"/>
      <c r="J2414" s="23"/>
      <c r="K2414" s="23"/>
      <c r="L2414" s="23"/>
      <c r="M2414" s="131"/>
      <c r="N2414" s="131"/>
      <c r="O2414" s="131"/>
    </row>
    <row r="2415" spans="4:15" x14ac:dyDescent="0.3">
      <c r="D2415" s="33"/>
      <c r="E2415" s="127"/>
      <c r="F2415" s="128"/>
      <c r="G2415" s="128"/>
      <c r="H2415" s="129"/>
      <c r="I2415" s="130"/>
      <c r="J2415" s="23"/>
      <c r="K2415" s="23"/>
      <c r="L2415" s="23"/>
      <c r="M2415" s="131"/>
      <c r="N2415" s="131"/>
      <c r="O2415" s="131"/>
    </row>
    <row r="2416" spans="4:15" x14ac:dyDescent="0.3">
      <c r="D2416" s="33"/>
      <c r="E2416" s="127"/>
      <c r="F2416" s="128"/>
      <c r="G2416" s="128"/>
      <c r="H2416" s="129"/>
      <c r="I2416" s="130"/>
      <c r="J2416" s="23"/>
      <c r="K2416" s="23"/>
      <c r="L2416" s="23"/>
      <c r="M2416" s="131"/>
      <c r="N2416" s="131"/>
      <c r="O2416" s="131"/>
    </row>
    <row r="2417" spans="4:15" x14ac:dyDescent="0.3">
      <c r="D2417" s="33"/>
      <c r="E2417" s="127"/>
      <c r="F2417" s="128"/>
      <c r="G2417" s="128"/>
      <c r="H2417" s="129"/>
      <c r="I2417" s="130"/>
      <c r="J2417" s="23"/>
      <c r="K2417" s="23"/>
      <c r="L2417" s="23"/>
      <c r="M2417" s="131"/>
      <c r="N2417" s="131"/>
      <c r="O2417" s="131"/>
    </row>
    <row r="2418" spans="4:15" x14ac:dyDescent="0.3">
      <c r="D2418" s="33"/>
      <c r="E2418" s="127"/>
      <c r="F2418" s="128"/>
      <c r="G2418" s="128"/>
      <c r="H2418" s="129"/>
      <c r="I2418" s="130"/>
      <c r="J2418" s="23"/>
      <c r="K2418" s="23"/>
      <c r="L2418" s="23"/>
      <c r="M2418" s="131"/>
      <c r="N2418" s="131"/>
      <c r="O2418" s="131"/>
    </row>
    <row r="2419" spans="4:15" x14ac:dyDescent="0.3">
      <c r="D2419" s="33"/>
      <c r="E2419" s="127"/>
      <c r="F2419" s="128"/>
      <c r="G2419" s="128"/>
      <c r="H2419" s="129"/>
      <c r="I2419" s="130"/>
      <c r="J2419" s="23"/>
      <c r="K2419" s="23"/>
      <c r="L2419" s="23"/>
      <c r="M2419" s="131"/>
      <c r="N2419" s="131"/>
      <c r="O2419" s="131"/>
    </row>
    <row r="2420" spans="4:15" x14ac:dyDescent="0.3">
      <c r="D2420" s="33"/>
      <c r="E2420" s="127"/>
      <c r="F2420" s="128"/>
      <c r="G2420" s="128"/>
      <c r="H2420" s="129"/>
      <c r="I2420" s="130"/>
      <c r="J2420" s="23"/>
      <c r="K2420" s="23"/>
      <c r="L2420" s="23"/>
      <c r="M2420" s="131"/>
      <c r="N2420" s="131"/>
      <c r="O2420" s="131"/>
    </row>
    <row r="2421" spans="4:15" x14ac:dyDescent="0.3">
      <c r="D2421" s="33"/>
      <c r="E2421" s="127"/>
      <c r="F2421" s="128"/>
      <c r="G2421" s="128"/>
      <c r="H2421" s="129"/>
      <c r="I2421" s="130"/>
      <c r="J2421" s="23"/>
      <c r="K2421" s="23"/>
      <c r="L2421" s="23"/>
      <c r="M2421" s="131"/>
      <c r="N2421" s="131"/>
      <c r="O2421" s="131"/>
    </row>
    <row r="2422" spans="4:15" x14ac:dyDescent="0.3">
      <c r="D2422" s="33"/>
      <c r="E2422" s="127"/>
      <c r="F2422" s="128"/>
      <c r="G2422" s="128"/>
      <c r="H2422" s="129"/>
      <c r="I2422" s="130"/>
      <c r="J2422" s="23"/>
      <c r="K2422" s="23"/>
      <c r="L2422" s="23"/>
      <c r="M2422" s="131"/>
      <c r="N2422" s="131"/>
      <c r="O2422" s="131"/>
    </row>
    <row r="2423" spans="4:15" x14ac:dyDescent="0.3">
      <c r="D2423" s="33"/>
      <c r="E2423" s="127"/>
      <c r="F2423" s="128"/>
      <c r="G2423" s="128"/>
      <c r="H2423" s="129"/>
      <c r="I2423" s="130"/>
      <c r="J2423" s="23"/>
      <c r="K2423" s="23"/>
      <c r="L2423" s="23"/>
      <c r="M2423" s="131"/>
      <c r="N2423" s="131"/>
      <c r="O2423" s="131"/>
    </row>
    <row r="2424" spans="4:15" x14ac:dyDescent="0.3">
      <c r="D2424" s="33"/>
      <c r="E2424" s="127"/>
      <c r="F2424" s="128"/>
      <c r="G2424" s="128"/>
      <c r="H2424" s="129"/>
      <c r="I2424" s="130"/>
      <c r="J2424" s="23"/>
      <c r="K2424" s="23"/>
      <c r="L2424" s="23"/>
      <c r="M2424" s="131"/>
      <c r="N2424" s="131"/>
      <c r="O2424" s="131"/>
    </row>
    <row r="2425" spans="4:15" x14ac:dyDescent="0.3">
      <c r="D2425" s="33"/>
      <c r="E2425" s="127"/>
      <c r="F2425" s="128"/>
      <c r="G2425" s="128"/>
      <c r="H2425" s="129"/>
      <c r="I2425" s="130"/>
      <c r="J2425" s="23"/>
      <c r="K2425" s="23"/>
      <c r="L2425" s="23"/>
      <c r="M2425" s="131"/>
      <c r="N2425" s="131"/>
      <c r="O2425" s="131"/>
    </row>
    <row r="2426" spans="4:15" x14ac:dyDescent="0.3">
      <c r="D2426" s="33"/>
      <c r="E2426" s="127"/>
      <c r="F2426" s="128"/>
      <c r="G2426" s="128"/>
      <c r="H2426" s="129"/>
      <c r="I2426" s="130"/>
      <c r="J2426" s="23"/>
      <c r="K2426" s="23"/>
      <c r="L2426" s="23"/>
      <c r="M2426" s="131"/>
      <c r="N2426" s="131"/>
      <c r="O2426" s="131"/>
    </row>
    <row r="2427" spans="4:15" x14ac:dyDescent="0.3">
      <c r="D2427" s="33"/>
      <c r="E2427" s="127"/>
      <c r="F2427" s="128"/>
      <c r="G2427" s="128"/>
      <c r="H2427" s="129"/>
      <c r="I2427" s="130"/>
      <c r="J2427" s="23"/>
      <c r="K2427" s="23"/>
      <c r="L2427" s="23"/>
      <c r="M2427" s="131"/>
      <c r="N2427" s="131"/>
      <c r="O2427" s="131"/>
    </row>
    <row r="2428" spans="4:15" x14ac:dyDescent="0.3">
      <c r="D2428" s="33"/>
      <c r="E2428" s="127"/>
      <c r="F2428" s="128"/>
      <c r="G2428" s="128"/>
      <c r="H2428" s="129"/>
      <c r="I2428" s="130"/>
      <c r="J2428" s="23"/>
      <c r="K2428" s="23"/>
      <c r="L2428" s="23"/>
      <c r="M2428" s="131"/>
      <c r="N2428" s="131"/>
      <c r="O2428" s="131"/>
    </row>
    <row r="2429" spans="4:15" x14ac:dyDescent="0.3">
      <c r="D2429" s="33"/>
      <c r="E2429" s="127"/>
      <c r="F2429" s="128"/>
      <c r="G2429" s="128"/>
      <c r="H2429" s="129"/>
      <c r="I2429" s="130"/>
      <c r="J2429" s="23"/>
      <c r="K2429" s="23"/>
      <c r="L2429" s="23"/>
      <c r="M2429" s="131"/>
      <c r="N2429" s="131"/>
      <c r="O2429" s="131"/>
    </row>
    <row r="2430" spans="4:15" x14ac:dyDescent="0.3">
      <c r="D2430" s="33"/>
      <c r="E2430" s="127"/>
      <c r="F2430" s="128"/>
      <c r="G2430" s="128"/>
      <c r="H2430" s="129"/>
      <c r="I2430" s="130"/>
      <c r="J2430" s="23"/>
      <c r="K2430" s="23"/>
      <c r="L2430" s="23"/>
      <c r="M2430" s="131"/>
      <c r="N2430" s="131"/>
      <c r="O2430" s="131"/>
    </row>
    <row r="2431" spans="4:15" x14ac:dyDescent="0.3">
      <c r="D2431" s="33"/>
      <c r="E2431" s="127"/>
      <c r="F2431" s="128"/>
      <c r="G2431" s="128"/>
      <c r="H2431" s="129"/>
      <c r="I2431" s="130"/>
      <c r="J2431" s="23"/>
      <c r="K2431" s="23"/>
      <c r="L2431" s="23"/>
      <c r="M2431" s="131"/>
      <c r="N2431" s="131"/>
      <c r="O2431" s="131"/>
    </row>
    <row r="2432" spans="4:15" x14ac:dyDescent="0.3">
      <c r="D2432" s="33"/>
      <c r="E2432" s="127"/>
      <c r="F2432" s="128"/>
      <c r="G2432" s="128"/>
      <c r="H2432" s="129"/>
      <c r="I2432" s="130"/>
      <c r="J2432" s="23"/>
      <c r="K2432" s="23"/>
      <c r="L2432" s="23"/>
      <c r="M2432" s="131"/>
      <c r="N2432" s="131"/>
      <c r="O2432" s="131"/>
    </row>
    <row r="2433" spans="4:15" x14ac:dyDescent="0.3">
      <c r="D2433" s="33"/>
      <c r="E2433" s="127"/>
      <c r="F2433" s="128"/>
      <c r="G2433" s="128"/>
      <c r="H2433" s="129"/>
      <c r="I2433" s="130"/>
      <c r="J2433" s="23"/>
      <c r="K2433" s="23"/>
      <c r="L2433" s="23"/>
      <c r="M2433" s="131"/>
      <c r="N2433" s="131"/>
      <c r="O2433" s="131"/>
    </row>
    <row r="2434" spans="4:15" x14ac:dyDescent="0.3">
      <c r="D2434" s="33"/>
      <c r="E2434" s="127"/>
      <c r="F2434" s="128"/>
      <c r="G2434" s="128"/>
      <c r="H2434" s="129"/>
      <c r="I2434" s="130"/>
      <c r="J2434" s="23"/>
      <c r="K2434" s="23"/>
      <c r="L2434" s="23"/>
      <c r="M2434" s="131"/>
      <c r="N2434" s="131"/>
      <c r="O2434" s="131"/>
    </row>
    <row r="2435" spans="4:15" x14ac:dyDescent="0.3">
      <c r="D2435" s="33"/>
      <c r="E2435" s="127"/>
      <c r="F2435" s="128"/>
      <c r="G2435" s="128"/>
      <c r="H2435" s="129"/>
      <c r="I2435" s="130"/>
      <c r="J2435" s="23"/>
      <c r="K2435" s="23"/>
      <c r="L2435" s="23"/>
      <c r="M2435" s="131"/>
      <c r="N2435" s="131"/>
      <c r="O2435" s="131"/>
    </row>
    <row r="2436" spans="4:15" x14ac:dyDescent="0.3">
      <c r="D2436" s="33"/>
      <c r="E2436" s="127"/>
      <c r="F2436" s="128"/>
      <c r="G2436" s="128"/>
      <c r="H2436" s="129"/>
      <c r="I2436" s="130"/>
      <c r="J2436" s="23"/>
      <c r="K2436" s="23"/>
      <c r="L2436" s="23"/>
      <c r="M2436" s="131"/>
      <c r="N2436" s="131"/>
      <c r="O2436" s="131"/>
    </row>
    <row r="2437" spans="4:15" x14ac:dyDescent="0.3">
      <c r="D2437" s="33"/>
      <c r="E2437" s="127"/>
      <c r="F2437" s="128"/>
      <c r="G2437" s="128"/>
      <c r="H2437" s="129"/>
      <c r="I2437" s="130"/>
      <c r="J2437" s="23"/>
      <c r="K2437" s="23"/>
      <c r="L2437" s="23"/>
      <c r="M2437" s="131"/>
      <c r="N2437" s="131"/>
      <c r="O2437" s="131"/>
    </row>
    <row r="2438" spans="4:15" x14ac:dyDescent="0.3">
      <c r="D2438" s="33"/>
      <c r="E2438" s="127"/>
      <c r="F2438" s="128"/>
      <c r="G2438" s="128"/>
      <c r="H2438" s="129"/>
      <c r="I2438" s="130"/>
      <c r="J2438" s="23"/>
      <c r="K2438" s="23"/>
      <c r="L2438" s="23"/>
      <c r="M2438" s="131"/>
      <c r="N2438" s="131"/>
      <c r="O2438" s="131"/>
    </row>
    <row r="2439" spans="4:15" x14ac:dyDescent="0.3">
      <c r="D2439" s="33"/>
      <c r="E2439" s="127"/>
      <c r="F2439" s="128"/>
      <c r="G2439" s="128"/>
      <c r="H2439" s="129"/>
      <c r="I2439" s="130"/>
      <c r="J2439" s="23"/>
      <c r="K2439" s="23"/>
      <c r="L2439" s="23"/>
      <c r="M2439" s="131"/>
      <c r="N2439" s="131"/>
      <c r="O2439" s="131"/>
    </row>
    <row r="2440" spans="4:15" x14ac:dyDescent="0.3">
      <c r="D2440" s="33"/>
      <c r="E2440" s="127"/>
      <c r="F2440" s="128"/>
      <c r="G2440" s="128"/>
      <c r="H2440" s="129"/>
      <c r="I2440" s="130"/>
      <c r="J2440" s="23"/>
      <c r="K2440" s="23"/>
      <c r="L2440" s="23"/>
      <c r="M2440" s="131"/>
      <c r="N2440" s="131"/>
      <c r="O2440" s="131"/>
    </row>
    <row r="2441" spans="4:15" x14ac:dyDescent="0.3">
      <c r="D2441" s="33"/>
      <c r="E2441" s="127"/>
      <c r="F2441" s="128"/>
      <c r="G2441" s="128"/>
      <c r="H2441" s="129"/>
      <c r="I2441" s="130"/>
      <c r="J2441" s="23"/>
      <c r="K2441" s="23"/>
      <c r="L2441" s="23"/>
      <c r="M2441" s="131"/>
      <c r="N2441" s="131"/>
      <c r="O2441" s="131"/>
    </row>
    <row r="2442" spans="4:15" x14ac:dyDescent="0.3">
      <c r="D2442" s="33"/>
      <c r="E2442" s="127"/>
      <c r="F2442" s="128"/>
      <c r="G2442" s="128"/>
      <c r="H2442" s="129"/>
      <c r="I2442" s="130"/>
      <c r="J2442" s="23"/>
      <c r="K2442" s="23"/>
      <c r="L2442" s="23"/>
      <c r="M2442" s="131"/>
      <c r="N2442" s="131"/>
      <c r="O2442" s="131"/>
    </row>
    <row r="2443" spans="4:15" x14ac:dyDescent="0.3">
      <c r="D2443" s="33"/>
      <c r="E2443" s="127"/>
      <c r="F2443" s="128"/>
      <c r="G2443" s="128"/>
      <c r="H2443" s="129"/>
      <c r="I2443" s="130"/>
      <c r="J2443" s="23"/>
      <c r="K2443" s="23"/>
      <c r="L2443" s="23"/>
      <c r="M2443" s="131"/>
      <c r="N2443" s="131"/>
      <c r="O2443" s="131"/>
    </row>
    <row r="2444" spans="4:15" x14ac:dyDescent="0.3">
      <c r="D2444" s="33"/>
      <c r="E2444" s="127"/>
      <c r="F2444" s="128"/>
      <c r="G2444" s="128"/>
      <c r="H2444" s="129"/>
      <c r="I2444" s="130"/>
      <c r="J2444" s="23"/>
      <c r="K2444" s="23"/>
      <c r="L2444" s="23"/>
      <c r="M2444" s="131"/>
      <c r="N2444" s="131"/>
      <c r="O2444" s="131"/>
    </row>
    <row r="2445" spans="4:15" x14ac:dyDescent="0.3">
      <c r="D2445" s="33"/>
      <c r="E2445" s="127"/>
      <c r="F2445" s="128"/>
      <c r="G2445" s="128"/>
      <c r="H2445" s="129"/>
      <c r="I2445" s="130"/>
      <c r="J2445" s="23"/>
      <c r="K2445" s="23"/>
      <c r="L2445" s="23"/>
      <c r="M2445" s="131"/>
      <c r="N2445" s="131"/>
      <c r="O2445" s="131"/>
    </row>
    <row r="2446" spans="4:15" x14ac:dyDescent="0.3">
      <c r="D2446" s="33"/>
      <c r="E2446" s="127"/>
      <c r="F2446" s="128"/>
      <c r="G2446" s="128"/>
      <c r="H2446" s="129"/>
      <c r="I2446" s="130"/>
      <c r="J2446" s="23"/>
      <c r="K2446" s="23"/>
      <c r="L2446" s="23"/>
      <c r="M2446" s="131"/>
      <c r="N2446" s="131"/>
      <c r="O2446" s="131"/>
    </row>
    <row r="2447" spans="4:15" x14ac:dyDescent="0.3">
      <c r="D2447" s="33"/>
      <c r="E2447" s="127"/>
      <c r="F2447" s="128"/>
      <c r="G2447" s="128"/>
      <c r="H2447" s="129"/>
      <c r="I2447" s="130"/>
      <c r="J2447" s="23"/>
      <c r="K2447" s="23"/>
      <c r="L2447" s="23"/>
      <c r="M2447" s="131"/>
      <c r="N2447" s="131"/>
      <c r="O2447" s="131"/>
    </row>
    <row r="2448" spans="4:15" x14ac:dyDescent="0.3">
      <c r="D2448" s="33"/>
      <c r="E2448" s="127"/>
      <c r="F2448" s="128"/>
      <c r="G2448" s="128"/>
      <c r="H2448" s="129"/>
      <c r="I2448" s="130"/>
      <c r="J2448" s="23"/>
      <c r="K2448" s="23"/>
      <c r="L2448" s="23"/>
      <c r="M2448" s="131"/>
      <c r="N2448" s="131"/>
      <c r="O2448" s="131"/>
    </row>
    <row r="2449" spans="4:15" x14ac:dyDescent="0.3">
      <c r="D2449" s="33"/>
      <c r="E2449" s="127"/>
      <c r="F2449" s="128"/>
      <c r="G2449" s="128"/>
      <c r="H2449" s="129"/>
      <c r="I2449" s="130"/>
      <c r="J2449" s="23"/>
      <c r="K2449" s="23"/>
      <c r="L2449" s="23"/>
      <c r="M2449" s="131"/>
      <c r="N2449" s="131"/>
      <c r="O2449" s="131"/>
    </row>
    <row r="2450" spans="4:15" x14ac:dyDescent="0.3">
      <c r="D2450" s="33"/>
      <c r="E2450" s="127"/>
      <c r="F2450" s="128"/>
      <c r="G2450" s="128"/>
      <c r="H2450" s="129"/>
      <c r="I2450" s="130"/>
      <c r="J2450" s="23"/>
      <c r="K2450" s="23"/>
      <c r="L2450" s="23"/>
      <c r="M2450" s="131"/>
      <c r="N2450" s="131"/>
      <c r="O2450" s="131"/>
    </row>
    <row r="2451" spans="4:15" x14ac:dyDescent="0.3">
      <c r="D2451" s="33"/>
      <c r="E2451" s="127"/>
      <c r="F2451" s="128"/>
      <c r="G2451" s="128"/>
      <c r="H2451" s="129"/>
      <c r="I2451" s="130"/>
      <c r="J2451" s="23"/>
      <c r="K2451" s="23"/>
      <c r="L2451" s="23"/>
      <c r="M2451" s="131"/>
      <c r="N2451" s="131"/>
      <c r="O2451" s="131"/>
    </row>
    <row r="2452" spans="4:15" x14ac:dyDescent="0.3">
      <c r="D2452" s="33"/>
      <c r="E2452" s="127"/>
      <c r="F2452" s="128"/>
      <c r="G2452" s="128"/>
      <c r="H2452" s="129"/>
      <c r="I2452" s="130"/>
      <c r="J2452" s="23"/>
      <c r="K2452" s="23"/>
      <c r="L2452" s="23"/>
      <c r="M2452" s="131"/>
      <c r="N2452" s="131"/>
      <c r="O2452" s="131"/>
    </row>
    <row r="2453" spans="4:15" x14ac:dyDescent="0.3">
      <c r="D2453" s="33"/>
      <c r="E2453" s="127"/>
      <c r="F2453" s="128"/>
      <c r="G2453" s="128"/>
      <c r="H2453" s="129"/>
      <c r="I2453" s="130"/>
      <c r="J2453" s="23"/>
      <c r="K2453" s="23"/>
      <c r="L2453" s="23"/>
      <c r="M2453" s="131"/>
      <c r="N2453" s="131"/>
      <c r="O2453" s="131"/>
    </row>
    <row r="2454" spans="4:15" x14ac:dyDescent="0.3">
      <c r="D2454" s="33"/>
      <c r="E2454" s="127"/>
      <c r="F2454" s="128"/>
      <c r="G2454" s="128"/>
      <c r="H2454" s="129"/>
      <c r="I2454" s="130"/>
      <c r="J2454" s="23"/>
      <c r="K2454" s="23"/>
      <c r="L2454" s="23"/>
      <c r="M2454" s="131"/>
      <c r="N2454" s="131"/>
      <c r="O2454" s="131"/>
    </row>
    <row r="2455" spans="4:15" x14ac:dyDescent="0.3">
      <c r="D2455" s="33"/>
      <c r="E2455" s="127"/>
      <c r="F2455" s="128"/>
      <c r="G2455" s="128"/>
      <c r="H2455" s="129"/>
      <c r="I2455" s="130"/>
      <c r="J2455" s="23"/>
      <c r="K2455" s="23"/>
      <c r="L2455" s="23"/>
      <c r="M2455" s="131"/>
      <c r="N2455" s="131"/>
      <c r="O2455" s="131"/>
    </row>
    <row r="2456" spans="4:15" x14ac:dyDescent="0.3">
      <c r="D2456" s="33"/>
      <c r="E2456" s="127"/>
      <c r="F2456" s="128"/>
      <c r="G2456" s="128"/>
      <c r="H2456" s="129"/>
      <c r="I2456" s="130"/>
      <c r="J2456" s="23"/>
      <c r="K2456" s="23"/>
      <c r="L2456" s="23"/>
      <c r="M2456" s="131"/>
      <c r="N2456" s="131"/>
      <c r="O2456" s="131"/>
    </row>
    <row r="2457" spans="4:15" x14ac:dyDescent="0.3">
      <c r="D2457" s="33"/>
      <c r="E2457" s="127"/>
      <c r="F2457" s="128"/>
      <c r="G2457" s="128"/>
      <c r="H2457" s="129"/>
      <c r="I2457" s="130"/>
      <c r="J2457" s="23"/>
      <c r="K2457" s="23"/>
      <c r="L2457" s="23"/>
      <c r="M2457" s="131"/>
      <c r="N2457" s="131"/>
      <c r="O2457" s="131"/>
    </row>
    <row r="2458" spans="4:15" x14ac:dyDescent="0.3">
      <c r="D2458" s="33"/>
      <c r="E2458" s="127"/>
      <c r="F2458" s="128"/>
      <c r="G2458" s="128"/>
      <c r="H2458" s="129"/>
      <c r="I2458" s="130"/>
      <c r="J2458" s="23"/>
      <c r="K2458" s="23"/>
      <c r="L2458" s="23"/>
      <c r="M2458" s="131"/>
      <c r="N2458" s="131"/>
      <c r="O2458" s="131"/>
    </row>
    <row r="2459" spans="4:15" x14ac:dyDescent="0.3">
      <c r="D2459" s="33"/>
      <c r="E2459" s="127"/>
      <c r="F2459" s="128"/>
      <c r="G2459" s="128"/>
      <c r="H2459" s="129"/>
      <c r="I2459" s="130"/>
      <c r="J2459" s="23"/>
      <c r="K2459" s="23"/>
      <c r="L2459" s="23"/>
      <c r="M2459" s="131"/>
      <c r="N2459" s="131"/>
      <c r="O2459" s="131"/>
    </row>
    <row r="2460" spans="4:15" x14ac:dyDescent="0.3">
      <c r="D2460" s="33"/>
      <c r="E2460" s="127"/>
      <c r="F2460" s="128"/>
      <c r="G2460" s="128"/>
      <c r="H2460" s="129"/>
      <c r="I2460" s="130"/>
      <c r="J2460" s="23"/>
      <c r="K2460" s="23"/>
      <c r="L2460" s="23"/>
      <c r="M2460" s="131"/>
      <c r="N2460" s="131"/>
      <c r="O2460" s="131"/>
    </row>
    <row r="2461" spans="4:15" x14ac:dyDescent="0.3">
      <c r="D2461" s="33"/>
      <c r="E2461" s="127"/>
      <c r="F2461" s="128"/>
      <c r="G2461" s="128"/>
      <c r="H2461" s="129"/>
      <c r="I2461" s="130"/>
      <c r="J2461" s="23"/>
      <c r="K2461" s="23"/>
      <c r="L2461" s="23"/>
      <c r="M2461" s="131"/>
      <c r="N2461" s="131"/>
      <c r="O2461" s="131"/>
    </row>
    <row r="2462" spans="4:15" x14ac:dyDescent="0.3">
      <c r="D2462" s="33"/>
      <c r="E2462" s="127"/>
      <c r="F2462" s="128"/>
      <c r="G2462" s="128"/>
      <c r="H2462" s="129"/>
      <c r="I2462" s="130"/>
      <c r="J2462" s="23"/>
      <c r="K2462" s="23"/>
      <c r="L2462" s="23"/>
      <c r="M2462" s="131"/>
      <c r="N2462" s="131"/>
      <c r="O2462" s="131"/>
    </row>
    <row r="2463" spans="4:15" x14ac:dyDescent="0.3">
      <c r="D2463" s="33"/>
      <c r="E2463" s="127"/>
      <c r="F2463" s="128"/>
      <c r="G2463" s="128"/>
      <c r="H2463" s="129"/>
      <c r="I2463" s="130"/>
      <c r="J2463" s="23"/>
      <c r="K2463" s="23"/>
      <c r="L2463" s="23"/>
      <c r="M2463" s="131"/>
      <c r="N2463" s="131"/>
      <c r="O2463" s="131"/>
    </row>
    <row r="2464" spans="4:15" x14ac:dyDescent="0.3">
      <c r="D2464" s="33"/>
      <c r="E2464" s="127"/>
      <c r="F2464" s="128"/>
      <c r="G2464" s="128"/>
      <c r="H2464" s="129"/>
      <c r="I2464" s="130"/>
      <c r="J2464" s="23"/>
      <c r="K2464" s="23"/>
      <c r="L2464" s="23"/>
      <c r="M2464" s="131"/>
      <c r="N2464" s="131"/>
      <c r="O2464" s="131"/>
    </row>
    <row r="2465" spans="4:15" x14ac:dyDescent="0.3">
      <c r="D2465" s="33"/>
      <c r="E2465" s="127"/>
      <c r="F2465" s="128"/>
      <c r="G2465" s="128"/>
      <c r="H2465" s="129"/>
      <c r="I2465" s="130"/>
      <c r="J2465" s="23"/>
      <c r="K2465" s="23"/>
      <c r="L2465" s="23"/>
      <c r="M2465" s="131"/>
      <c r="N2465" s="131"/>
      <c r="O2465" s="131"/>
    </row>
    <row r="2466" spans="4:15" x14ac:dyDescent="0.3">
      <c r="D2466" s="33"/>
      <c r="E2466" s="127"/>
      <c r="F2466" s="128"/>
      <c r="G2466" s="128"/>
      <c r="H2466" s="129"/>
      <c r="I2466" s="130"/>
      <c r="J2466" s="23"/>
      <c r="K2466" s="23"/>
      <c r="L2466" s="23"/>
      <c r="M2466" s="131"/>
      <c r="N2466" s="131"/>
      <c r="O2466" s="131"/>
    </row>
    <row r="2467" spans="4:15" x14ac:dyDescent="0.3">
      <c r="D2467" s="33"/>
      <c r="E2467" s="127"/>
      <c r="F2467" s="128"/>
      <c r="G2467" s="128"/>
      <c r="H2467" s="129"/>
      <c r="I2467" s="130"/>
      <c r="J2467" s="23"/>
      <c r="K2467" s="23"/>
      <c r="L2467" s="23"/>
      <c r="M2467" s="131"/>
      <c r="N2467" s="131"/>
      <c r="O2467" s="131"/>
    </row>
    <row r="2468" spans="4:15" x14ac:dyDescent="0.3">
      <c r="D2468" s="33"/>
      <c r="E2468" s="127"/>
      <c r="F2468" s="128"/>
      <c r="G2468" s="128"/>
      <c r="H2468" s="129"/>
      <c r="I2468" s="130"/>
      <c r="J2468" s="23"/>
      <c r="K2468" s="23"/>
      <c r="L2468" s="23"/>
      <c r="M2468" s="131"/>
      <c r="N2468" s="131"/>
      <c r="O2468" s="131"/>
    </row>
    <row r="2469" spans="4:15" x14ac:dyDescent="0.3">
      <c r="D2469" s="33"/>
      <c r="E2469" s="127"/>
      <c r="F2469" s="128"/>
      <c r="G2469" s="128"/>
      <c r="H2469" s="129"/>
      <c r="I2469" s="130"/>
      <c r="J2469" s="23"/>
      <c r="K2469" s="23"/>
      <c r="L2469" s="23"/>
      <c r="M2469" s="131"/>
      <c r="N2469" s="131"/>
      <c r="O2469" s="131"/>
    </row>
    <row r="2470" spans="4:15" x14ac:dyDescent="0.3">
      <c r="D2470" s="33"/>
      <c r="E2470" s="127"/>
      <c r="F2470" s="128"/>
      <c r="G2470" s="128"/>
      <c r="H2470" s="129"/>
      <c r="I2470" s="130"/>
      <c r="J2470" s="23"/>
      <c r="K2470" s="23"/>
      <c r="L2470" s="23"/>
      <c r="M2470" s="131"/>
      <c r="N2470" s="131"/>
      <c r="O2470" s="131"/>
    </row>
    <row r="2471" spans="4:15" x14ac:dyDescent="0.3">
      <c r="D2471" s="33"/>
      <c r="E2471" s="127"/>
      <c r="F2471" s="128"/>
      <c r="G2471" s="128"/>
      <c r="H2471" s="129"/>
      <c r="I2471" s="130"/>
      <c r="J2471" s="23"/>
      <c r="K2471" s="23"/>
      <c r="L2471" s="23"/>
      <c r="M2471" s="131"/>
      <c r="N2471" s="131"/>
      <c r="O2471" s="131"/>
    </row>
    <row r="2472" spans="4:15" x14ac:dyDescent="0.3">
      <c r="D2472" s="33"/>
      <c r="E2472" s="127"/>
      <c r="F2472" s="128"/>
      <c r="G2472" s="128"/>
      <c r="H2472" s="129"/>
      <c r="I2472" s="130"/>
      <c r="J2472" s="23"/>
      <c r="K2472" s="23"/>
      <c r="L2472" s="23"/>
      <c r="M2472" s="131"/>
      <c r="N2472" s="131"/>
      <c r="O2472" s="131"/>
    </row>
    <row r="2473" spans="4:15" x14ac:dyDescent="0.3">
      <c r="D2473" s="33"/>
      <c r="E2473" s="127"/>
      <c r="F2473" s="128"/>
      <c r="G2473" s="128"/>
      <c r="H2473" s="129"/>
      <c r="I2473" s="130"/>
      <c r="J2473" s="23"/>
      <c r="K2473" s="23"/>
      <c r="L2473" s="23"/>
      <c r="M2473" s="131"/>
      <c r="N2473" s="131"/>
      <c r="O2473" s="131"/>
    </row>
    <row r="2474" spans="4:15" x14ac:dyDescent="0.3">
      <c r="D2474" s="33"/>
      <c r="E2474" s="127"/>
      <c r="F2474" s="128"/>
      <c r="G2474" s="128"/>
      <c r="H2474" s="129"/>
      <c r="I2474" s="130"/>
      <c r="J2474" s="23"/>
      <c r="K2474" s="23"/>
      <c r="L2474" s="23"/>
      <c r="M2474" s="131"/>
      <c r="N2474" s="131"/>
      <c r="O2474" s="131"/>
    </row>
    <row r="2475" spans="4:15" x14ac:dyDescent="0.3">
      <c r="D2475" s="33"/>
      <c r="E2475" s="127"/>
      <c r="F2475" s="128"/>
      <c r="G2475" s="128"/>
      <c r="H2475" s="129"/>
      <c r="I2475" s="130"/>
      <c r="J2475" s="23"/>
      <c r="K2475" s="23"/>
      <c r="L2475" s="23"/>
      <c r="M2475" s="131"/>
      <c r="N2475" s="131"/>
      <c r="O2475" s="131"/>
    </row>
    <row r="2476" spans="4:15" x14ac:dyDescent="0.3">
      <c r="D2476" s="33"/>
      <c r="E2476" s="127"/>
      <c r="F2476" s="128"/>
      <c r="G2476" s="128"/>
      <c r="H2476" s="129"/>
      <c r="I2476" s="130"/>
      <c r="J2476" s="23"/>
      <c r="K2476" s="23"/>
      <c r="L2476" s="23"/>
      <c r="M2476" s="131"/>
      <c r="N2476" s="131"/>
      <c r="O2476" s="131"/>
    </row>
    <row r="2477" spans="4:15" x14ac:dyDescent="0.3">
      <c r="D2477" s="33"/>
      <c r="E2477" s="127"/>
      <c r="F2477" s="128"/>
      <c r="G2477" s="128"/>
      <c r="H2477" s="129"/>
      <c r="I2477" s="130"/>
      <c r="J2477" s="23"/>
      <c r="K2477" s="23"/>
      <c r="L2477" s="23"/>
      <c r="M2477" s="131"/>
      <c r="N2477" s="131"/>
      <c r="O2477" s="131"/>
    </row>
    <row r="2478" spans="4:15" x14ac:dyDescent="0.3">
      <c r="D2478" s="33"/>
      <c r="E2478" s="127"/>
      <c r="F2478" s="128"/>
      <c r="G2478" s="128"/>
      <c r="H2478" s="129"/>
      <c r="I2478" s="130"/>
      <c r="J2478" s="23"/>
      <c r="K2478" s="23"/>
      <c r="L2478" s="23"/>
      <c r="M2478" s="131"/>
      <c r="N2478" s="131"/>
      <c r="O2478" s="131"/>
    </row>
    <row r="2479" spans="4:15" x14ac:dyDescent="0.3">
      <c r="D2479" s="33"/>
      <c r="E2479" s="127"/>
      <c r="F2479" s="128"/>
      <c r="G2479" s="128"/>
      <c r="H2479" s="129"/>
      <c r="I2479" s="130"/>
      <c r="J2479" s="23"/>
      <c r="K2479" s="23"/>
      <c r="L2479" s="23"/>
      <c r="M2479" s="131"/>
      <c r="N2479" s="131"/>
      <c r="O2479" s="131"/>
    </row>
    <row r="2480" spans="4:15" x14ac:dyDescent="0.3">
      <c r="D2480" s="33"/>
      <c r="E2480" s="127"/>
      <c r="F2480" s="128"/>
      <c r="G2480" s="128"/>
      <c r="H2480" s="129"/>
      <c r="I2480" s="130"/>
      <c r="J2480" s="23"/>
      <c r="K2480" s="23"/>
      <c r="L2480" s="23"/>
      <c r="M2480" s="131"/>
      <c r="N2480" s="131"/>
      <c r="O2480" s="131"/>
    </row>
    <row r="2481" spans="4:15" x14ac:dyDescent="0.3">
      <c r="D2481" s="33"/>
      <c r="E2481" s="127"/>
      <c r="F2481" s="128"/>
      <c r="G2481" s="128"/>
      <c r="H2481" s="129"/>
      <c r="I2481" s="130"/>
      <c r="J2481" s="23"/>
      <c r="K2481" s="23"/>
      <c r="L2481" s="23"/>
      <c r="M2481" s="131"/>
      <c r="N2481" s="131"/>
      <c r="O2481" s="131"/>
    </row>
    <row r="2482" spans="4:15" x14ac:dyDescent="0.3">
      <c r="D2482" s="33"/>
      <c r="E2482" s="127"/>
      <c r="F2482" s="128"/>
      <c r="G2482" s="128"/>
      <c r="H2482" s="129"/>
      <c r="I2482" s="130"/>
      <c r="J2482" s="23"/>
      <c r="K2482" s="23"/>
      <c r="L2482" s="23"/>
      <c r="M2482" s="131"/>
      <c r="N2482" s="131"/>
      <c r="O2482" s="131"/>
    </row>
    <row r="2483" spans="4:15" x14ac:dyDescent="0.3">
      <c r="D2483" s="33"/>
      <c r="E2483" s="127"/>
      <c r="F2483" s="128"/>
      <c r="G2483" s="128"/>
      <c r="H2483" s="129"/>
      <c r="I2483" s="130"/>
      <c r="J2483" s="23"/>
      <c r="K2483" s="23"/>
      <c r="L2483" s="23"/>
      <c r="M2483" s="131"/>
      <c r="N2483" s="131"/>
      <c r="O2483" s="131"/>
    </row>
    <row r="2484" spans="4:15" x14ac:dyDescent="0.3">
      <c r="D2484" s="33"/>
      <c r="E2484" s="127"/>
      <c r="F2484" s="128"/>
      <c r="G2484" s="128"/>
      <c r="H2484" s="129"/>
      <c r="I2484" s="130"/>
      <c r="J2484" s="23"/>
      <c r="K2484" s="23"/>
      <c r="L2484" s="23"/>
      <c r="M2484" s="131"/>
      <c r="N2484" s="131"/>
      <c r="O2484" s="131"/>
    </row>
    <row r="2485" spans="4:15" x14ac:dyDescent="0.3">
      <c r="D2485" s="33"/>
      <c r="E2485" s="127"/>
      <c r="F2485" s="128"/>
      <c r="G2485" s="128"/>
      <c r="H2485" s="129"/>
      <c r="I2485" s="130"/>
      <c r="J2485" s="23"/>
      <c r="K2485" s="23"/>
      <c r="L2485" s="23"/>
      <c r="M2485" s="131"/>
      <c r="N2485" s="131"/>
      <c r="O2485" s="131"/>
    </row>
    <row r="2486" spans="4:15" x14ac:dyDescent="0.3">
      <c r="D2486" s="33"/>
      <c r="E2486" s="127"/>
      <c r="F2486" s="128"/>
      <c r="G2486" s="128"/>
      <c r="H2486" s="129"/>
      <c r="I2486" s="130"/>
      <c r="J2486" s="23"/>
      <c r="K2486" s="23"/>
      <c r="L2486" s="23"/>
      <c r="M2486" s="131"/>
      <c r="N2486" s="131"/>
      <c r="O2486" s="131"/>
    </row>
    <row r="2487" spans="4:15" x14ac:dyDescent="0.3">
      <c r="D2487" s="33"/>
      <c r="E2487" s="127"/>
      <c r="F2487" s="128"/>
      <c r="G2487" s="128"/>
      <c r="H2487" s="129"/>
      <c r="I2487" s="130"/>
      <c r="J2487" s="23"/>
      <c r="K2487" s="23"/>
      <c r="L2487" s="23"/>
      <c r="M2487" s="131"/>
      <c r="N2487" s="131"/>
      <c r="O2487" s="131"/>
    </row>
    <row r="2488" spans="4:15" x14ac:dyDescent="0.3">
      <c r="D2488" s="33"/>
      <c r="E2488" s="127"/>
      <c r="F2488" s="128"/>
      <c r="G2488" s="128"/>
      <c r="H2488" s="129"/>
      <c r="I2488" s="130"/>
      <c r="J2488" s="23"/>
      <c r="K2488" s="23"/>
      <c r="L2488" s="23"/>
      <c r="M2488" s="131"/>
      <c r="N2488" s="131"/>
      <c r="O2488" s="131"/>
    </row>
    <row r="2489" spans="4:15" x14ac:dyDescent="0.3">
      <c r="D2489" s="33"/>
      <c r="E2489" s="127"/>
      <c r="F2489" s="128"/>
      <c r="G2489" s="128"/>
      <c r="H2489" s="129"/>
      <c r="I2489" s="130"/>
      <c r="J2489" s="23"/>
      <c r="K2489" s="23"/>
      <c r="L2489" s="23"/>
      <c r="M2489" s="131"/>
      <c r="N2489" s="131"/>
      <c r="O2489" s="131"/>
    </row>
    <row r="2490" spans="4:15" x14ac:dyDescent="0.3">
      <c r="D2490" s="33"/>
      <c r="E2490" s="127"/>
      <c r="F2490" s="128"/>
      <c r="G2490" s="128"/>
      <c r="H2490" s="129"/>
      <c r="I2490" s="130"/>
      <c r="J2490" s="23"/>
      <c r="K2490" s="23"/>
      <c r="L2490" s="23"/>
      <c r="M2490" s="131"/>
      <c r="N2490" s="131"/>
      <c r="O2490" s="131"/>
    </row>
    <row r="2491" spans="4:15" x14ac:dyDescent="0.3">
      <c r="D2491" s="33"/>
      <c r="E2491" s="127"/>
      <c r="F2491" s="128"/>
      <c r="G2491" s="128"/>
      <c r="H2491" s="129"/>
      <c r="I2491" s="130"/>
      <c r="J2491" s="23"/>
      <c r="K2491" s="23"/>
      <c r="L2491" s="23"/>
      <c r="M2491" s="131"/>
      <c r="N2491" s="131"/>
      <c r="O2491" s="131"/>
    </row>
    <row r="2492" spans="4:15" x14ac:dyDescent="0.3">
      <c r="D2492" s="33"/>
      <c r="E2492" s="127"/>
      <c r="F2492" s="128"/>
      <c r="G2492" s="128"/>
      <c r="H2492" s="129"/>
      <c r="I2492" s="130"/>
      <c r="J2492" s="23"/>
      <c r="K2492" s="23"/>
      <c r="L2492" s="23"/>
      <c r="M2492" s="131"/>
      <c r="N2492" s="131"/>
      <c r="O2492" s="131"/>
    </row>
    <row r="2493" spans="4:15" x14ac:dyDescent="0.3">
      <c r="D2493" s="33"/>
      <c r="E2493" s="127"/>
      <c r="F2493" s="128"/>
      <c r="G2493" s="128"/>
      <c r="H2493" s="129"/>
      <c r="I2493" s="130"/>
      <c r="J2493" s="23"/>
      <c r="K2493" s="23"/>
      <c r="L2493" s="23"/>
      <c r="M2493" s="131"/>
      <c r="N2493" s="131"/>
      <c r="O2493" s="131"/>
    </row>
    <row r="2494" spans="4:15" x14ac:dyDescent="0.3">
      <c r="D2494" s="33"/>
      <c r="E2494" s="127"/>
      <c r="F2494" s="128"/>
      <c r="G2494" s="128"/>
      <c r="H2494" s="129"/>
      <c r="I2494" s="130"/>
      <c r="J2494" s="23"/>
      <c r="K2494" s="23"/>
      <c r="L2494" s="23"/>
      <c r="M2494" s="131"/>
      <c r="N2494" s="131"/>
      <c r="O2494" s="131"/>
    </row>
    <row r="2495" spans="4:15" x14ac:dyDescent="0.3">
      <c r="D2495" s="33"/>
      <c r="E2495" s="127"/>
      <c r="F2495" s="128"/>
      <c r="G2495" s="128"/>
      <c r="H2495" s="129"/>
      <c r="I2495" s="130"/>
      <c r="J2495" s="23"/>
      <c r="K2495" s="23"/>
      <c r="L2495" s="23"/>
      <c r="M2495" s="131"/>
      <c r="N2495" s="131"/>
      <c r="O2495" s="131"/>
    </row>
    <row r="2496" spans="4:15" x14ac:dyDescent="0.3">
      <c r="D2496" s="33"/>
      <c r="E2496" s="127"/>
      <c r="F2496" s="128"/>
      <c r="G2496" s="128"/>
      <c r="H2496" s="129"/>
      <c r="I2496" s="130"/>
      <c r="J2496" s="23"/>
      <c r="K2496" s="23"/>
      <c r="L2496" s="23"/>
      <c r="M2496" s="131"/>
      <c r="N2496" s="131"/>
      <c r="O2496" s="131"/>
    </row>
    <row r="2497" spans="4:15" x14ac:dyDescent="0.3">
      <c r="D2497" s="33"/>
      <c r="E2497" s="127"/>
      <c r="F2497" s="128"/>
      <c r="G2497" s="128"/>
      <c r="H2497" s="129"/>
      <c r="I2497" s="130"/>
      <c r="J2497" s="23"/>
      <c r="K2497" s="23"/>
      <c r="L2497" s="23"/>
      <c r="M2497" s="131"/>
      <c r="N2497" s="131"/>
      <c r="O2497" s="131"/>
    </row>
    <row r="2498" spans="4:15" x14ac:dyDescent="0.3">
      <c r="D2498" s="33"/>
      <c r="E2498" s="127"/>
      <c r="F2498" s="128"/>
      <c r="G2498" s="128"/>
      <c r="H2498" s="129"/>
      <c r="I2498" s="130"/>
      <c r="J2498" s="23"/>
      <c r="K2498" s="23"/>
      <c r="L2498" s="23"/>
      <c r="M2498" s="131"/>
      <c r="N2498" s="131"/>
      <c r="O2498" s="131"/>
    </row>
    <row r="2499" spans="4:15" x14ac:dyDescent="0.3">
      <c r="D2499" s="33"/>
      <c r="E2499" s="127"/>
      <c r="F2499" s="128"/>
      <c r="G2499" s="128"/>
      <c r="H2499" s="129"/>
      <c r="I2499" s="130"/>
      <c r="J2499" s="23"/>
      <c r="K2499" s="23"/>
      <c r="L2499" s="23"/>
      <c r="M2499" s="131"/>
      <c r="N2499" s="131"/>
      <c r="O2499" s="131"/>
    </row>
    <row r="2500" spans="4:15" x14ac:dyDescent="0.3">
      <c r="D2500" s="33"/>
      <c r="E2500" s="127"/>
      <c r="F2500" s="128"/>
      <c r="G2500" s="128"/>
      <c r="H2500" s="129"/>
      <c r="I2500" s="130"/>
      <c r="J2500" s="23"/>
      <c r="K2500" s="23"/>
      <c r="L2500" s="23"/>
      <c r="M2500" s="131"/>
      <c r="N2500" s="131"/>
      <c r="O2500" s="131"/>
    </row>
    <row r="2501" spans="4:15" x14ac:dyDescent="0.3">
      <c r="D2501" s="33"/>
      <c r="E2501" s="127"/>
      <c r="F2501" s="128"/>
      <c r="G2501" s="128"/>
      <c r="H2501" s="129"/>
      <c r="I2501" s="130"/>
      <c r="J2501" s="23"/>
      <c r="K2501" s="23"/>
      <c r="L2501" s="23"/>
      <c r="M2501" s="131"/>
      <c r="N2501" s="131"/>
      <c r="O2501" s="131"/>
    </row>
    <row r="2502" spans="4:15" x14ac:dyDescent="0.3">
      <c r="D2502" s="33"/>
      <c r="E2502" s="127"/>
      <c r="F2502" s="128"/>
      <c r="G2502" s="128"/>
      <c r="H2502" s="129"/>
      <c r="I2502" s="130"/>
      <c r="J2502" s="23"/>
      <c r="K2502" s="23"/>
      <c r="L2502" s="23"/>
      <c r="M2502" s="131"/>
      <c r="N2502" s="131"/>
      <c r="O2502" s="131"/>
    </row>
    <row r="2503" spans="4:15" x14ac:dyDescent="0.3">
      <c r="D2503" s="33"/>
      <c r="E2503" s="127"/>
      <c r="F2503" s="128"/>
      <c r="G2503" s="128"/>
      <c r="H2503" s="129"/>
      <c r="I2503" s="130"/>
      <c r="J2503" s="23"/>
      <c r="K2503" s="23"/>
      <c r="L2503" s="23"/>
      <c r="M2503" s="131"/>
      <c r="N2503" s="131"/>
      <c r="O2503" s="131"/>
    </row>
    <row r="2504" spans="4:15" x14ac:dyDescent="0.3">
      <c r="D2504" s="33"/>
      <c r="E2504" s="127"/>
      <c r="F2504" s="128"/>
      <c r="G2504" s="128"/>
      <c r="H2504" s="129"/>
      <c r="I2504" s="130"/>
      <c r="J2504" s="23"/>
      <c r="K2504" s="23"/>
      <c r="L2504" s="23"/>
      <c r="M2504" s="131"/>
      <c r="N2504" s="131"/>
      <c r="O2504" s="131"/>
    </row>
    <row r="2505" spans="4:15" x14ac:dyDescent="0.3">
      <c r="D2505" s="33"/>
      <c r="E2505" s="127"/>
      <c r="F2505" s="128"/>
      <c r="G2505" s="128"/>
      <c r="H2505" s="129"/>
      <c r="I2505" s="130"/>
      <c r="J2505" s="23"/>
      <c r="K2505" s="23"/>
      <c r="L2505" s="23"/>
      <c r="M2505" s="131"/>
      <c r="N2505" s="131"/>
      <c r="O2505" s="131"/>
    </row>
    <row r="2506" spans="4:15" x14ac:dyDescent="0.3">
      <c r="D2506" s="33"/>
      <c r="E2506" s="127"/>
      <c r="F2506" s="128"/>
      <c r="G2506" s="128"/>
      <c r="H2506" s="129"/>
      <c r="I2506" s="130"/>
      <c r="J2506" s="23"/>
      <c r="K2506" s="23"/>
      <c r="L2506" s="23"/>
      <c r="M2506" s="131"/>
      <c r="N2506" s="131"/>
      <c r="O2506" s="131"/>
    </row>
    <row r="2507" spans="4:15" x14ac:dyDescent="0.3">
      <c r="D2507" s="33"/>
      <c r="E2507" s="127"/>
      <c r="F2507" s="128"/>
      <c r="G2507" s="128"/>
      <c r="H2507" s="129"/>
      <c r="I2507" s="130"/>
      <c r="J2507" s="23"/>
      <c r="K2507" s="23"/>
      <c r="L2507" s="23"/>
      <c r="M2507" s="131"/>
      <c r="N2507" s="131"/>
      <c r="O2507" s="131"/>
    </row>
    <row r="2508" spans="4:15" x14ac:dyDescent="0.3">
      <c r="D2508" s="33"/>
      <c r="E2508" s="127"/>
      <c r="F2508" s="128"/>
      <c r="G2508" s="128"/>
      <c r="H2508" s="129"/>
      <c r="I2508" s="130"/>
      <c r="J2508" s="23"/>
      <c r="K2508" s="23"/>
      <c r="L2508" s="23"/>
      <c r="M2508" s="131"/>
      <c r="N2508" s="131"/>
      <c r="O2508" s="131"/>
    </row>
    <row r="2509" spans="4:15" x14ac:dyDescent="0.3">
      <c r="D2509" s="33"/>
      <c r="E2509" s="127"/>
      <c r="F2509" s="128"/>
      <c r="G2509" s="128"/>
      <c r="H2509" s="129"/>
      <c r="I2509" s="130"/>
      <c r="J2509" s="23"/>
      <c r="K2509" s="23"/>
      <c r="L2509" s="23"/>
      <c r="M2509" s="131"/>
      <c r="N2509" s="131"/>
      <c r="O2509" s="131"/>
    </row>
    <row r="2510" spans="4:15" x14ac:dyDescent="0.3">
      <c r="D2510" s="33"/>
      <c r="E2510" s="127"/>
      <c r="F2510" s="128"/>
      <c r="G2510" s="128"/>
      <c r="H2510" s="129"/>
      <c r="I2510" s="130"/>
      <c r="J2510" s="23"/>
      <c r="K2510" s="23"/>
      <c r="L2510" s="23"/>
      <c r="M2510" s="131"/>
      <c r="N2510" s="131"/>
      <c r="O2510" s="131"/>
    </row>
    <row r="2511" spans="4:15" x14ac:dyDescent="0.3">
      <c r="D2511" s="33"/>
      <c r="E2511" s="127"/>
      <c r="F2511" s="128"/>
      <c r="G2511" s="128"/>
      <c r="H2511" s="129"/>
      <c r="I2511" s="130"/>
      <c r="J2511" s="23"/>
      <c r="K2511" s="23"/>
      <c r="L2511" s="23"/>
      <c r="M2511" s="131"/>
      <c r="N2511" s="131"/>
      <c r="O2511" s="131"/>
    </row>
    <row r="2512" spans="4:15" x14ac:dyDescent="0.3">
      <c r="D2512" s="33"/>
      <c r="E2512" s="127"/>
      <c r="F2512" s="128"/>
      <c r="G2512" s="128"/>
      <c r="H2512" s="129"/>
      <c r="I2512" s="130"/>
      <c r="J2512" s="23"/>
      <c r="K2512" s="23"/>
      <c r="L2512" s="23"/>
      <c r="M2512" s="131"/>
      <c r="N2512" s="131"/>
      <c r="O2512" s="131"/>
    </row>
    <row r="2513" spans="4:15" x14ac:dyDescent="0.3">
      <c r="D2513" s="33"/>
      <c r="E2513" s="127"/>
      <c r="F2513" s="128"/>
      <c r="G2513" s="128"/>
      <c r="H2513" s="129"/>
      <c r="I2513" s="130"/>
      <c r="J2513" s="23"/>
      <c r="K2513" s="23"/>
      <c r="L2513" s="23"/>
      <c r="M2513" s="131"/>
      <c r="N2513" s="131"/>
      <c r="O2513" s="131"/>
    </row>
    <row r="2514" spans="4:15" x14ac:dyDescent="0.3">
      <c r="D2514" s="33"/>
      <c r="E2514" s="127"/>
      <c r="F2514" s="128"/>
      <c r="G2514" s="128"/>
      <c r="H2514" s="129"/>
      <c r="I2514" s="130"/>
      <c r="J2514" s="23"/>
      <c r="K2514" s="23"/>
      <c r="L2514" s="23"/>
      <c r="M2514" s="131"/>
      <c r="N2514" s="131"/>
      <c r="O2514" s="131"/>
    </row>
    <row r="2515" spans="4:15" x14ac:dyDescent="0.3">
      <c r="D2515" s="33"/>
      <c r="E2515" s="127"/>
      <c r="F2515" s="128"/>
      <c r="G2515" s="128"/>
      <c r="H2515" s="129"/>
      <c r="I2515" s="130"/>
      <c r="J2515" s="23"/>
      <c r="K2515" s="23"/>
      <c r="L2515" s="23"/>
      <c r="M2515" s="131"/>
      <c r="N2515" s="131"/>
      <c r="O2515" s="131"/>
    </row>
    <row r="2516" spans="4:15" x14ac:dyDescent="0.3">
      <c r="D2516" s="33"/>
      <c r="E2516" s="127"/>
      <c r="F2516" s="128"/>
      <c r="G2516" s="128"/>
      <c r="H2516" s="129"/>
      <c r="I2516" s="130"/>
      <c r="J2516" s="23"/>
      <c r="K2516" s="23"/>
      <c r="L2516" s="23"/>
      <c r="M2516" s="131"/>
      <c r="N2516" s="131"/>
      <c r="O2516" s="131"/>
    </row>
    <row r="2517" spans="4:15" x14ac:dyDescent="0.3">
      <c r="D2517" s="33"/>
      <c r="E2517" s="127"/>
      <c r="F2517" s="128"/>
      <c r="G2517" s="128"/>
      <c r="H2517" s="129"/>
      <c r="I2517" s="130"/>
      <c r="J2517" s="23"/>
      <c r="K2517" s="23"/>
      <c r="L2517" s="23"/>
      <c r="M2517" s="131"/>
      <c r="N2517" s="131"/>
      <c r="O2517" s="131"/>
    </row>
    <row r="2518" spans="4:15" x14ac:dyDescent="0.3">
      <c r="D2518" s="33"/>
      <c r="E2518" s="127"/>
      <c r="F2518" s="128"/>
      <c r="G2518" s="128"/>
      <c r="H2518" s="129"/>
      <c r="I2518" s="130"/>
      <c r="J2518" s="23"/>
      <c r="K2518" s="23"/>
      <c r="L2518" s="23"/>
      <c r="M2518" s="131"/>
      <c r="N2518" s="131"/>
      <c r="O2518" s="131"/>
    </row>
    <row r="2519" spans="4:15" x14ac:dyDescent="0.3">
      <c r="D2519" s="33"/>
      <c r="E2519" s="127"/>
      <c r="F2519" s="128"/>
      <c r="G2519" s="128"/>
      <c r="H2519" s="129"/>
      <c r="I2519" s="130"/>
      <c r="J2519" s="23"/>
      <c r="K2519" s="23"/>
      <c r="L2519" s="23"/>
      <c r="M2519" s="131"/>
      <c r="N2519" s="131"/>
      <c r="O2519" s="131"/>
    </row>
    <row r="2520" spans="4:15" x14ac:dyDescent="0.3">
      <c r="D2520" s="33"/>
      <c r="E2520" s="127"/>
      <c r="F2520" s="128"/>
      <c r="G2520" s="128"/>
      <c r="H2520" s="129"/>
      <c r="I2520" s="130"/>
      <c r="J2520" s="23"/>
      <c r="K2520" s="23"/>
      <c r="L2520" s="23"/>
      <c r="M2520" s="131"/>
      <c r="N2520" s="131"/>
      <c r="O2520" s="131"/>
    </row>
    <row r="2521" spans="4:15" x14ac:dyDescent="0.3">
      <c r="D2521" s="33"/>
      <c r="E2521" s="127"/>
      <c r="F2521" s="128"/>
      <c r="G2521" s="128"/>
      <c r="H2521" s="129"/>
      <c r="I2521" s="130"/>
      <c r="J2521" s="23"/>
      <c r="K2521" s="23"/>
      <c r="L2521" s="23"/>
      <c r="M2521" s="131"/>
      <c r="N2521" s="131"/>
      <c r="O2521" s="131"/>
    </row>
    <row r="2522" spans="4:15" x14ac:dyDescent="0.3">
      <c r="D2522" s="33"/>
      <c r="E2522" s="127"/>
      <c r="F2522" s="128"/>
      <c r="G2522" s="128"/>
      <c r="H2522" s="129"/>
      <c r="I2522" s="130"/>
      <c r="J2522" s="23"/>
      <c r="K2522" s="23"/>
      <c r="L2522" s="23"/>
      <c r="M2522" s="131"/>
      <c r="N2522" s="131"/>
      <c r="O2522" s="131"/>
    </row>
    <row r="2523" spans="4:15" x14ac:dyDescent="0.3">
      <c r="D2523" s="33"/>
      <c r="E2523" s="127"/>
      <c r="F2523" s="128"/>
      <c r="G2523" s="128"/>
      <c r="H2523" s="129"/>
      <c r="I2523" s="130"/>
      <c r="J2523" s="23"/>
      <c r="K2523" s="23"/>
      <c r="L2523" s="23"/>
      <c r="M2523" s="131"/>
      <c r="N2523" s="131"/>
      <c r="O2523" s="131"/>
    </row>
    <row r="2524" spans="4:15" x14ac:dyDescent="0.3">
      <c r="D2524" s="33"/>
      <c r="E2524" s="127"/>
      <c r="F2524" s="128"/>
      <c r="G2524" s="128"/>
      <c r="H2524" s="129"/>
      <c r="I2524" s="130"/>
      <c r="J2524" s="23"/>
      <c r="K2524" s="23"/>
      <c r="L2524" s="23"/>
      <c r="M2524" s="131"/>
      <c r="N2524" s="131"/>
      <c r="O2524" s="131"/>
    </row>
    <row r="2525" spans="4:15" x14ac:dyDescent="0.3">
      <c r="D2525" s="33"/>
      <c r="E2525" s="127"/>
      <c r="F2525" s="128"/>
      <c r="G2525" s="128"/>
      <c r="H2525" s="129"/>
      <c r="I2525" s="130"/>
      <c r="J2525" s="23"/>
      <c r="K2525" s="23"/>
      <c r="L2525" s="23"/>
      <c r="M2525" s="131"/>
      <c r="N2525" s="131"/>
      <c r="O2525" s="131"/>
    </row>
    <row r="2526" spans="4:15" x14ac:dyDescent="0.3">
      <c r="D2526" s="33"/>
      <c r="E2526" s="127"/>
      <c r="F2526" s="128"/>
      <c r="G2526" s="128"/>
      <c r="H2526" s="129"/>
      <c r="I2526" s="130"/>
      <c r="J2526" s="23"/>
      <c r="K2526" s="23"/>
      <c r="L2526" s="23"/>
      <c r="M2526" s="131"/>
      <c r="N2526" s="131"/>
      <c r="O2526" s="131"/>
    </row>
    <row r="2527" spans="4:15" x14ac:dyDescent="0.3">
      <c r="D2527" s="33"/>
      <c r="E2527" s="127"/>
      <c r="F2527" s="128"/>
      <c r="G2527" s="128"/>
      <c r="H2527" s="129"/>
      <c r="I2527" s="130"/>
      <c r="J2527" s="23"/>
      <c r="K2527" s="23"/>
      <c r="L2527" s="23"/>
      <c r="M2527" s="131"/>
      <c r="N2527" s="131"/>
      <c r="O2527" s="131"/>
    </row>
    <row r="2528" spans="4:15" x14ac:dyDescent="0.3">
      <c r="D2528" s="33"/>
      <c r="E2528" s="127"/>
      <c r="F2528" s="128"/>
      <c r="G2528" s="128"/>
      <c r="H2528" s="129"/>
      <c r="I2528" s="130"/>
      <c r="J2528" s="23"/>
      <c r="K2528" s="23"/>
      <c r="L2528" s="23"/>
      <c r="M2528" s="131"/>
      <c r="N2528" s="131"/>
      <c r="O2528" s="131"/>
    </row>
    <row r="2529" spans="4:15" x14ac:dyDescent="0.3">
      <c r="D2529" s="33"/>
      <c r="E2529" s="127"/>
      <c r="F2529" s="128"/>
      <c r="G2529" s="128"/>
      <c r="H2529" s="129"/>
      <c r="I2529" s="130"/>
      <c r="J2529" s="23"/>
      <c r="K2529" s="23"/>
      <c r="L2529" s="23"/>
      <c r="M2529" s="131"/>
      <c r="N2529" s="131"/>
      <c r="O2529" s="131"/>
    </row>
    <row r="2530" spans="4:15" x14ac:dyDescent="0.3">
      <c r="D2530" s="33"/>
      <c r="E2530" s="127"/>
      <c r="F2530" s="128"/>
      <c r="G2530" s="128"/>
      <c r="H2530" s="129"/>
      <c r="I2530" s="130"/>
      <c r="J2530" s="23"/>
      <c r="K2530" s="23"/>
      <c r="L2530" s="23"/>
      <c r="M2530" s="131"/>
      <c r="N2530" s="131"/>
      <c r="O2530" s="131"/>
    </row>
    <row r="2531" spans="4:15" x14ac:dyDescent="0.3">
      <c r="D2531" s="33"/>
      <c r="E2531" s="127"/>
      <c r="F2531" s="128"/>
      <c r="G2531" s="128"/>
      <c r="H2531" s="129"/>
      <c r="I2531" s="130"/>
      <c r="J2531" s="23"/>
      <c r="K2531" s="23"/>
      <c r="L2531" s="23"/>
      <c r="M2531" s="131"/>
      <c r="N2531" s="131"/>
      <c r="O2531" s="131"/>
    </row>
    <row r="2532" spans="4:15" x14ac:dyDescent="0.3">
      <c r="D2532" s="33"/>
      <c r="E2532" s="127"/>
      <c r="F2532" s="128"/>
      <c r="G2532" s="128"/>
      <c r="H2532" s="129"/>
      <c r="I2532" s="130"/>
      <c r="J2532" s="23"/>
      <c r="K2532" s="23"/>
      <c r="L2532" s="23"/>
      <c r="M2532" s="131"/>
      <c r="N2532" s="131"/>
      <c r="O2532" s="131"/>
    </row>
    <row r="2533" spans="4:15" x14ac:dyDescent="0.3">
      <c r="D2533" s="33"/>
      <c r="E2533" s="127"/>
      <c r="F2533" s="128"/>
      <c r="G2533" s="128"/>
      <c r="H2533" s="129"/>
      <c r="I2533" s="130"/>
      <c r="J2533" s="23"/>
      <c r="K2533" s="23"/>
      <c r="L2533" s="23"/>
      <c r="M2533" s="131"/>
      <c r="N2533" s="131"/>
      <c r="O2533" s="131"/>
    </row>
    <row r="2534" spans="4:15" x14ac:dyDescent="0.3">
      <c r="D2534" s="33"/>
      <c r="E2534" s="127"/>
      <c r="F2534" s="128"/>
      <c r="G2534" s="128"/>
      <c r="H2534" s="129"/>
      <c r="I2534" s="130"/>
      <c r="J2534" s="23"/>
      <c r="K2534" s="23"/>
      <c r="L2534" s="23"/>
      <c r="M2534" s="131"/>
      <c r="N2534" s="131"/>
      <c r="O2534" s="131"/>
    </row>
    <row r="2535" spans="4:15" x14ac:dyDescent="0.3">
      <c r="D2535" s="33"/>
      <c r="E2535" s="127"/>
      <c r="F2535" s="128"/>
      <c r="G2535" s="128"/>
      <c r="H2535" s="129"/>
      <c r="I2535" s="130"/>
      <c r="J2535" s="23"/>
      <c r="K2535" s="23"/>
      <c r="L2535" s="23"/>
      <c r="M2535" s="131"/>
      <c r="N2535" s="131"/>
      <c r="O2535" s="131"/>
    </row>
    <row r="2536" spans="4:15" x14ac:dyDescent="0.3">
      <c r="D2536" s="33"/>
      <c r="E2536" s="127"/>
      <c r="F2536" s="128"/>
      <c r="G2536" s="128"/>
      <c r="H2536" s="129"/>
      <c r="I2536" s="130"/>
      <c r="J2536" s="23"/>
      <c r="K2536" s="23"/>
      <c r="L2536" s="23"/>
      <c r="M2536" s="131"/>
      <c r="N2536" s="131"/>
      <c r="O2536" s="131"/>
    </row>
    <row r="2537" spans="4:15" x14ac:dyDescent="0.3">
      <c r="D2537" s="33"/>
      <c r="E2537" s="127"/>
      <c r="F2537" s="128"/>
      <c r="G2537" s="128"/>
      <c r="H2537" s="129"/>
      <c r="I2537" s="130"/>
      <c r="J2537" s="23"/>
      <c r="K2537" s="23"/>
      <c r="L2537" s="23"/>
      <c r="M2537" s="131"/>
      <c r="N2537" s="131"/>
      <c r="O2537" s="131"/>
    </row>
    <row r="2538" spans="4:15" x14ac:dyDescent="0.3">
      <c r="D2538" s="33"/>
      <c r="E2538" s="127"/>
      <c r="F2538" s="128"/>
      <c r="G2538" s="128"/>
      <c r="H2538" s="129"/>
      <c r="I2538" s="130"/>
      <c r="J2538" s="23"/>
      <c r="K2538" s="23"/>
      <c r="L2538" s="23"/>
      <c r="M2538" s="131"/>
      <c r="N2538" s="131"/>
      <c r="O2538" s="131"/>
    </row>
    <row r="2539" spans="4:15" x14ac:dyDescent="0.3">
      <c r="D2539" s="33"/>
      <c r="E2539" s="127"/>
      <c r="F2539" s="128"/>
      <c r="G2539" s="128"/>
      <c r="H2539" s="129"/>
      <c r="I2539" s="130"/>
      <c r="J2539" s="23"/>
      <c r="K2539" s="23"/>
      <c r="L2539" s="23"/>
      <c r="M2539" s="131"/>
      <c r="N2539" s="131"/>
      <c r="O2539" s="131"/>
    </row>
    <row r="2540" spans="4:15" x14ac:dyDescent="0.3">
      <c r="D2540" s="33"/>
      <c r="E2540" s="127"/>
      <c r="F2540" s="128"/>
      <c r="G2540" s="128"/>
      <c r="H2540" s="129"/>
      <c r="I2540" s="130"/>
      <c r="J2540" s="23"/>
      <c r="K2540" s="23"/>
      <c r="L2540" s="23"/>
      <c r="M2540" s="131"/>
      <c r="N2540" s="131"/>
      <c r="O2540" s="131"/>
    </row>
    <row r="2541" spans="4:15" x14ac:dyDescent="0.3">
      <c r="D2541" s="33"/>
      <c r="E2541" s="127"/>
      <c r="F2541" s="128"/>
      <c r="G2541" s="128"/>
      <c r="H2541" s="129"/>
      <c r="I2541" s="130"/>
      <c r="J2541" s="23"/>
      <c r="K2541" s="23"/>
      <c r="L2541" s="23"/>
      <c r="M2541" s="131"/>
      <c r="N2541" s="131"/>
      <c r="O2541" s="131"/>
    </row>
    <row r="2542" spans="4:15" x14ac:dyDescent="0.3">
      <c r="D2542" s="33"/>
      <c r="E2542" s="127"/>
      <c r="F2542" s="128"/>
      <c r="G2542" s="128"/>
      <c r="H2542" s="129"/>
      <c r="I2542" s="130"/>
      <c r="J2542" s="23"/>
      <c r="K2542" s="23"/>
      <c r="L2542" s="23"/>
      <c r="M2542" s="131"/>
      <c r="N2542" s="131"/>
      <c r="O2542" s="131"/>
    </row>
    <row r="2543" spans="4:15" x14ac:dyDescent="0.3">
      <c r="D2543" s="33"/>
      <c r="E2543" s="127"/>
      <c r="F2543" s="128"/>
      <c r="G2543" s="128"/>
      <c r="H2543" s="129"/>
      <c r="I2543" s="130"/>
      <c r="J2543" s="23"/>
      <c r="K2543" s="23"/>
      <c r="L2543" s="23"/>
      <c r="M2543" s="131"/>
      <c r="N2543" s="131"/>
      <c r="O2543" s="131"/>
    </row>
    <row r="2544" spans="4:15" x14ac:dyDescent="0.3">
      <c r="D2544" s="33"/>
      <c r="E2544" s="127"/>
      <c r="F2544" s="128"/>
      <c r="G2544" s="128"/>
      <c r="H2544" s="129"/>
      <c r="I2544" s="130"/>
      <c r="J2544" s="23"/>
      <c r="K2544" s="23"/>
      <c r="L2544" s="23"/>
      <c r="M2544" s="131"/>
      <c r="N2544" s="131"/>
      <c r="O2544" s="131"/>
    </row>
    <row r="2545" spans="4:15" x14ac:dyDescent="0.3">
      <c r="D2545" s="33"/>
      <c r="E2545" s="127"/>
      <c r="F2545" s="128"/>
      <c r="G2545" s="128"/>
      <c r="H2545" s="129"/>
      <c r="I2545" s="130"/>
      <c r="J2545" s="23"/>
      <c r="K2545" s="23"/>
      <c r="L2545" s="23"/>
      <c r="M2545" s="131"/>
      <c r="N2545" s="131"/>
      <c r="O2545" s="131"/>
    </row>
    <row r="2546" spans="4:15" x14ac:dyDescent="0.3">
      <c r="D2546" s="33"/>
      <c r="E2546" s="127"/>
      <c r="F2546" s="128"/>
      <c r="G2546" s="128"/>
      <c r="H2546" s="129"/>
      <c r="I2546" s="130"/>
      <c r="J2546" s="23"/>
      <c r="K2546" s="23"/>
      <c r="L2546" s="23"/>
      <c r="M2546" s="131"/>
      <c r="N2546" s="131"/>
      <c r="O2546" s="131"/>
    </row>
    <row r="2547" spans="4:15" x14ac:dyDescent="0.3">
      <c r="D2547" s="33"/>
      <c r="E2547" s="127"/>
      <c r="F2547" s="128"/>
      <c r="G2547" s="128"/>
      <c r="H2547" s="129"/>
      <c r="I2547" s="130"/>
      <c r="J2547" s="23"/>
      <c r="K2547" s="23"/>
      <c r="L2547" s="23"/>
      <c r="M2547" s="131"/>
      <c r="N2547" s="131"/>
      <c r="O2547" s="131"/>
    </row>
    <row r="2548" spans="4:15" x14ac:dyDescent="0.3">
      <c r="D2548" s="33"/>
      <c r="E2548" s="127"/>
      <c r="F2548" s="128"/>
      <c r="G2548" s="128"/>
      <c r="H2548" s="129"/>
      <c r="I2548" s="130"/>
      <c r="J2548" s="23"/>
      <c r="K2548" s="23"/>
      <c r="L2548" s="23"/>
      <c r="M2548" s="131"/>
      <c r="N2548" s="131"/>
      <c r="O2548" s="131"/>
    </row>
    <row r="2549" spans="4:15" x14ac:dyDescent="0.3">
      <c r="D2549" s="33"/>
      <c r="E2549" s="127"/>
      <c r="F2549" s="128"/>
      <c r="G2549" s="128"/>
      <c r="H2549" s="129"/>
      <c r="I2549" s="130"/>
      <c r="J2549" s="23"/>
      <c r="K2549" s="23"/>
      <c r="L2549" s="23"/>
      <c r="M2549" s="131"/>
      <c r="N2549" s="131"/>
      <c r="O2549" s="131"/>
    </row>
    <row r="2550" spans="4:15" x14ac:dyDescent="0.3">
      <c r="D2550" s="33"/>
      <c r="E2550" s="127"/>
      <c r="F2550" s="128"/>
      <c r="G2550" s="128"/>
      <c r="H2550" s="129"/>
      <c r="I2550" s="130"/>
      <c r="J2550" s="23"/>
      <c r="K2550" s="23"/>
      <c r="L2550" s="23"/>
      <c r="M2550" s="131"/>
      <c r="N2550" s="131"/>
      <c r="O2550" s="131"/>
    </row>
    <row r="2551" spans="4:15" x14ac:dyDescent="0.3">
      <c r="D2551" s="33"/>
      <c r="E2551" s="127"/>
      <c r="F2551" s="128"/>
      <c r="G2551" s="128"/>
      <c r="H2551" s="129"/>
      <c r="I2551" s="130"/>
      <c r="J2551" s="23"/>
      <c r="K2551" s="23"/>
      <c r="L2551" s="23"/>
      <c r="M2551" s="131"/>
      <c r="N2551" s="131"/>
      <c r="O2551" s="131"/>
    </row>
    <row r="2552" spans="4:15" x14ac:dyDescent="0.3">
      <c r="D2552" s="33"/>
      <c r="E2552" s="127"/>
      <c r="F2552" s="128"/>
      <c r="G2552" s="128"/>
      <c r="H2552" s="129"/>
      <c r="I2552" s="130"/>
      <c r="J2552" s="23"/>
      <c r="K2552" s="23"/>
      <c r="L2552" s="23"/>
      <c r="M2552" s="131"/>
      <c r="N2552" s="131"/>
      <c r="O2552" s="131"/>
    </row>
    <row r="2553" spans="4:15" x14ac:dyDescent="0.3">
      <c r="D2553" s="33"/>
      <c r="E2553" s="127"/>
      <c r="F2553" s="128"/>
      <c r="G2553" s="128"/>
      <c r="H2553" s="129"/>
      <c r="I2553" s="130"/>
      <c r="J2553" s="23"/>
      <c r="K2553" s="23"/>
      <c r="L2553" s="23"/>
      <c r="M2553" s="131"/>
      <c r="N2553" s="131"/>
      <c r="O2553" s="131"/>
    </row>
    <row r="2554" spans="4:15" x14ac:dyDescent="0.3">
      <c r="D2554" s="33"/>
      <c r="E2554" s="127"/>
      <c r="F2554" s="128"/>
      <c r="G2554" s="128"/>
      <c r="H2554" s="129"/>
      <c r="I2554" s="130"/>
      <c r="J2554" s="23"/>
      <c r="K2554" s="23"/>
      <c r="L2554" s="23"/>
      <c r="M2554" s="131"/>
      <c r="N2554" s="131"/>
      <c r="O2554" s="131"/>
    </row>
    <row r="2555" spans="4:15" x14ac:dyDescent="0.3">
      <c r="D2555" s="33"/>
      <c r="E2555" s="127"/>
      <c r="F2555" s="128"/>
      <c r="G2555" s="128"/>
      <c r="H2555" s="129"/>
      <c r="I2555" s="130"/>
      <c r="J2555" s="23"/>
      <c r="K2555" s="23"/>
      <c r="L2555" s="23"/>
      <c r="M2555" s="131"/>
      <c r="N2555" s="131"/>
      <c r="O2555" s="131"/>
    </row>
    <row r="2556" spans="4:15" x14ac:dyDescent="0.3">
      <c r="D2556" s="33"/>
      <c r="E2556" s="127"/>
      <c r="F2556" s="128"/>
      <c r="G2556" s="128"/>
      <c r="H2556" s="129"/>
      <c r="I2556" s="130"/>
      <c r="J2556" s="23"/>
      <c r="K2556" s="23"/>
      <c r="L2556" s="23"/>
      <c r="M2556" s="131"/>
      <c r="N2556" s="131"/>
      <c r="O2556" s="131"/>
    </row>
    <row r="2557" spans="4:15" x14ac:dyDescent="0.3">
      <c r="D2557" s="33"/>
      <c r="E2557" s="127"/>
      <c r="F2557" s="128"/>
      <c r="G2557" s="128"/>
      <c r="H2557" s="129"/>
      <c r="I2557" s="130"/>
      <c r="J2557" s="23"/>
      <c r="K2557" s="23"/>
      <c r="L2557" s="23"/>
      <c r="M2557" s="131"/>
      <c r="N2557" s="131"/>
      <c r="O2557" s="131"/>
    </row>
    <row r="2558" spans="4:15" x14ac:dyDescent="0.3">
      <c r="D2558" s="33"/>
      <c r="E2558" s="127"/>
      <c r="F2558" s="128"/>
      <c r="G2558" s="128"/>
      <c r="H2558" s="129"/>
      <c r="I2558" s="130"/>
      <c r="J2558" s="23"/>
      <c r="K2558" s="23"/>
      <c r="L2558" s="23"/>
      <c r="M2558" s="131"/>
      <c r="N2558" s="131"/>
      <c r="O2558" s="131"/>
    </row>
    <row r="2559" spans="4:15" x14ac:dyDescent="0.3">
      <c r="D2559" s="33"/>
      <c r="E2559" s="127"/>
      <c r="F2559" s="128"/>
      <c r="G2559" s="128"/>
      <c r="H2559" s="129"/>
      <c r="I2559" s="130"/>
      <c r="J2559" s="23"/>
      <c r="K2559" s="23"/>
      <c r="L2559" s="23"/>
      <c r="M2559" s="131"/>
      <c r="N2559" s="131"/>
      <c r="O2559" s="131"/>
    </row>
    <row r="2560" spans="4:15" x14ac:dyDescent="0.3">
      <c r="D2560" s="33"/>
      <c r="E2560" s="127"/>
      <c r="F2560" s="128"/>
      <c r="G2560" s="128"/>
      <c r="H2560" s="129"/>
      <c r="I2560" s="130"/>
      <c r="J2560" s="23"/>
      <c r="K2560" s="23"/>
      <c r="L2560" s="23"/>
      <c r="M2560" s="131"/>
      <c r="N2560" s="131"/>
      <c r="O2560" s="131"/>
    </row>
    <row r="2561" spans="4:15" x14ac:dyDescent="0.3">
      <c r="D2561" s="33"/>
      <c r="E2561" s="127"/>
      <c r="F2561" s="128"/>
      <c r="G2561" s="128"/>
      <c r="H2561" s="129"/>
      <c r="I2561" s="130"/>
      <c r="J2561" s="23"/>
      <c r="K2561" s="23"/>
      <c r="L2561" s="23"/>
      <c r="M2561" s="131"/>
      <c r="N2561" s="131"/>
      <c r="O2561" s="131"/>
    </row>
    <row r="2562" spans="4:15" x14ac:dyDescent="0.3">
      <c r="D2562" s="33"/>
      <c r="E2562" s="127"/>
      <c r="F2562" s="128"/>
      <c r="G2562" s="128"/>
      <c r="H2562" s="129"/>
      <c r="I2562" s="130"/>
      <c r="J2562" s="23"/>
      <c r="K2562" s="23"/>
      <c r="L2562" s="23"/>
      <c r="M2562" s="131"/>
      <c r="N2562" s="131"/>
      <c r="O2562" s="131"/>
    </row>
    <row r="2563" spans="4:15" x14ac:dyDescent="0.3">
      <c r="D2563" s="33"/>
      <c r="E2563" s="127"/>
      <c r="F2563" s="128"/>
      <c r="G2563" s="128"/>
      <c r="H2563" s="129"/>
      <c r="I2563" s="130"/>
      <c r="J2563" s="23"/>
      <c r="K2563" s="23"/>
      <c r="L2563" s="23"/>
      <c r="M2563" s="131"/>
      <c r="N2563" s="131"/>
      <c r="O2563" s="131"/>
    </row>
    <row r="2564" spans="4:15" x14ac:dyDescent="0.3">
      <c r="D2564" s="33"/>
      <c r="E2564" s="127"/>
      <c r="F2564" s="128"/>
      <c r="G2564" s="128"/>
      <c r="H2564" s="129"/>
      <c r="I2564" s="130"/>
      <c r="J2564" s="23"/>
      <c r="K2564" s="23"/>
      <c r="L2564" s="23"/>
      <c r="M2564" s="131"/>
      <c r="N2564" s="131"/>
      <c r="O2564" s="131"/>
    </row>
    <row r="2565" spans="4:15" x14ac:dyDescent="0.3">
      <c r="D2565" s="33"/>
      <c r="E2565" s="127"/>
      <c r="F2565" s="128"/>
      <c r="G2565" s="128"/>
      <c r="H2565" s="129"/>
      <c r="I2565" s="130"/>
      <c r="J2565" s="23"/>
      <c r="K2565" s="23"/>
      <c r="L2565" s="23"/>
      <c r="M2565" s="131"/>
      <c r="N2565" s="131"/>
      <c r="O2565" s="131"/>
    </row>
    <row r="2566" spans="4:15" x14ac:dyDescent="0.3">
      <c r="D2566" s="33"/>
      <c r="E2566" s="127"/>
      <c r="F2566" s="128"/>
      <c r="G2566" s="128"/>
      <c r="H2566" s="129"/>
      <c r="I2566" s="130"/>
      <c r="J2566" s="23"/>
      <c r="K2566" s="23"/>
      <c r="L2566" s="23"/>
      <c r="M2566" s="131"/>
      <c r="N2566" s="131"/>
      <c r="O2566" s="131"/>
    </row>
    <row r="2567" spans="4:15" x14ac:dyDescent="0.3">
      <c r="D2567" s="33"/>
      <c r="E2567" s="127"/>
      <c r="F2567" s="128"/>
      <c r="G2567" s="128"/>
      <c r="H2567" s="129"/>
      <c r="I2567" s="130"/>
      <c r="J2567" s="23"/>
      <c r="K2567" s="23"/>
      <c r="L2567" s="23"/>
      <c r="M2567" s="131"/>
      <c r="N2567" s="131"/>
      <c r="O2567" s="131"/>
    </row>
    <row r="2568" spans="4:15" x14ac:dyDescent="0.3">
      <c r="D2568" s="33"/>
      <c r="E2568" s="127"/>
      <c r="F2568" s="128"/>
      <c r="G2568" s="128"/>
      <c r="H2568" s="129"/>
      <c r="I2568" s="130"/>
      <c r="J2568" s="23"/>
      <c r="K2568" s="23"/>
      <c r="L2568" s="23"/>
      <c r="M2568" s="131"/>
      <c r="N2568" s="131"/>
      <c r="O2568" s="131"/>
    </row>
    <row r="2569" spans="4:15" x14ac:dyDescent="0.3">
      <c r="D2569" s="33"/>
      <c r="E2569" s="127"/>
      <c r="F2569" s="128"/>
      <c r="G2569" s="128"/>
      <c r="H2569" s="129"/>
      <c r="I2569" s="130"/>
      <c r="J2569" s="23"/>
      <c r="K2569" s="23"/>
      <c r="L2569" s="23"/>
      <c r="M2569" s="131"/>
      <c r="N2569" s="131"/>
      <c r="O2569" s="131"/>
    </row>
    <row r="2570" spans="4:15" x14ac:dyDescent="0.3">
      <c r="D2570" s="33"/>
      <c r="E2570" s="127"/>
      <c r="F2570" s="128"/>
      <c r="G2570" s="128"/>
      <c r="H2570" s="129"/>
      <c r="I2570" s="130"/>
      <c r="J2570" s="23"/>
      <c r="K2570" s="23"/>
      <c r="L2570" s="23"/>
      <c r="M2570" s="131"/>
      <c r="N2570" s="131"/>
      <c r="O2570" s="131"/>
    </row>
    <row r="2571" spans="4:15" x14ac:dyDescent="0.3">
      <c r="D2571" s="33"/>
      <c r="E2571" s="127"/>
      <c r="F2571" s="128"/>
      <c r="G2571" s="128"/>
      <c r="H2571" s="129"/>
      <c r="I2571" s="130"/>
      <c r="J2571" s="23"/>
      <c r="K2571" s="23"/>
      <c r="L2571" s="23"/>
      <c r="M2571" s="131"/>
      <c r="N2571" s="131"/>
      <c r="O2571" s="131"/>
    </row>
    <row r="2572" spans="4:15" x14ac:dyDescent="0.3">
      <c r="D2572" s="33"/>
      <c r="E2572" s="127"/>
      <c r="F2572" s="128"/>
      <c r="G2572" s="128"/>
      <c r="H2572" s="129"/>
      <c r="I2572" s="130"/>
      <c r="J2572" s="23"/>
      <c r="K2572" s="23"/>
      <c r="L2572" s="23"/>
      <c r="M2572" s="131"/>
      <c r="N2572" s="131"/>
      <c r="O2572" s="131"/>
    </row>
    <row r="2573" spans="4:15" x14ac:dyDescent="0.3">
      <c r="D2573" s="33"/>
      <c r="E2573" s="127"/>
      <c r="F2573" s="128"/>
      <c r="G2573" s="128"/>
      <c r="H2573" s="129"/>
      <c r="I2573" s="130"/>
      <c r="J2573" s="23"/>
      <c r="K2573" s="23"/>
      <c r="L2573" s="23"/>
      <c r="M2573" s="131"/>
      <c r="N2573" s="131"/>
      <c r="O2573" s="131"/>
    </row>
    <row r="2574" spans="4:15" x14ac:dyDescent="0.3">
      <c r="D2574" s="33"/>
      <c r="E2574" s="127"/>
      <c r="F2574" s="128"/>
      <c r="G2574" s="128"/>
      <c r="H2574" s="129"/>
      <c r="I2574" s="130"/>
      <c r="J2574" s="23"/>
      <c r="K2574" s="23"/>
      <c r="L2574" s="23"/>
      <c r="M2574" s="131"/>
      <c r="N2574" s="131"/>
      <c r="O2574" s="131"/>
    </row>
    <row r="2575" spans="4:15" x14ac:dyDescent="0.3">
      <c r="D2575" s="33"/>
      <c r="E2575" s="127"/>
      <c r="F2575" s="128"/>
      <c r="G2575" s="128"/>
      <c r="H2575" s="129"/>
      <c r="I2575" s="130"/>
      <c r="J2575" s="23"/>
      <c r="K2575" s="23"/>
      <c r="L2575" s="23"/>
      <c r="M2575" s="131"/>
      <c r="N2575" s="131"/>
      <c r="O2575" s="131"/>
    </row>
    <row r="2576" spans="4:15" x14ac:dyDescent="0.3">
      <c r="D2576" s="33"/>
      <c r="E2576" s="127"/>
      <c r="F2576" s="128"/>
      <c r="G2576" s="128"/>
      <c r="H2576" s="129"/>
      <c r="I2576" s="130"/>
      <c r="J2576" s="23"/>
      <c r="K2576" s="23"/>
      <c r="L2576" s="23"/>
      <c r="M2576" s="131"/>
      <c r="N2576" s="131"/>
      <c r="O2576" s="131"/>
    </row>
    <row r="2577" spans="4:15" x14ac:dyDescent="0.3">
      <c r="D2577" s="33"/>
      <c r="E2577" s="127"/>
      <c r="F2577" s="128"/>
      <c r="G2577" s="128"/>
      <c r="H2577" s="129"/>
      <c r="I2577" s="130"/>
      <c r="J2577" s="23"/>
      <c r="K2577" s="23"/>
      <c r="L2577" s="23"/>
      <c r="M2577" s="131"/>
      <c r="N2577" s="131"/>
      <c r="O2577" s="131"/>
    </row>
    <row r="2578" spans="4:15" x14ac:dyDescent="0.3">
      <c r="D2578" s="33"/>
      <c r="E2578" s="127"/>
      <c r="F2578" s="128"/>
      <c r="G2578" s="128"/>
      <c r="H2578" s="129"/>
      <c r="I2578" s="130"/>
      <c r="J2578" s="23"/>
      <c r="K2578" s="23"/>
      <c r="L2578" s="23"/>
      <c r="M2578" s="131"/>
      <c r="N2578" s="131"/>
      <c r="O2578" s="131"/>
    </row>
    <row r="2579" spans="4:15" x14ac:dyDescent="0.3">
      <c r="D2579" s="33"/>
      <c r="E2579" s="127"/>
      <c r="F2579" s="128"/>
      <c r="G2579" s="128"/>
      <c r="H2579" s="129"/>
      <c r="I2579" s="130"/>
      <c r="J2579" s="23"/>
      <c r="K2579" s="23"/>
      <c r="L2579" s="23"/>
      <c r="M2579" s="131"/>
      <c r="N2579" s="131"/>
      <c r="O2579" s="131"/>
    </row>
    <row r="2580" spans="4:15" x14ac:dyDescent="0.3">
      <c r="D2580" s="33"/>
      <c r="E2580" s="127"/>
      <c r="F2580" s="128"/>
      <c r="G2580" s="128"/>
      <c r="H2580" s="129"/>
      <c r="I2580" s="130"/>
      <c r="J2580" s="23"/>
      <c r="K2580" s="23"/>
      <c r="L2580" s="23"/>
      <c r="M2580" s="131"/>
      <c r="N2580" s="131"/>
      <c r="O2580" s="131"/>
    </row>
    <row r="2581" spans="4:15" x14ac:dyDescent="0.3">
      <c r="D2581" s="33"/>
      <c r="E2581" s="127"/>
      <c r="F2581" s="128"/>
      <c r="G2581" s="128"/>
      <c r="H2581" s="129"/>
      <c r="I2581" s="130"/>
      <c r="J2581" s="23"/>
      <c r="K2581" s="23"/>
      <c r="L2581" s="23"/>
      <c r="M2581" s="131"/>
      <c r="N2581" s="131"/>
      <c r="O2581" s="131"/>
    </row>
    <row r="2582" spans="4:15" x14ac:dyDescent="0.3">
      <c r="D2582" s="33"/>
      <c r="E2582" s="127"/>
      <c r="F2582" s="128"/>
      <c r="G2582" s="128"/>
      <c r="H2582" s="129"/>
      <c r="I2582" s="130"/>
      <c r="J2582" s="23"/>
      <c r="K2582" s="23"/>
      <c r="L2582" s="23"/>
      <c r="M2582" s="131"/>
      <c r="N2582" s="131"/>
      <c r="O2582" s="131"/>
    </row>
    <row r="2583" spans="4:15" x14ac:dyDescent="0.3">
      <c r="D2583" s="33"/>
      <c r="E2583" s="127"/>
      <c r="F2583" s="128"/>
      <c r="G2583" s="128"/>
      <c r="H2583" s="129"/>
      <c r="I2583" s="130"/>
      <c r="J2583" s="23"/>
      <c r="K2583" s="23"/>
      <c r="L2583" s="23"/>
      <c r="M2583" s="131"/>
      <c r="N2583" s="131"/>
      <c r="O2583" s="131"/>
    </row>
    <row r="2584" spans="4:15" x14ac:dyDescent="0.3">
      <c r="D2584" s="33"/>
      <c r="E2584" s="127"/>
      <c r="F2584" s="128"/>
      <c r="G2584" s="128"/>
      <c r="H2584" s="129"/>
      <c r="I2584" s="130"/>
      <c r="J2584" s="23"/>
      <c r="K2584" s="23"/>
      <c r="L2584" s="23"/>
      <c r="M2584" s="131"/>
      <c r="N2584" s="131"/>
      <c r="O2584" s="131"/>
    </row>
    <row r="2585" spans="4:15" x14ac:dyDescent="0.3">
      <c r="D2585" s="33"/>
      <c r="E2585" s="127"/>
      <c r="F2585" s="128"/>
      <c r="G2585" s="128"/>
      <c r="H2585" s="129"/>
      <c r="I2585" s="130"/>
      <c r="J2585" s="23"/>
      <c r="K2585" s="23"/>
      <c r="L2585" s="23"/>
      <c r="M2585" s="131"/>
      <c r="N2585" s="131"/>
      <c r="O2585" s="131"/>
    </row>
    <row r="2586" spans="4:15" x14ac:dyDescent="0.3">
      <c r="D2586" s="33"/>
      <c r="E2586" s="127"/>
      <c r="F2586" s="128"/>
      <c r="G2586" s="128"/>
      <c r="H2586" s="129"/>
      <c r="I2586" s="130"/>
      <c r="J2586" s="23"/>
      <c r="K2586" s="23"/>
      <c r="L2586" s="23"/>
      <c r="M2586" s="131"/>
      <c r="N2586" s="131"/>
      <c r="O2586" s="131"/>
    </row>
    <row r="2587" spans="4:15" x14ac:dyDescent="0.3">
      <c r="D2587" s="33"/>
      <c r="E2587" s="127"/>
      <c r="F2587" s="128"/>
      <c r="G2587" s="128"/>
      <c r="H2587" s="129"/>
      <c r="I2587" s="130"/>
      <c r="J2587" s="23"/>
      <c r="K2587" s="23"/>
      <c r="L2587" s="23"/>
      <c r="M2587" s="131"/>
      <c r="N2587" s="131"/>
      <c r="O2587" s="131"/>
    </row>
    <row r="2588" spans="4:15" x14ac:dyDescent="0.3">
      <c r="D2588" s="33"/>
      <c r="E2588" s="127"/>
      <c r="F2588" s="128"/>
      <c r="G2588" s="128"/>
      <c r="H2588" s="129"/>
      <c r="I2588" s="130"/>
      <c r="J2588" s="23"/>
      <c r="K2588" s="23"/>
      <c r="L2588" s="23"/>
      <c r="M2588" s="131"/>
      <c r="N2588" s="131"/>
      <c r="O2588" s="131"/>
    </row>
    <row r="2589" spans="4:15" x14ac:dyDescent="0.3">
      <c r="D2589" s="33"/>
      <c r="E2589" s="127"/>
      <c r="F2589" s="128"/>
      <c r="G2589" s="128"/>
      <c r="H2589" s="129"/>
      <c r="I2589" s="130"/>
      <c r="J2589" s="23"/>
      <c r="K2589" s="23"/>
      <c r="L2589" s="23"/>
      <c r="M2589" s="131"/>
      <c r="N2589" s="131"/>
      <c r="O2589" s="131"/>
    </row>
    <row r="2590" spans="4:15" x14ac:dyDescent="0.3">
      <c r="D2590" s="33"/>
      <c r="E2590" s="127"/>
      <c r="F2590" s="128"/>
      <c r="G2590" s="128"/>
      <c r="H2590" s="129"/>
      <c r="I2590" s="130"/>
      <c r="J2590" s="23"/>
      <c r="K2590" s="23"/>
      <c r="L2590" s="23"/>
      <c r="M2590" s="131"/>
      <c r="N2590" s="131"/>
      <c r="O2590" s="131"/>
    </row>
    <row r="2591" spans="4:15" x14ac:dyDescent="0.3">
      <c r="D2591" s="33"/>
      <c r="E2591" s="127"/>
      <c r="F2591" s="128"/>
      <c r="G2591" s="128"/>
      <c r="H2591" s="129"/>
      <c r="I2591" s="130"/>
      <c r="J2591" s="23"/>
      <c r="K2591" s="23"/>
      <c r="L2591" s="23"/>
      <c r="M2591" s="131"/>
      <c r="N2591" s="131"/>
      <c r="O2591" s="131"/>
    </row>
    <row r="2592" spans="4:15" x14ac:dyDescent="0.3">
      <c r="D2592" s="33"/>
      <c r="E2592" s="127"/>
      <c r="F2592" s="128"/>
      <c r="G2592" s="128"/>
      <c r="H2592" s="129"/>
      <c r="I2592" s="130"/>
      <c r="J2592" s="23"/>
      <c r="K2592" s="23"/>
      <c r="L2592" s="23"/>
      <c r="M2592" s="131"/>
      <c r="N2592" s="131"/>
      <c r="O2592" s="131"/>
    </row>
    <row r="2593" spans="4:15" x14ac:dyDescent="0.3">
      <c r="D2593" s="33"/>
      <c r="E2593" s="127"/>
      <c r="F2593" s="128"/>
      <c r="G2593" s="128"/>
      <c r="H2593" s="129"/>
      <c r="I2593" s="130"/>
      <c r="J2593" s="23"/>
      <c r="K2593" s="23"/>
      <c r="L2593" s="23"/>
      <c r="M2593" s="131"/>
      <c r="N2593" s="131"/>
      <c r="O2593" s="131"/>
    </row>
    <row r="2594" spans="4:15" x14ac:dyDescent="0.3">
      <c r="D2594" s="33"/>
      <c r="E2594" s="127"/>
      <c r="F2594" s="128"/>
      <c r="G2594" s="128"/>
      <c r="H2594" s="129"/>
      <c r="I2594" s="130"/>
      <c r="J2594" s="23"/>
      <c r="K2594" s="23"/>
      <c r="L2594" s="23"/>
      <c r="M2594" s="131"/>
      <c r="N2594" s="131"/>
      <c r="O2594" s="131"/>
    </row>
    <row r="2595" spans="4:15" x14ac:dyDescent="0.3">
      <c r="D2595" s="33"/>
      <c r="E2595" s="127"/>
      <c r="F2595" s="128"/>
      <c r="G2595" s="128"/>
      <c r="H2595" s="129"/>
      <c r="I2595" s="130"/>
      <c r="J2595" s="23"/>
      <c r="K2595" s="23"/>
      <c r="L2595" s="23"/>
      <c r="M2595" s="131"/>
      <c r="N2595" s="131"/>
      <c r="O2595" s="131"/>
    </row>
    <row r="2596" spans="4:15" x14ac:dyDescent="0.3">
      <c r="D2596" s="33"/>
      <c r="E2596" s="127"/>
      <c r="F2596" s="128"/>
      <c r="G2596" s="128"/>
      <c r="H2596" s="129"/>
      <c r="I2596" s="130"/>
      <c r="J2596" s="23"/>
      <c r="K2596" s="23"/>
      <c r="L2596" s="23"/>
      <c r="M2596" s="131"/>
      <c r="N2596" s="131"/>
      <c r="O2596" s="131"/>
    </row>
    <row r="2597" spans="4:15" x14ac:dyDescent="0.3">
      <c r="D2597" s="33"/>
      <c r="E2597" s="127"/>
      <c r="F2597" s="128"/>
      <c r="G2597" s="128"/>
      <c r="H2597" s="129"/>
      <c r="I2597" s="130"/>
      <c r="J2597" s="23"/>
      <c r="K2597" s="23"/>
      <c r="L2597" s="23"/>
      <c r="M2597" s="131"/>
      <c r="N2597" s="131"/>
      <c r="O2597" s="131"/>
    </row>
    <row r="2598" spans="4:15" x14ac:dyDescent="0.3">
      <c r="D2598" s="33"/>
      <c r="E2598" s="127"/>
      <c r="F2598" s="128"/>
      <c r="G2598" s="128"/>
      <c r="H2598" s="129"/>
      <c r="I2598" s="130"/>
      <c r="J2598" s="23"/>
      <c r="K2598" s="23"/>
      <c r="L2598" s="23"/>
      <c r="M2598" s="131"/>
      <c r="N2598" s="131"/>
      <c r="O2598" s="131"/>
    </row>
    <row r="2599" spans="4:15" x14ac:dyDescent="0.3">
      <c r="D2599" s="33"/>
      <c r="E2599" s="127"/>
      <c r="F2599" s="128"/>
      <c r="G2599" s="128"/>
      <c r="H2599" s="129"/>
      <c r="I2599" s="130"/>
      <c r="J2599" s="23"/>
      <c r="K2599" s="23"/>
      <c r="L2599" s="23"/>
      <c r="M2599" s="131"/>
      <c r="N2599" s="131"/>
      <c r="O2599" s="131"/>
    </row>
    <row r="2600" spans="4:15" x14ac:dyDescent="0.3">
      <c r="D2600" s="33"/>
      <c r="E2600" s="127"/>
      <c r="F2600" s="128"/>
      <c r="G2600" s="128"/>
      <c r="H2600" s="129"/>
      <c r="I2600" s="130"/>
      <c r="J2600" s="23"/>
      <c r="K2600" s="23"/>
      <c r="L2600" s="23"/>
      <c r="M2600" s="131"/>
      <c r="N2600" s="131"/>
      <c r="O2600" s="131"/>
    </row>
    <row r="2601" spans="4:15" x14ac:dyDescent="0.3">
      <c r="D2601" s="33"/>
      <c r="E2601" s="127"/>
      <c r="F2601" s="128"/>
      <c r="G2601" s="128"/>
      <c r="H2601" s="129"/>
      <c r="I2601" s="130"/>
      <c r="J2601" s="23"/>
      <c r="K2601" s="23"/>
      <c r="L2601" s="23"/>
      <c r="M2601" s="131"/>
      <c r="N2601" s="131"/>
      <c r="O2601" s="131"/>
    </row>
    <row r="2602" spans="4:15" x14ac:dyDescent="0.3">
      <c r="D2602" s="33"/>
      <c r="E2602" s="127"/>
      <c r="F2602" s="128"/>
      <c r="G2602" s="128"/>
      <c r="H2602" s="129"/>
      <c r="I2602" s="130"/>
      <c r="J2602" s="23"/>
      <c r="K2602" s="23"/>
      <c r="L2602" s="23"/>
      <c r="M2602" s="131"/>
      <c r="N2602" s="131"/>
      <c r="O2602" s="131"/>
    </row>
    <row r="2603" spans="4:15" x14ac:dyDescent="0.3">
      <c r="D2603" s="33"/>
      <c r="E2603" s="127"/>
      <c r="F2603" s="128"/>
      <c r="G2603" s="128"/>
      <c r="H2603" s="129"/>
      <c r="I2603" s="130"/>
      <c r="J2603" s="23"/>
      <c r="K2603" s="23"/>
      <c r="L2603" s="23"/>
      <c r="M2603" s="131"/>
      <c r="N2603" s="131"/>
      <c r="O2603" s="131"/>
    </row>
    <row r="2604" spans="4:15" x14ac:dyDescent="0.3">
      <c r="D2604" s="33"/>
      <c r="E2604" s="127"/>
      <c r="F2604" s="128"/>
      <c r="G2604" s="128"/>
      <c r="H2604" s="129"/>
      <c r="I2604" s="130"/>
      <c r="J2604" s="23"/>
      <c r="K2604" s="23"/>
      <c r="L2604" s="23"/>
      <c r="M2604" s="131"/>
      <c r="N2604" s="131"/>
      <c r="O2604" s="131"/>
    </row>
    <row r="2605" spans="4:15" x14ac:dyDescent="0.3">
      <c r="D2605" s="33"/>
      <c r="E2605" s="127"/>
      <c r="F2605" s="128"/>
      <c r="G2605" s="128"/>
      <c r="H2605" s="129"/>
      <c r="I2605" s="130"/>
      <c r="J2605" s="23"/>
      <c r="K2605" s="23"/>
      <c r="L2605" s="23"/>
      <c r="M2605" s="131"/>
      <c r="N2605" s="131"/>
      <c r="O2605" s="131"/>
    </row>
    <row r="2606" spans="4:15" x14ac:dyDescent="0.3">
      <c r="D2606" s="33"/>
      <c r="E2606" s="127"/>
      <c r="F2606" s="128"/>
      <c r="G2606" s="128"/>
      <c r="H2606" s="129"/>
      <c r="I2606" s="130"/>
      <c r="J2606" s="23"/>
      <c r="K2606" s="23"/>
      <c r="L2606" s="23"/>
      <c r="M2606" s="131"/>
      <c r="N2606" s="131"/>
      <c r="O2606" s="131"/>
    </row>
    <row r="2607" spans="4:15" x14ac:dyDescent="0.3">
      <c r="D2607" s="33"/>
      <c r="E2607" s="127"/>
      <c r="F2607" s="128"/>
      <c r="G2607" s="128"/>
      <c r="H2607" s="129"/>
      <c r="I2607" s="130"/>
      <c r="J2607" s="23"/>
      <c r="K2607" s="23"/>
      <c r="L2607" s="23"/>
      <c r="M2607" s="131"/>
      <c r="N2607" s="131"/>
      <c r="O2607" s="131"/>
    </row>
    <row r="2608" spans="4:15" x14ac:dyDescent="0.3">
      <c r="D2608" s="33"/>
      <c r="E2608" s="127"/>
      <c r="F2608" s="128"/>
      <c r="G2608" s="128"/>
      <c r="H2608" s="129"/>
      <c r="I2608" s="130"/>
      <c r="J2608" s="23"/>
      <c r="K2608" s="23"/>
      <c r="L2608" s="23"/>
      <c r="M2608" s="131"/>
      <c r="N2608" s="131"/>
      <c r="O2608" s="131"/>
    </row>
    <row r="2609" spans="4:15" x14ac:dyDescent="0.3">
      <c r="D2609" s="33"/>
      <c r="E2609" s="127"/>
      <c r="F2609" s="128"/>
      <c r="G2609" s="128"/>
      <c r="H2609" s="129"/>
      <c r="I2609" s="130"/>
      <c r="J2609" s="23"/>
      <c r="K2609" s="23"/>
      <c r="L2609" s="23"/>
      <c r="M2609" s="131"/>
      <c r="N2609" s="131"/>
      <c r="O2609" s="131"/>
    </row>
    <row r="2610" spans="4:15" x14ac:dyDescent="0.3">
      <c r="D2610" s="33"/>
      <c r="E2610" s="127"/>
      <c r="F2610" s="128"/>
      <c r="G2610" s="128"/>
      <c r="H2610" s="129"/>
      <c r="I2610" s="130"/>
      <c r="J2610" s="23"/>
      <c r="K2610" s="23"/>
      <c r="L2610" s="23"/>
      <c r="M2610" s="131"/>
      <c r="N2610" s="131"/>
      <c r="O2610" s="131"/>
    </row>
    <row r="2611" spans="4:15" x14ac:dyDescent="0.3">
      <c r="D2611" s="33"/>
      <c r="E2611" s="127"/>
      <c r="F2611" s="128"/>
      <c r="G2611" s="128"/>
      <c r="H2611" s="129"/>
      <c r="I2611" s="130"/>
      <c r="J2611" s="23"/>
      <c r="K2611" s="23"/>
      <c r="L2611" s="23"/>
      <c r="M2611" s="131"/>
      <c r="N2611" s="131"/>
      <c r="O2611" s="131"/>
    </row>
    <row r="2612" spans="4:15" x14ac:dyDescent="0.3">
      <c r="D2612" s="33"/>
      <c r="E2612" s="127"/>
      <c r="F2612" s="128"/>
      <c r="G2612" s="128"/>
      <c r="H2612" s="129"/>
      <c r="I2612" s="130"/>
      <c r="J2612" s="23"/>
      <c r="K2612" s="23"/>
      <c r="L2612" s="23"/>
      <c r="M2612" s="131"/>
      <c r="N2612" s="131"/>
      <c r="O2612" s="131"/>
    </row>
    <row r="2613" spans="4:15" x14ac:dyDescent="0.3">
      <c r="D2613" s="33"/>
      <c r="E2613" s="127"/>
      <c r="F2613" s="128"/>
      <c r="G2613" s="128"/>
      <c r="H2613" s="129"/>
      <c r="I2613" s="130"/>
      <c r="J2613" s="23"/>
      <c r="K2613" s="23"/>
      <c r="L2613" s="23"/>
      <c r="M2613" s="131"/>
      <c r="N2613" s="131"/>
      <c r="O2613" s="131"/>
    </row>
    <row r="2614" spans="4:15" x14ac:dyDescent="0.3">
      <c r="D2614" s="33"/>
      <c r="E2614" s="127"/>
      <c r="F2614" s="128"/>
      <c r="G2614" s="128"/>
      <c r="H2614" s="129"/>
      <c r="I2614" s="130"/>
      <c r="J2614" s="23"/>
      <c r="K2614" s="23"/>
      <c r="L2614" s="23"/>
      <c r="M2614" s="131"/>
      <c r="N2614" s="131"/>
      <c r="O2614" s="131"/>
    </row>
    <row r="2615" spans="4:15" x14ac:dyDescent="0.3">
      <c r="D2615" s="33"/>
      <c r="E2615" s="127"/>
      <c r="F2615" s="128"/>
      <c r="G2615" s="128"/>
      <c r="H2615" s="129"/>
      <c r="I2615" s="130"/>
      <c r="J2615" s="23"/>
      <c r="K2615" s="23"/>
      <c r="L2615" s="23"/>
      <c r="M2615" s="131"/>
      <c r="N2615" s="131"/>
      <c r="O2615" s="131"/>
    </row>
    <row r="2616" spans="4:15" x14ac:dyDescent="0.3">
      <c r="D2616" s="33"/>
      <c r="E2616" s="127"/>
      <c r="F2616" s="128"/>
      <c r="G2616" s="128"/>
      <c r="H2616" s="129"/>
      <c r="I2616" s="130"/>
      <c r="J2616" s="23"/>
      <c r="K2616" s="23"/>
      <c r="L2616" s="23"/>
      <c r="M2616" s="131"/>
      <c r="N2616" s="131"/>
      <c r="O2616" s="131"/>
    </row>
    <row r="2617" spans="4:15" x14ac:dyDescent="0.3">
      <c r="D2617" s="33"/>
      <c r="E2617" s="127"/>
      <c r="F2617" s="128"/>
      <c r="G2617" s="128"/>
      <c r="H2617" s="129"/>
      <c r="I2617" s="130"/>
      <c r="J2617" s="23"/>
      <c r="K2617" s="23"/>
      <c r="L2617" s="23"/>
      <c r="M2617" s="131"/>
      <c r="N2617" s="131"/>
      <c r="O2617" s="131"/>
    </row>
    <row r="2618" spans="4:15" x14ac:dyDescent="0.3">
      <c r="D2618" s="33"/>
      <c r="E2618" s="127"/>
      <c r="F2618" s="128"/>
      <c r="G2618" s="128"/>
      <c r="H2618" s="129"/>
      <c r="I2618" s="130"/>
      <c r="J2618" s="23"/>
      <c r="K2618" s="23"/>
      <c r="L2618" s="23"/>
      <c r="M2618" s="131"/>
      <c r="N2618" s="131"/>
      <c r="O2618" s="131"/>
    </row>
    <row r="2619" spans="4:15" x14ac:dyDescent="0.3">
      <c r="D2619" s="33"/>
      <c r="E2619" s="127"/>
      <c r="F2619" s="128"/>
      <c r="G2619" s="128"/>
      <c r="H2619" s="129"/>
      <c r="I2619" s="130"/>
      <c r="J2619" s="23"/>
      <c r="K2619" s="23"/>
      <c r="L2619" s="23"/>
      <c r="M2619" s="131"/>
      <c r="N2619" s="131"/>
      <c r="O2619" s="131"/>
    </row>
    <row r="2620" spans="4:15" x14ac:dyDescent="0.3">
      <c r="D2620" s="33"/>
      <c r="E2620" s="127"/>
      <c r="F2620" s="128"/>
      <c r="G2620" s="128"/>
      <c r="H2620" s="129"/>
      <c r="I2620" s="130"/>
      <c r="J2620" s="23"/>
      <c r="K2620" s="23"/>
      <c r="L2620" s="23"/>
      <c r="M2620" s="131"/>
      <c r="N2620" s="131"/>
      <c r="O2620" s="131"/>
    </row>
    <row r="2621" spans="4:15" x14ac:dyDescent="0.3">
      <c r="D2621" s="33"/>
      <c r="E2621" s="127"/>
      <c r="F2621" s="128"/>
      <c r="G2621" s="128"/>
      <c r="H2621" s="129"/>
      <c r="I2621" s="130"/>
      <c r="J2621" s="23"/>
      <c r="K2621" s="23"/>
      <c r="L2621" s="23"/>
      <c r="M2621" s="131"/>
      <c r="N2621" s="131"/>
      <c r="O2621" s="131"/>
    </row>
    <row r="2622" spans="4:15" x14ac:dyDescent="0.3">
      <c r="D2622" s="33"/>
      <c r="E2622" s="127"/>
      <c r="F2622" s="128"/>
      <c r="G2622" s="128"/>
      <c r="H2622" s="129"/>
      <c r="I2622" s="130"/>
      <c r="J2622" s="23"/>
      <c r="K2622" s="23"/>
      <c r="L2622" s="23"/>
      <c r="M2622" s="131"/>
      <c r="N2622" s="131"/>
      <c r="O2622" s="131"/>
    </row>
    <row r="2623" spans="4:15" x14ac:dyDescent="0.3">
      <c r="D2623" s="33"/>
      <c r="E2623" s="127"/>
      <c r="F2623" s="128"/>
      <c r="G2623" s="128"/>
      <c r="H2623" s="129"/>
      <c r="I2623" s="130"/>
      <c r="J2623" s="23"/>
      <c r="K2623" s="23"/>
      <c r="L2623" s="23"/>
      <c r="M2623" s="131"/>
      <c r="N2623" s="131"/>
      <c r="O2623" s="131"/>
    </row>
    <row r="2624" spans="4:15" x14ac:dyDescent="0.3">
      <c r="D2624" s="33"/>
      <c r="E2624" s="127"/>
      <c r="F2624" s="128"/>
      <c r="G2624" s="128"/>
      <c r="H2624" s="129"/>
      <c r="I2624" s="130"/>
      <c r="J2624" s="23"/>
      <c r="K2624" s="23"/>
      <c r="L2624" s="23"/>
      <c r="M2624" s="131"/>
      <c r="N2624" s="131"/>
      <c r="O2624" s="131"/>
    </row>
    <row r="2625" spans="4:15" x14ac:dyDescent="0.3">
      <c r="D2625" s="33"/>
      <c r="E2625" s="127"/>
      <c r="F2625" s="128"/>
      <c r="G2625" s="128"/>
      <c r="H2625" s="129"/>
      <c r="I2625" s="130"/>
      <c r="J2625" s="23"/>
      <c r="K2625" s="23"/>
      <c r="L2625" s="23"/>
      <c r="M2625" s="131"/>
      <c r="N2625" s="131"/>
      <c r="O2625" s="131"/>
    </row>
    <row r="2626" spans="4:15" x14ac:dyDescent="0.3">
      <c r="D2626" s="33"/>
      <c r="E2626" s="127"/>
      <c r="F2626" s="128"/>
      <c r="G2626" s="128"/>
      <c r="H2626" s="129"/>
      <c r="I2626" s="130"/>
      <c r="J2626" s="23"/>
      <c r="K2626" s="23"/>
      <c r="L2626" s="23"/>
      <c r="M2626" s="131"/>
      <c r="N2626" s="131"/>
      <c r="O2626" s="131"/>
    </row>
    <row r="2627" spans="4:15" x14ac:dyDescent="0.3">
      <c r="D2627" s="33"/>
      <c r="E2627" s="127"/>
      <c r="F2627" s="128"/>
      <c r="G2627" s="128"/>
      <c r="H2627" s="129"/>
      <c r="I2627" s="130"/>
      <c r="J2627" s="23"/>
      <c r="K2627" s="23"/>
      <c r="L2627" s="23"/>
      <c r="M2627" s="131"/>
      <c r="N2627" s="131"/>
      <c r="O2627" s="131"/>
    </row>
    <row r="2628" spans="4:15" x14ac:dyDescent="0.3">
      <c r="D2628" s="33"/>
      <c r="E2628" s="127"/>
      <c r="F2628" s="128"/>
      <c r="G2628" s="128"/>
      <c r="H2628" s="129"/>
      <c r="I2628" s="130"/>
      <c r="J2628" s="23"/>
      <c r="K2628" s="23"/>
      <c r="L2628" s="23"/>
      <c r="M2628" s="131"/>
      <c r="N2628" s="131"/>
      <c r="O2628" s="131"/>
    </row>
    <row r="2629" spans="4:15" x14ac:dyDescent="0.3">
      <c r="D2629" s="33"/>
      <c r="E2629" s="127"/>
      <c r="F2629" s="128"/>
      <c r="G2629" s="128"/>
      <c r="H2629" s="129"/>
      <c r="I2629" s="130"/>
      <c r="J2629" s="23"/>
      <c r="K2629" s="23"/>
      <c r="L2629" s="23"/>
      <c r="M2629" s="131"/>
      <c r="N2629" s="131"/>
      <c r="O2629" s="131"/>
    </row>
    <row r="2630" spans="4:15" x14ac:dyDescent="0.3">
      <c r="D2630" s="33"/>
      <c r="E2630" s="127"/>
      <c r="F2630" s="128"/>
      <c r="G2630" s="128"/>
      <c r="H2630" s="129"/>
      <c r="I2630" s="130"/>
      <c r="J2630" s="23"/>
      <c r="K2630" s="23"/>
      <c r="L2630" s="23"/>
      <c r="M2630" s="131"/>
      <c r="N2630" s="131"/>
      <c r="O2630" s="131"/>
    </row>
    <row r="2631" spans="4:15" x14ac:dyDescent="0.3">
      <c r="D2631" s="33"/>
      <c r="E2631" s="127"/>
      <c r="F2631" s="128"/>
      <c r="G2631" s="128"/>
      <c r="H2631" s="129"/>
      <c r="I2631" s="130"/>
      <c r="J2631" s="23"/>
      <c r="K2631" s="23"/>
      <c r="L2631" s="23"/>
      <c r="M2631" s="131"/>
      <c r="N2631" s="131"/>
      <c r="O2631" s="131"/>
    </row>
    <row r="2632" spans="4:15" x14ac:dyDescent="0.3">
      <c r="D2632" s="33"/>
      <c r="E2632" s="127"/>
      <c r="F2632" s="128"/>
      <c r="G2632" s="128"/>
      <c r="H2632" s="129"/>
      <c r="I2632" s="130"/>
      <c r="J2632" s="23"/>
      <c r="K2632" s="23"/>
      <c r="L2632" s="23"/>
      <c r="M2632" s="131"/>
      <c r="N2632" s="131"/>
      <c r="O2632" s="131"/>
    </row>
    <row r="2633" spans="4:15" x14ac:dyDescent="0.3">
      <c r="D2633" s="33"/>
      <c r="E2633" s="127"/>
      <c r="F2633" s="128"/>
      <c r="G2633" s="128"/>
      <c r="H2633" s="129"/>
      <c r="I2633" s="130"/>
      <c r="J2633" s="23"/>
      <c r="K2633" s="23"/>
      <c r="L2633" s="23"/>
      <c r="M2633" s="131"/>
      <c r="N2633" s="131"/>
      <c r="O2633" s="131"/>
    </row>
    <row r="2634" spans="4:15" x14ac:dyDescent="0.3">
      <c r="D2634" s="33"/>
      <c r="E2634" s="127"/>
      <c r="F2634" s="128"/>
      <c r="G2634" s="128"/>
      <c r="H2634" s="129"/>
      <c r="I2634" s="130"/>
      <c r="J2634" s="23"/>
      <c r="K2634" s="23"/>
      <c r="L2634" s="23"/>
      <c r="M2634" s="131"/>
      <c r="N2634" s="131"/>
      <c r="O2634" s="131"/>
    </row>
    <row r="2635" spans="4:15" x14ac:dyDescent="0.3">
      <c r="D2635" s="33"/>
      <c r="E2635" s="127"/>
      <c r="F2635" s="128"/>
      <c r="G2635" s="128"/>
      <c r="H2635" s="129"/>
      <c r="I2635" s="130"/>
      <c r="J2635" s="23"/>
      <c r="K2635" s="23"/>
      <c r="L2635" s="23"/>
      <c r="M2635" s="131"/>
      <c r="N2635" s="131"/>
      <c r="O2635" s="131"/>
    </row>
    <row r="2636" spans="4:15" x14ac:dyDescent="0.3">
      <c r="D2636" s="33"/>
      <c r="E2636" s="127"/>
      <c r="F2636" s="128"/>
      <c r="G2636" s="128"/>
      <c r="H2636" s="129"/>
      <c r="I2636" s="130"/>
      <c r="J2636" s="23"/>
      <c r="K2636" s="23"/>
      <c r="L2636" s="23"/>
      <c r="M2636" s="131"/>
      <c r="N2636" s="131"/>
      <c r="O2636" s="131"/>
    </row>
    <row r="2637" spans="4:15" x14ac:dyDescent="0.3">
      <c r="D2637" s="33"/>
      <c r="E2637" s="127"/>
      <c r="F2637" s="128"/>
      <c r="G2637" s="128"/>
      <c r="H2637" s="129"/>
      <c r="I2637" s="130"/>
      <c r="J2637" s="23"/>
      <c r="K2637" s="23"/>
      <c r="L2637" s="23"/>
      <c r="M2637" s="131"/>
      <c r="N2637" s="131"/>
      <c r="O2637" s="131"/>
    </row>
    <row r="2638" spans="4:15" x14ac:dyDescent="0.3">
      <c r="D2638" s="33"/>
      <c r="E2638" s="127"/>
      <c r="F2638" s="128"/>
      <c r="G2638" s="128"/>
      <c r="H2638" s="129"/>
      <c r="I2638" s="130"/>
      <c r="J2638" s="23"/>
      <c r="K2638" s="23"/>
      <c r="L2638" s="23"/>
      <c r="M2638" s="131"/>
      <c r="N2638" s="131"/>
      <c r="O2638" s="131"/>
    </row>
    <row r="2639" spans="4:15" x14ac:dyDescent="0.3">
      <c r="D2639" s="33"/>
      <c r="E2639" s="127"/>
      <c r="F2639" s="128"/>
      <c r="G2639" s="128"/>
      <c r="H2639" s="129"/>
      <c r="I2639" s="130"/>
      <c r="J2639" s="23"/>
      <c r="K2639" s="23"/>
      <c r="L2639" s="23"/>
      <c r="M2639" s="131"/>
      <c r="N2639" s="131"/>
      <c r="O2639" s="131"/>
    </row>
    <row r="2640" spans="4:15" x14ac:dyDescent="0.3">
      <c r="D2640" s="33"/>
      <c r="E2640" s="127"/>
      <c r="F2640" s="128"/>
      <c r="G2640" s="128"/>
      <c r="H2640" s="129"/>
      <c r="I2640" s="130"/>
      <c r="J2640" s="23"/>
      <c r="K2640" s="23"/>
      <c r="L2640" s="23"/>
      <c r="M2640" s="131"/>
      <c r="N2640" s="131"/>
      <c r="O2640" s="131"/>
    </row>
    <row r="2641" spans="4:15" x14ac:dyDescent="0.3">
      <c r="D2641" s="33"/>
      <c r="E2641" s="127"/>
      <c r="F2641" s="128"/>
      <c r="G2641" s="128"/>
      <c r="H2641" s="129"/>
      <c r="I2641" s="130"/>
      <c r="J2641" s="23"/>
      <c r="K2641" s="23"/>
      <c r="L2641" s="23"/>
      <c r="M2641" s="131"/>
      <c r="N2641" s="131"/>
      <c r="O2641" s="131"/>
    </row>
    <row r="2642" spans="4:15" x14ac:dyDescent="0.3">
      <c r="D2642" s="33"/>
      <c r="E2642" s="127"/>
      <c r="F2642" s="128"/>
      <c r="G2642" s="128"/>
      <c r="H2642" s="129"/>
      <c r="I2642" s="130"/>
      <c r="J2642" s="23"/>
      <c r="K2642" s="23"/>
      <c r="L2642" s="23"/>
      <c r="M2642" s="131"/>
      <c r="N2642" s="131"/>
      <c r="O2642" s="131"/>
    </row>
    <row r="2643" spans="4:15" x14ac:dyDescent="0.3">
      <c r="D2643" s="33"/>
      <c r="E2643" s="127"/>
      <c r="F2643" s="128"/>
      <c r="G2643" s="128"/>
      <c r="H2643" s="129"/>
      <c r="I2643" s="130"/>
      <c r="J2643" s="23"/>
      <c r="K2643" s="23"/>
      <c r="L2643" s="23"/>
      <c r="M2643" s="131"/>
      <c r="N2643" s="131"/>
      <c r="O2643" s="131"/>
    </row>
    <row r="2644" spans="4:15" x14ac:dyDescent="0.3">
      <c r="D2644" s="33"/>
      <c r="E2644" s="127"/>
      <c r="F2644" s="128"/>
      <c r="G2644" s="128"/>
      <c r="H2644" s="129"/>
      <c r="I2644" s="130"/>
      <c r="J2644" s="23"/>
      <c r="K2644" s="23"/>
      <c r="L2644" s="23"/>
      <c r="M2644" s="131"/>
      <c r="N2644" s="131"/>
      <c r="O2644" s="131"/>
    </row>
    <row r="2645" spans="4:15" x14ac:dyDescent="0.3">
      <c r="D2645" s="33"/>
      <c r="E2645" s="127"/>
      <c r="F2645" s="128"/>
      <c r="G2645" s="128"/>
      <c r="H2645" s="129"/>
      <c r="I2645" s="130"/>
      <c r="J2645" s="23"/>
      <c r="K2645" s="23"/>
      <c r="L2645" s="23"/>
      <c r="M2645" s="131"/>
      <c r="N2645" s="131"/>
      <c r="O2645" s="131"/>
    </row>
    <row r="2646" spans="4:15" x14ac:dyDescent="0.3">
      <c r="D2646" s="33"/>
      <c r="E2646" s="127"/>
      <c r="F2646" s="128"/>
      <c r="G2646" s="128"/>
      <c r="H2646" s="129"/>
      <c r="I2646" s="130"/>
      <c r="J2646" s="23"/>
      <c r="K2646" s="23"/>
      <c r="L2646" s="23"/>
      <c r="M2646" s="131"/>
      <c r="N2646" s="131"/>
      <c r="O2646" s="131"/>
    </row>
    <row r="2647" spans="4:15" x14ac:dyDescent="0.3">
      <c r="D2647" s="33"/>
      <c r="E2647" s="127"/>
      <c r="F2647" s="128"/>
      <c r="G2647" s="128"/>
      <c r="H2647" s="129"/>
      <c r="I2647" s="130"/>
      <c r="J2647" s="23"/>
      <c r="K2647" s="23"/>
      <c r="L2647" s="23"/>
      <c r="M2647" s="131"/>
      <c r="N2647" s="131"/>
      <c r="O2647" s="131"/>
    </row>
    <row r="2648" spans="4:15" x14ac:dyDescent="0.3">
      <c r="D2648" s="33"/>
      <c r="E2648" s="127"/>
      <c r="F2648" s="128"/>
      <c r="G2648" s="128"/>
      <c r="H2648" s="129"/>
      <c r="I2648" s="130"/>
      <c r="J2648" s="23"/>
      <c r="K2648" s="23"/>
      <c r="L2648" s="23"/>
      <c r="M2648" s="131"/>
      <c r="N2648" s="131"/>
      <c r="O2648" s="131"/>
    </row>
    <row r="2649" spans="4:15" x14ac:dyDescent="0.3">
      <c r="D2649" s="33"/>
      <c r="E2649" s="127"/>
      <c r="F2649" s="128"/>
      <c r="G2649" s="128"/>
      <c r="H2649" s="129"/>
      <c r="I2649" s="130"/>
      <c r="J2649" s="23"/>
      <c r="K2649" s="23"/>
      <c r="L2649" s="23"/>
      <c r="M2649" s="131"/>
      <c r="N2649" s="131"/>
      <c r="O2649" s="131"/>
    </row>
    <row r="2650" spans="4:15" x14ac:dyDescent="0.3">
      <c r="D2650" s="33"/>
      <c r="E2650" s="127"/>
      <c r="F2650" s="128"/>
      <c r="G2650" s="128"/>
      <c r="H2650" s="129"/>
      <c r="I2650" s="130"/>
      <c r="J2650" s="23"/>
      <c r="K2650" s="23"/>
      <c r="L2650" s="23"/>
      <c r="M2650" s="131"/>
      <c r="N2650" s="131"/>
      <c r="O2650" s="131"/>
    </row>
    <row r="2651" spans="4:15" x14ac:dyDescent="0.3">
      <c r="D2651" s="33"/>
      <c r="E2651" s="127"/>
      <c r="F2651" s="128"/>
      <c r="G2651" s="128"/>
      <c r="H2651" s="129"/>
      <c r="I2651" s="130"/>
      <c r="J2651" s="23"/>
      <c r="K2651" s="23"/>
      <c r="L2651" s="23"/>
      <c r="M2651" s="131"/>
      <c r="N2651" s="131"/>
      <c r="O2651" s="131"/>
    </row>
    <row r="2652" spans="4:15" x14ac:dyDescent="0.3">
      <c r="D2652" s="33"/>
      <c r="E2652" s="127"/>
      <c r="F2652" s="128"/>
      <c r="G2652" s="128"/>
      <c r="H2652" s="129"/>
      <c r="I2652" s="130"/>
      <c r="J2652" s="23"/>
      <c r="K2652" s="23"/>
      <c r="L2652" s="23"/>
      <c r="M2652" s="131"/>
      <c r="N2652" s="131"/>
      <c r="O2652" s="131"/>
    </row>
    <row r="2653" spans="4:15" x14ac:dyDescent="0.3">
      <c r="D2653" s="33"/>
      <c r="E2653" s="127"/>
      <c r="F2653" s="128"/>
      <c r="G2653" s="128"/>
      <c r="H2653" s="129"/>
      <c r="I2653" s="130"/>
      <c r="J2653" s="23"/>
      <c r="K2653" s="23"/>
      <c r="L2653" s="23"/>
      <c r="M2653" s="131"/>
      <c r="N2653" s="131"/>
      <c r="O2653" s="131"/>
    </row>
    <row r="2654" spans="4:15" x14ac:dyDescent="0.3">
      <c r="D2654" s="33"/>
      <c r="E2654" s="127"/>
      <c r="F2654" s="128"/>
      <c r="G2654" s="128"/>
      <c r="H2654" s="129"/>
      <c r="I2654" s="130"/>
      <c r="J2654" s="23"/>
      <c r="K2654" s="23"/>
      <c r="L2654" s="23"/>
      <c r="M2654" s="131"/>
      <c r="N2654" s="131"/>
      <c r="O2654" s="131"/>
    </row>
    <row r="2655" spans="4:15" x14ac:dyDescent="0.3">
      <c r="D2655" s="33"/>
      <c r="E2655" s="127"/>
      <c r="F2655" s="128"/>
      <c r="G2655" s="128"/>
      <c r="H2655" s="129"/>
      <c r="I2655" s="130"/>
      <c r="J2655" s="23"/>
      <c r="K2655" s="23"/>
      <c r="L2655" s="23"/>
      <c r="M2655" s="131"/>
      <c r="N2655" s="131"/>
      <c r="O2655" s="131"/>
    </row>
    <row r="2656" spans="4:15" x14ac:dyDescent="0.3">
      <c r="D2656" s="33"/>
      <c r="E2656" s="127"/>
      <c r="F2656" s="128"/>
      <c r="G2656" s="128"/>
      <c r="H2656" s="129"/>
      <c r="I2656" s="130"/>
      <c r="J2656" s="23"/>
      <c r="K2656" s="23"/>
      <c r="L2656" s="23"/>
      <c r="M2656" s="131"/>
      <c r="N2656" s="131"/>
      <c r="O2656" s="131"/>
    </row>
    <row r="2657" spans="4:15" x14ac:dyDescent="0.3">
      <c r="D2657" s="33"/>
      <c r="E2657" s="127"/>
      <c r="F2657" s="128"/>
      <c r="G2657" s="128"/>
      <c r="H2657" s="129"/>
      <c r="I2657" s="130"/>
      <c r="J2657" s="23"/>
      <c r="K2657" s="23"/>
      <c r="L2657" s="23"/>
      <c r="M2657" s="131"/>
      <c r="N2657" s="131"/>
      <c r="O2657" s="131"/>
    </row>
    <row r="2658" spans="4:15" x14ac:dyDescent="0.3">
      <c r="D2658" s="33"/>
      <c r="E2658" s="127"/>
      <c r="F2658" s="128"/>
      <c r="G2658" s="128"/>
      <c r="H2658" s="129"/>
      <c r="I2658" s="130"/>
      <c r="J2658" s="23"/>
      <c r="K2658" s="23"/>
      <c r="L2658" s="23"/>
      <c r="M2658" s="131"/>
      <c r="N2658" s="131"/>
      <c r="O2658" s="131"/>
    </row>
    <row r="2659" spans="4:15" x14ac:dyDescent="0.3">
      <c r="D2659" s="33"/>
      <c r="E2659" s="127"/>
      <c r="F2659" s="128"/>
      <c r="G2659" s="128"/>
      <c r="H2659" s="129"/>
      <c r="I2659" s="130"/>
      <c r="J2659" s="23"/>
      <c r="K2659" s="23"/>
      <c r="L2659" s="23"/>
      <c r="M2659" s="131"/>
      <c r="N2659" s="131"/>
      <c r="O2659" s="131"/>
    </row>
    <row r="2660" spans="4:15" x14ac:dyDescent="0.3">
      <c r="D2660" s="33"/>
      <c r="E2660" s="127"/>
      <c r="F2660" s="128"/>
      <c r="G2660" s="128"/>
      <c r="H2660" s="129"/>
      <c r="I2660" s="130"/>
      <c r="J2660" s="23"/>
      <c r="K2660" s="23"/>
      <c r="L2660" s="23"/>
      <c r="M2660" s="131"/>
      <c r="N2660" s="131"/>
      <c r="O2660" s="131"/>
    </row>
    <row r="2661" spans="4:15" x14ac:dyDescent="0.3">
      <c r="D2661" s="33"/>
      <c r="E2661" s="127"/>
      <c r="F2661" s="128"/>
      <c r="G2661" s="128"/>
      <c r="H2661" s="129"/>
      <c r="I2661" s="130"/>
      <c r="J2661" s="23"/>
      <c r="K2661" s="23"/>
      <c r="L2661" s="23"/>
      <c r="M2661" s="131"/>
      <c r="N2661" s="131"/>
      <c r="O2661" s="131"/>
    </row>
    <row r="2662" spans="4:15" x14ac:dyDescent="0.3">
      <c r="D2662" s="33"/>
      <c r="E2662" s="127"/>
      <c r="F2662" s="128"/>
      <c r="G2662" s="128"/>
      <c r="H2662" s="129"/>
      <c r="I2662" s="130"/>
      <c r="J2662" s="23"/>
      <c r="K2662" s="23"/>
      <c r="L2662" s="23"/>
      <c r="M2662" s="131"/>
      <c r="N2662" s="131"/>
      <c r="O2662" s="131"/>
    </row>
    <row r="2663" spans="4:15" x14ac:dyDescent="0.3">
      <c r="D2663" s="33"/>
      <c r="E2663" s="127"/>
      <c r="F2663" s="128"/>
      <c r="G2663" s="128"/>
      <c r="H2663" s="129"/>
      <c r="I2663" s="130"/>
      <c r="J2663" s="23"/>
      <c r="K2663" s="23"/>
      <c r="L2663" s="23"/>
      <c r="M2663" s="131"/>
      <c r="N2663" s="131"/>
      <c r="O2663" s="131"/>
    </row>
    <row r="2664" spans="4:15" x14ac:dyDescent="0.3">
      <c r="D2664" s="33"/>
      <c r="E2664" s="127"/>
      <c r="F2664" s="128"/>
      <c r="G2664" s="128"/>
      <c r="H2664" s="129"/>
      <c r="I2664" s="130"/>
      <c r="J2664" s="23"/>
      <c r="K2664" s="23"/>
      <c r="L2664" s="23"/>
      <c r="M2664" s="131"/>
      <c r="N2664" s="131"/>
      <c r="O2664" s="131"/>
    </row>
    <row r="2665" spans="4:15" x14ac:dyDescent="0.3">
      <c r="D2665" s="33"/>
      <c r="E2665" s="127"/>
      <c r="F2665" s="128"/>
      <c r="G2665" s="128"/>
      <c r="H2665" s="129"/>
      <c r="I2665" s="130"/>
      <c r="J2665" s="23"/>
      <c r="K2665" s="23"/>
      <c r="L2665" s="23"/>
      <c r="M2665" s="131"/>
      <c r="N2665" s="131"/>
      <c r="O2665" s="131"/>
    </row>
    <row r="2666" spans="4:15" x14ac:dyDescent="0.3">
      <c r="D2666" s="33"/>
      <c r="E2666" s="127"/>
      <c r="F2666" s="128"/>
      <c r="G2666" s="128"/>
      <c r="H2666" s="129"/>
      <c r="I2666" s="130"/>
      <c r="J2666" s="23"/>
      <c r="K2666" s="23"/>
      <c r="L2666" s="23"/>
      <c r="M2666" s="131"/>
      <c r="N2666" s="131"/>
      <c r="O2666" s="131"/>
    </row>
    <row r="2667" spans="4:15" x14ac:dyDescent="0.3">
      <c r="D2667" s="33"/>
      <c r="E2667" s="127"/>
      <c r="F2667" s="128"/>
      <c r="G2667" s="128"/>
      <c r="H2667" s="129"/>
      <c r="I2667" s="130"/>
      <c r="J2667" s="23"/>
      <c r="K2667" s="23"/>
      <c r="L2667" s="23"/>
      <c r="M2667" s="131"/>
      <c r="N2667" s="131"/>
      <c r="O2667" s="131"/>
    </row>
    <row r="2668" spans="4:15" x14ac:dyDescent="0.3">
      <c r="D2668" s="33"/>
      <c r="E2668" s="127"/>
      <c r="F2668" s="128"/>
      <c r="G2668" s="128"/>
      <c r="H2668" s="129"/>
      <c r="I2668" s="130"/>
      <c r="J2668" s="23"/>
      <c r="K2668" s="23"/>
      <c r="L2668" s="23"/>
      <c r="M2668" s="131"/>
      <c r="N2668" s="131"/>
      <c r="O2668" s="131"/>
    </row>
    <row r="2669" spans="4:15" x14ac:dyDescent="0.3">
      <c r="D2669" s="33"/>
      <c r="E2669" s="127"/>
      <c r="F2669" s="128"/>
      <c r="G2669" s="128"/>
      <c r="H2669" s="129"/>
      <c r="I2669" s="130"/>
      <c r="J2669" s="23"/>
      <c r="K2669" s="23"/>
      <c r="L2669" s="23"/>
      <c r="M2669" s="131"/>
      <c r="N2669" s="131"/>
      <c r="O2669" s="131"/>
    </row>
    <row r="2670" spans="4:15" x14ac:dyDescent="0.3">
      <c r="D2670" s="33"/>
      <c r="E2670" s="127"/>
      <c r="F2670" s="128"/>
      <c r="G2670" s="128"/>
      <c r="H2670" s="129"/>
      <c r="I2670" s="130"/>
      <c r="J2670" s="23"/>
      <c r="K2670" s="23"/>
      <c r="L2670" s="23"/>
      <c r="M2670" s="131"/>
      <c r="N2670" s="131"/>
      <c r="O2670" s="131"/>
    </row>
    <row r="2671" spans="4:15" x14ac:dyDescent="0.3">
      <c r="D2671" s="33"/>
      <c r="E2671" s="127"/>
      <c r="F2671" s="128"/>
      <c r="G2671" s="128"/>
      <c r="H2671" s="129"/>
      <c r="I2671" s="130"/>
      <c r="J2671" s="23"/>
      <c r="K2671" s="23"/>
      <c r="L2671" s="23"/>
      <c r="M2671" s="131"/>
      <c r="N2671" s="131"/>
      <c r="O2671" s="131"/>
    </row>
    <row r="2672" spans="4:15" x14ac:dyDescent="0.3">
      <c r="D2672" s="33"/>
      <c r="E2672" s="127"/>
      <c r="F2672" s="128"/>
      <c r="G2672" s="128"/>
      <c r="H2672" s="129"/>
      <c r="I2672" s="130"/>
      <c r="J2672" s="23"/>
      <c r="K2672" s="23"/>
      <c r="L2672" s="23"/>
      <c r="M2672" s="131"/>
      <c r="N2672" s="131"/>
      <c r="O2672" s="131"/>
    </row>
    <row r="2673" spans="4:15" x14ac:dyDescent="0.3">
      <c r="D2673" s="33"/>
      <c r="E2673" s="127"/>
      <c r="F2673" s="128"/>
      <c r="G2673" s="128"/>
      <c r="H2673" s="129"/>
      <c r="I2673" s="130"/>
      <c r="J2673" s="23"/>
      <c r="K2673" s="23"/>
      <c r="L2673" s="23"/>
      <c r="M2673" s="131"/>
      <c r="N2673" s="131"/>
      <c r="O2673" s="131"/>
    </row>
    <row r="2674" spans="4:15" x14ac:dyDescent="0.3">
      <c r="D2674" s="33"/>
      <c r="E2674" s="127"/>
      <c r="F2674" s="128"/>
      <c r="G2674" s="128"/>
      <c r="H2674" s="129"/>
      <c r="I2674" s="130"/>
      <c r="J2674" s="23"/>
      <c r="K2674" s="23"/>
      <c r="L2674" s="23"/>
      <c r="M2674" s="131"/>
      <c r="N2674" s="131"/>
      <c r="O2674" s="131"/>
    </row>
    <row r="2675" spans="4:15" x14ac:dyDescent="0.3">
      <c r="D2675" s="33"/>
      <c r="E2675" s="127"/>
      <c r="F2675" s="128"/>
      <c r="G2675" s="128"/>
      <c r="H2675" s="129"/>
      <c r="I2675" s="130"/>
      <c r="J2675" s="23"/>
      <c r="K2675" s="23"/>
      <c r="L2675" s="23"/>
      <c r="M2675" s="131"/>
      <c r="N2675" s="131"/>
      <c r="O2675" s="131"/>
    </row>
    <row r="2676" spans="4:15" x14ac:dyDescent="0.3">
      <c r="D2676" s="33"/>
      <c r="E2676" s="127"/>
      <c r="F2676" s="128"/>
      <c r="G2676" s="128"/>
      <c r="H2676" s="129"/>
      <c r="I2676" s="130"/>
      <c r="J2676" s="23"/>
      <c r="K2676" s="23"/>
      <c r="L2676" s="23"/>
      <c r="M2676" s="131"/>
      <c r="N2676" s="131"/>
      <c r="O2676" s="131"/>
    </row>
    <row r="2677" spans="4:15" x14ac:dyDescent="0.3">
      <c r="D2677" s="33"/>
      <c r="E2677" s="127"/>
      <c r="F2677" s="128"/>
      <c r="G2677" s="128"/>
      <c r="H2677" s="129"/>
      <c r="I2677" s="130"/>
      <c r="J2677" s="23"/>
      <c r="K2677" s="23"/>
      <c r="L2677" s="23"/>
      <c r="M2677" s="131"/>
      <c r="N2677" s="131"/>
      <c r="O2677" s="131"/>
    </row>
    <row r="2678" spans="4:15" x14ac:dyDescent="0.3">
      <c r="D2678" s="33"/>
      <c r="E2678" s="127"/>
      <c r="F2678" s="128"/>
      <c r="G2678" s="128"/>
      <c r="H2678" s="129"/>
      <c r="I2678" s="130"/>
      <c r="J2678" s="23"/>
      <c r="K2678" s="23"/>
      <c r="L2678" s="23"/>
      <c r="M2678" s="131"/>
      <c r="N2678" s="131"/>
      <c r="O2678" s="131"/>
    </row>
    <row r="2679" spans="4:15" x14ac:dyDescent="0.3">
      <c r="D2679" s="33"/>
      <c r="E2679" s="127"/>
      <c r="F2679" s="128"/>
      <c r="G2679" s="128"/>
      <c r="H2679" s="129"/>
      <c r="I2679" s="130"/>
      <c r="J2679" s="23"/>
      <c r="K2679" s="23"/>
      <c r="L2679" s="23"/>
      <c r="M2679" s="131"/>
      <c r="N2679" s="131"/>
      <c r="O2679" s="131"/>
    </row>
    <row r="2680" spans="4:15" x14ac:dyDescent="0.3">
      <c r="D2680" s="33"/>
      <c r="E2680" s="127"/>
      <c r="F2680" s="128"/>
      <c r="G2680" s="128"/>
      <c r="H2680" s="129"/>
      <c r="I2680" s="130"/>
      <c r="J2680" s="23"/>
      <c r="K2680" s="23"/>
      <c r="L2680" s="23"/>
      <c r="M2680" s="131"/>
      <c r="N2680" s="131"/>
      <c r="O2680" s="131"/>
    </row>
    <row r="2681" spans="4:15" x14ac:dyDescent="0.3">
      <c r="D2681" s="33"/>
      <c r="E2681" s="127"/>
      <c r="F2681" s="128"/>
      <c r="G2681" s="128"/>
      <c r="H2681" s="129"/>
      <c r="I2681" s="130"/>
      <c r="J2681" s="23"/>
      <c r="K2681" s="23"/>
      <c r="L2681" s="23"/>
      <c r="M2681" s="131"/>
      <c r="N2681" s="131"/>
      <c r="O2681" s="131"/>
    </row>
    <row r="2682" spans="4:15" x14ac:dyDescent="0.3">
      <c r="D2682" s="33"/>
      <c r="E2682" s="127"/>
      <c r="F2682" s="128"/>
      <c r="G2682" s="128"/>
      <c r="H2682" s="129"/>
      <c r="I2682" s="130"/>
      <c r="J2682" s="23"/>
      <c r="K2682" s="23"/>
      <c r="L2682" s="23"/>
      <c r="M2682" s="131"/>
      <c r="N2682" s="131"/>
      <c r="O2682" s="131"/>
    </row>
    <row r="2683" spans="4:15" x14ac:dyDescent="0.3">
      <c r="D2683" s="33"/>
      <c r="E2683" s="127"/>
      <c r="F2683" s="128"/>
      <c r="G2683" s="128"/>
      <c r="H2683" s="129"/>
      <c r="I2683" s="130"/>
      <c r="J2683" s="23"/>
      <c r="K2683" s="23"/>
      <c r="L2683" s="23"/>
      <c r="M2683" s="131"/>
      <c r="N2683" s="131"/>
      <c r="O2683" s="131"/>
    </row>
    <row r="2684" spans="4:15" x14ac:dyDescent="0.3">
      <c r="D2684" s="33"/>
      <c r="E2684" s="127"/>
      <c r="F2684" s="128"/>
      <c r="G2684" s="128"/>
      <c r="H2684" s="129"/>
      <c r="I2684" s="130"/>
      <c r="J2684" s="23"/>
      <c r="K2684" s="23"/>
      <c r="L2684" s="23"/>
      <c r="M2684" s="131"/>
      <c r="N2684" s="131"/>
      <c r="O2684" s="131"/>
    </row>
    <row r="2685" spans="4:15" x14ac:dyDescent="0.3">
      <c r="D2685" s="33"/>
      <c r="E2685" s="127"/>
      <c r="F2685" s="128"/>
      <c r="G2685" s="128"/>
      <c r="H2685" s="129"/>
      <c r="I2685" s="130"/>
      <c r="J2685" s="23"/>
      <c r="K2685" s="23"/>
      <c r="L2685" s="23"/>
      <c r="M2685" s="131"/>
      <c r="N2685" s="131"/>
      <c r="O2685" s="131"/>
    </row>
    <row r="2686" spans="4:15" x14ac:dyDescent="0.3">
      <c r="D2686" s="33"/>
      <c r="E2686" s="127"/>
      <c r="F2686" s="128"/>
      <c r="G2686" s="128"/>
      <c r="H2686" s="129"/>
      <c r="I2686" s="130"/>
      <c r="J2686" s="23"/>
      <c r="K2686" s="23"/>
      <c r="L2686" s="23"/>
      <c r="M2686" s="131"/>
      <c r="N2686" s="131"/>
      <c r="O2686" s="131"/>
    </row>
    <row r="2687" spans="4:15" x14ac:dyDescent="0.3">
      <c r="D2687" s="33"/>
      <c r="E2687" s="127"/>
      <c r="F2687" s="128"/>
      <c r="G2687" s="128"/>
      <c r="H2687" s="129"/>
      <c r="I2687" s="130"/>
      <c r="J2687" s="23"/>
      <c r="K2687" s="23"/>
      <c r="L2687" s="23"/>
      <c r="M2687" s="131"/>
      <c r="N2687" s="131"/>
      <c r="O2687" s="131"/>
    </row>
    <row r="2688" spans="4:15" x14ac:dyDescent="0.3">
      <c r="D2688" s="33"/>
      <c r="E2688" s="127"/>
      <c r="F2688" s="128"/>
      <c r="G2688" s="128"/>
      <c r="H2688" s="129"/>
      <c r="I2688" s="130"/>
      <c r="J2688" s="23"/>
      <c r="K2688" s="23"/>
      <c r="L2688" s="23"/>
      <c r="M2688" s="131"/>
      <c r="N2688" s="131"/>
      <c r="O2688" s="131"/>
    </row>
    <row r="2689" spans="4:15" x14ac:dyDescent="0.3">
      <c r="D2689" s="33"/>
      <c r="E2689" s="127"/>
      <c r="F2689" s="128"/>
      <c r="G2689" s="128"/>
      <c r="H2689" s="129"/>
      <c r="I2689" s="130"/>
      <c r="J2689" s="23"/>
      <c r="K2689" s="23"/>
      <c r="L2689" s="23"/>
      <c r="M2689" s="131"/>
      <c r="N2689" s="131"/>
      <c r="O2689" s="131"/>
    </row>
    <row r="2690" spans="4:15" x14ac:dyDescent="0.3">
      <c r="D2690" s="33"/>
      <c r="E2690" s="127"/>
      <c r="F2690" s="128"/>
      <c r="G2690" s="128"/>
      <c r="H2690" s="129"/>
      <c r="I2690" s="130"/>
      <c r="J2690" s="23"/>
      <c r="K2690" s="23"/>
      <c r="L2690" s="23"/>
      <c r="M2690" s="131"/>
      <c r="N2690" s="131"/>
      <c r="O2690" s="131"/>
    </row>
    <row r="2691" spans="4:15" x14ac:dyDescent="0.3">
      <c r="D2691" s="33"/>
      <c r="E2691" s="127"/>
      <c r="F2691" s="128"/>
      <c r="G2691" s="128"/>
      <c r="H2691" s="129"/>
      <c r="I2691" s="130"/>
      <c r="J2691" s="23"/>
      <c r="K2691" s="23"/>
      <c r="L2691" s="23"/>
      <c r="M2691" s="131"/>
      <c r="N2691" s="131"/>
      <c r="O2691" s="131"/>
    </row>
    <row r="2692" spans="4:15" x14ac:dyDescent="0.3">
      <c r="D2692" s="33"/>
      <c r="E2692" s="127"/>
      <c r="F2692" s="128"/>
      <c r="G2692" s="128"/>
      <c r="H2692" s="129"/>
      <c r="I2692" s="130"/>
      <c r="J2692" s="23"/>
      <c r="K2692" s="23"/>
      <c r="L2692" s="23"/>
      <c r="M2692" s="131"/>
      <c r="N2692" s="131"/>
      <c r="O2692" s="131"/>
    </row>
    <row r="2693" spans="4:15" x14ac:dyDescent="0.3">
      <c r="D2693" s="33"/>
      <c r="E2693" s="127"/>
      <c r="F2693" s="128"/>
      <c r="G2693" s="128"/>
      <c r="H2693" s="129"/>
      <c r="I2693" s="130"/>
      <c r="J2693" s="23"/>
      <c r="K2693" s="23"/>
      <c r="L2693" s="23"/>
      <c r="M2693" s="131"/>
      <c r="N2693" s="131"/>
      <c r="O2693" s="131"/>
    </row>
    <row r="2694" spans="4:15" x14ac:dyDescent="0.3">
      <c r="D2694" s="33"/>
      <c r="E2694" s="127"/>
      <c r="F2694" s="128"/>
      <c r="G2694" s="128"/>
      <c r="H2694" s="129"/>
      <c r="I2694" s="130"/>
      <c r="J2694" s="23"/>
      <c r="K2694" s="23"/>
      <c r="L2694" s="23"/>
      <c r="M2694" s="131"/>
      <c r="N2694" s="131"/>
      <c r="O2694" s="131"/>
    </row>
    <row r="2695" spans="4:15" x14ac:dyDescent="0.3">
      <c r="D2695" s="33"/>
      <c r="E2695" s="127"/>
      <c r="F2695" s="128"/>
      <c r="G2695" s="128"/>
      <c r="H2695" s="129"/>
      <c r="I2695" s="130"/>
      <c r="J2695" s="23"/>
      <c r="K2695" s="23"/>
      <c r="L2695" s="23"/>
      <c r="M2695" s="131"/>
      <c r="N2695" s="131"/>
      <c r="O2695" s="131"/>
    </row>
    <row r="2696" spans="4:15" x14ac:dyDescent="0.3">
      <c r="D2696" s="33"/>
      <c r="E2696" s="127"/>
      <c r="F2696" s="128"/>
      <c r="G2696" s="128"/>
      <c r="H2696" s="129"/>
      <c r="I2696" s="130"/>
      <c r="J2696" s="23"/>
      <c r="K2696" s="23"/>
      <c r="L2696" s="23"/>
      <c r="M2696" s="131"/>
      <c r="N2696" s="131"/>
      <c r="O2696" s="131"/>
    </row>
    <row r="2697" spans="4:15" x14ac:dyDescent="0.3">
      <c r="D2697" s="33"/>
      <c r="E2697" s="127"/>
      <c r="F2697" s="128"/>
      <c r="G2697" s="128"/>
      <c r="H2697" s="129"/>
      <c r="I2697" s="130"/>
      <c r="J2697" s="23"/>
      <c r="K2697" s="23"/>
      <c r="L2697" s="23"/>
      <c r="M2697" s="131"/>
      <c r="N2697" s="131"/>
      <c r="O2697" s="131"/>
    </row>
    <row r="2698" spans="4:15" x14ac:dyDescent="0.3">
      <c r="D2698" s="33"/>
      <c r="E2698" s="127"/>
      <c r="F2698" s="128"/>
      <c r="G2698" s="128"/>
      <c r="H2698" s="129"/>
      <c r="I2698" s="130"/>
      <c r="J2698" s="23"/>
      <c r="K2698" s="23"/>
      <c r="L2698" s="23"/>
      <c r="M2698" s="131"/>
      <c r="N2698" s="131"/>
      <c r="O2698" s="131"/>
    </row>
    <row r="2699" spans="4:15" x14ac:dyDescent="0.3">
      <c r="D2699" s="33"/>
      <c r="E2699" s="127"/>
      <c r="F2699" s="128"/>
      <c r="G2699" s="128"/>
      <c r="H2699" s="129"/>
      <c r="I2699" s="130"/>
      <c r="J2699" s="23"/>
      <c r="K2699" s="23"/>
      <c r="L2699" s="23"/>
      <c r="M2699" s="131"/>
      <c r="N2699" s="131"/>
      <c r="O2699" s="131"/>
    </row>
    <row r="2700" spans="4:15" x14ac:dyDescent="0.3">
      <c r="D2700" s="33"/>
      <c r="E2700" s="127"/>
      <c r="F2700" s="128"/>
      <c r="G2700" s="128"/>
      <c r="H2700" s="129"/>
      <c r="I2700" s="130"/>
      <c r="J2700" s="23"/>
      <c r="K2700" s="23"/>
      <c r="L2700" s="23"/>
      <c r="M2700" s="131"/>
      <c r="N2700" s="131"/>
      <c r="O2700" s="131"/>
    </row>
    <row r="2701" spans="4:15" x14ac:dyDescent="0.3">
      <c r="D2701" s="33"/>
      <c r="E2701" s="127"/>
      <c r="F2701" s="128"/>
      <c r="G2701" s="128"/>
      <c r="H2701" s="129"/>
      <c r="I2701" s="130"/>
      <c r="J2701" s="23"/>
      <c r="K2701" s="23"/>
      <c r="L2701" s="23"/>
      <c r="M2701" s="131"/>
      <c r="N2701" s="131"/>
      <c r="O2701" s="131"/>
    </row>
    <row r="2702" spans="4:15" x14ac:dyDescent="0.3">
      <c r="D2702" s="33"/>
      <c r="E2702" s="127"/>
      <c r="F2702" s="128"/>
      <c r="G2702" s="128"/>
      <c r="H2702" s="129"/>
      <c r="I2702" s="130"/>
      <c r="J2702" s="23"/>
      <c r="K2702" s="23"/>
      <c r="L2702" s="23"/>
      <c r="M2702" s="131"/>
      <c r="N2702" s="131"/>
      <c r="O2702" s="131"/>
    </row>
    <row r="2703" spans="4:15" x14ac:dyDescent="0.3">
      <c r="D2703" s="33"/>
      <c r="E2703" s="127"/>
      <c r="F2703" s="128"/>
      <c r="G2703" s="128"/>
      <c r="H2703" s="129"/>
      <c r="I2703" s="130"/>
      <c r="J2703" s="23"/>
      <c r="K2703" s="23"/>
      <c r="L2703" s="23"/>
      <c r="M2703" s="131"/>
      <c r="N2703" s="131"/>
      <c r="O2703" s="131"/>
    </row>
    <row r="2704" spans="4:15" x14ac:dyDescent="0.3">
      <c r="D2704" s="33"/>
      <c r="E2704" s="127"/>
      <c r="F2704" s="128"/>
      <c r="G2704" s="128"/>
      <c r="H2704" s="129"/>
      <c r="I2704" s="130"/>
      <c r="J2704" s="23"/>
      <c r="K2704" s="23"/>
      <c r="L2704" s="23"/>
      <c r="M2704" s="131"/>
      <c r="N2704" s="131"/>
      <c r="O2704" s="131"/>
    </row>
    <row r="2705" spans="4:15" x14ac:dyDescent="0.3">
      <c r="D2705" s="33"/>
      <c r="E2705" s="127"/>
      <c r="F2705" s="128"/>
      <c r="G2705" s="128"/>
      <c r="H2705" s="129"/>
      <c r="I2705" s="130"/>
      <c r="J2705" s="23"/>
      <c r="K2705" s="23"/>
      <c r="L2705" s="23"/>
      <c r="M2705" s="131"/>
      <c r="N2705" s="131"/>
      <c r="O2705" s="131"/>
    </row>
    <row r="2706" spans="4:15" x14ac:dyDescent="0.3">
      <c r="D2706" s="33"/>
      <c r="E2706" s="127"/>
      <c r="F2706" s="128"/>
      <c r="G2706" s="128"/>
      <c r="H2706" s="129"/>
      <c r="I2706" s="130"/>
      <c r="J2706" s="23"/>
      <c r="K2706" s="23"/>
      <c r="L2706" s="23"/>
      <c r="M2706" s="131"/>
      <c r="N2706" s="131"/>
      <c r="O2706" s="131"/>
    </row>
    <row r="2707" spans="4:15" x14ac:dyDescent="0.3">
      <c r="D2707" s="33"/>
      <c r="E2707" s="127"/>
      <c r="F2707" s="128"/>
      <c r="G2707" s="128"/>
      <c r="H2707" s="129"/>
      <c r="I2707" s="130"/>
      <c r="J2707" s="23"/>
      <c r="K2707" s="23"/>
      <c r="L2707" s="23"/>
      <c r="M2707" s="131"/>
      <c r="N2707" s="131"/>
      <c r="O2707" s="131"/>
    </row>
    <row r="2708" spans="4:15" x14ac:dyDescent="0.3">
      <c r="D2708" s="33"/>
      <c r="E2708" s="127"/>
      <c r="F2708" s="128"/>
      <c r="G2708" s="128"/>
      <c r="H2708" s="129"/>
      <c r="I2708" s="130"/>
      <c r="J2708" s="23"/>
      <c r="K2708" s="23"/>
      <c r="L2708" s="23"/>
      <c r="M2708" s="131"/>
      <c r="N2708" s="131"/>
      <c r="O2708" s="131"/>
    </row>
    <row r="2709" spans="4:15" x14ac:dyDescent="0.3">
      <c r="D2709" s="33"/>
      <c r="E2709" s="127"/>
      <c r="F2709" s="128"/>
      <c r="G2709" s="128"/>
      <c r="H2709" s="129"/>
      <c r="I2709" s="130"/>
      <c r="J2709" s="23"/>
      <c r="K2709" s="23"/>
      <c r="L2709" s="23"/>
      <c r="M2709" s="131"/>
      <c r="N2709" s="131"/>
      <c r="O2709" s="131"/>
    </row>
    <row r="2710" spans="4:15" x14ac:dyDescent="0.3">
      <c r="D2710" s="33"/>
      <c r="E2710" s="127"/>
      <c r="F2710" s="128"/>
      <c r="G2710" s="128"/>
      <c r="H2710" s="129"/>
      <c r="I2710" s="130"/>
      <c r="J2710" s="23"/>
      <c r="K2710" s="23"/>
      <c r="L2710" s="23"/>
      <c r="M2710" s="131"/>
      <c r="N2710" s="131"/>
      <c r="O2710" s="131"/>
    </row>
    <row r="2711" spans="4:15" x14ac:dyDescent="0.3">
      <c r="D2711" s="33"/>
      <c r="E2711" s="127"/>
      <c r="F2711" s="128"/>
      <c r="G2711" s="128"/>
      <c r="H2711" s="129"/>
      <c r="I2711" s="130"/>
      <c r="J2711" s="23"/>
      <c r="K2711" s="23"/>
      <c r="L2711" s="23"/>
      <c r="M2711" s="131"/>
      <c r="N2711" s="131"/>
      <c r="O2711" s="131"/>
    </row>
    <row r="2712" spans="4:15" x14ac:dyDescent="0.3">
      <c r="D2712" s="33"/>
      <c r="E2712" s="127"/>
      <c r="F2712" s="128"/>
      <c r="G2712" s="128"/>
      <c r="H2712" s="129"/>
      <c r="I2712" s="130"/>
      <c r="J2712" s="23"/>
      <c r="K2712" s="23"/>
      <c r="L2712" s="23"/>
      <c r="M2712" s="131"/>
      <c r="N2712" s="131"/>
      <c r="O2712" s="131"/>
    </row>
    <row r="2713" spans="4:15" x14ac:dyDescent="0.3">
      <c r="D2713" s="33"/>
      <c r="E2713" s="127"/>
      <c r="F2713" s="128"/>
      <c r="G2713" s="128"/>
      <c r="H2713" s="129"/>
      <c r="I2713" s="130"/>
      <c r="J2713" s="23"/>
      <c r="K2713" s="23"/>
      <c r="L2713" s="23"/>
      <c r="M2713" s="131"/>
      <c r="N2713" s="131"/>
      <c r="O2713" s="131"/>
    </row>
    <row r="2714" spans="4:15" x14ac:dyDescent="0.3">
      <c r="D2714" s="33"/>
      <c r="E2714" s="127"/>
      <c r="F2714" s="128"/>
      <c r="G2714" s="128"/>
      <c r="H2714" s="129"/>
      <c r="I2714" s="130"/>
      <c r="J2714" s="23"/>
      <c r="K2714" s="23"/>
      <c r="L2714" s="23"/>
      <c r="M2714" s="131"/>
      <c r="N2714" s="131"/>
      <c r="O2714" s="131"/>
    </row>
    <row r="2715" spans="4:15" x14ac:dyDescent="0.3">
      <c r="D2715" s="33"/>
      <c r="E2715" s="127"/>
      <c r="F2715" s="128"/>
      <c r="G2715" s="128"/>
      <c r="H2715" s="129"/>
      <c r="I2715" s="130"/>
      <c r="J2715" s="23"/>
      <c r="K2715" s="23"/>
      <c r="L2715" s="23"/>
      <c r="M2715" s="131"/>
      <c r="N2715" s="131"/>
      <c r="O2715" s="131"/>
    </row>
    <row r="2716" spans="4:15" x14ac:dyDescent="0.3">
      <c r="D2716" s="33"/>
      <c r="E2716" s="127"/>
      <c r="F2716" s="128"/>
      <c r="G2716" s="128"/>
      <c r="H2716" s="129"/>
      <c r="I2716" s="130"/>
      <c r="J2716" s="23"/>
      <c r="K2716" s="23"/>
      <c r="L2716" s="23"/>
      <c r="M2716" s="131"/>
      <c r="N2716" s="131"/>
      <c r="O2716" s="131"/>
    </row>
    <row r="2717" spans="4:15" x14ac:dyDescent="0.3">
      <c r="D2717" s="33"/>
      <c r="E2717" s="127"/>
      <c r="F2717" s="128"/>
      <c r="G2717" s="128"/>
      <c r="H2717" s="129"/>
      <c r="I2717" s="130"/>
      <c r="J2717" s="23"/>
      <c r="K2717" s="23"/>
      <c r="L2717" s="23"/>
      <c r="M2717" s="131"/>
      <c r="N2717" s="131"/>
      <c r="O2717" s="131"/>
    </row>
    <row r="2718" spans="4:15" x14ac:dyDescent="0.3">
      <c r="D2718" s="33"/>
      <c r="E2718" s="127"/>
      <c r="F2718" s="128"/>
      <c r="G2718" s="128"/>
      <c r="H2718" s="129"/>
      <c r="I2718" s="130"/>
      <c r="J2718" s="23"/>
      <c r="K2718" s="23"/>
      <c r="L2718" s="23"/>
      <c r="M2718" s="131"/>
      <c r="N2718" s="131"/>
      <c r="O2718" s="131"/>
    </row>
    <row r="2719" spans="4:15" x14ac:dyDescent="0.3">
      <c r="D2719" s="33"/>
      <c r="E2719" s="127"/>
      <c r="F2719" s="128"/>
      <c r="G2719" s="128"/>
      <c r="H2719" s="129"/>
      <c r="I2719" s="130"/>
      <c r="J2719" s="23"/>
      <c r="K2719" s="23"/>
      <c r="L2719" s="23"/>
      <c r="M2719" s="131"/>
      <c r="N2719" s="131"/>
      <c r="O2719" s="131"/>
    </row>
    <row r="2720" spans="4:15" x14ac:dyDescent="0.3">
      <c r="D2720" s="33"/>
      <c r="E2720" s="127"/>
      <c r="F2720" s="128"/>
      <c r="G2720" s="128"/>
      <c r="H2720" s="129"/>
      <c r="I2720" s="130"/>
      <c r="J2720" s="23"/>
      <c r="K2720" s="23"/>
      <c r="L2720" s="23"/>
      <c r="M2720" s="131"/>
      <c r="N2720" s="131"/>
      <c r="O2720" s="131"/>
    </row>
    <row r="2721" spans="4:15" x14ac:dyDescent="0.3">
      <c r="D2721" s="33"/>
      <c r="E2721" s="127"/>
      <c r="F2721" s="128"/>
      <c r="G2721" s="128"/>
      <c r="H2721" s="129"/>
      <c r="I2721" s="130"/>
      <c r="J2721" s="23"/>
      <c r="K2721" s="23"/>
      <c r="L2721" s="23"/>
      <c r="M2721" s="131"/>
      <c r="N2721" s="131"/>
      <c r="O2721" s="131"/>
    </row>
    <row r="2722" spans="4:15" x14ac:dyDescent="0.3">
      <c r="D2722" s="33"/>
      <c r="E2722" s="127"/>
      <c r="F2722" s="128"/>
      <c r="G2722" s="128"/>
      <c r="H2722" s="129"/>
      <c r="I2722" s="130"/>
      <c r="J2722" s="23"/>
      <c r="K2722" s="23"/>
      <c r="L2722" s="23"/>
      <c r="M2722" s="131"/>
      <c r="N2722" s="131"/>
      <c r="O2722" s="131"/>
    </row>
    <row r="2723" spans="4:15" x14ac:dyDescent="0.3">
      <c r="D2723" s="33"/>
      <c r="E2723" s="127"/>
      <c r="F2723" s="128"/>
      <c r="G2723" s="128"/>
      <c r="H2723" s="129"/>
      <c r="I2723" s="130"/>
      <c r="J2723" s="23"/>
      <c r="K2723" s="23"/>
      <c r="L2723" s="23"/>
      <c r="M2723" s="131"/>
      <c r="N2723" s="131"/>
      <c r="O2723" s="131"/>
    </row>
    <row r="2724" spans="4:15" x14ac:dyDescent="0.3">
      <c r="D2724" s="33"/>
      <c r="E2724" s="127"/>
      <c r="F2724" s="128"/>
      <c r="G2724" s="128"/>
      <c r="H2724" s="129"/>
      <c r="I2724" s="130"/>
      <c r="J2724" s="23"/>
      <c r="K2724" s="23"/>
      <c r="L2724" s="23"/>
      <c r="M2724" s="131"/>
      <c r="N2724" s="131"/>
      <c r="O2724" s="131"/>
    </row>
    <row r="2725" spans="4:15" x14ac:dyDescent="0.3">
      <c r="D2725" s="33"/>
      <c r="E2725" s="127"/>
      <c r="F2725" s="128"/>
      <c r="G2725" s="128"/>
      <c r="H2725" s="129"/>
      <c r="I2725" s="130"/>
      <c r="J2725" s="23"/>
      <c r="K2725" s="23"/>
      <c r="L2725" s="23"/>
      <c r="M2725" s="131"/>
      <c r="N2725" s="131"/>
      <c r="O2725" s="131"/>
    </row>
    <row r="2726" spans="4:15" x14ac:dyDescent="0.3">
      <c r="D2726" s="33"/>
      <c r="E2726" s="127"/>
      <c r="F2726" s="128"/>
      <c r="G2726" s="128"/>
      <c r="H2726" s="129"/>
      <c r="I2726" s="130"/>
      <c r="J2726" s="23"/>
      <c r="K2726" s="23"/>
      <c r="L2726" s="23"/>
      <c r="M2726" s="131"/>
      <c r="N2726" s="131"/>
      <c r="O2726" s="131"/>
    </row>
    <row r="2727" spans="4:15" x14ac:dyDescent="0.3">
      <c r="D2727" s="33"/>
      <c r="E2727" s="127"/>
      <c r="F2727" s="128"/>
      <c r="G2727" s="128"/>
      <c r="H2727" s="129"/>
      <c r="I2727" s="130"/>
      <c r="J2727" s="23"/>
      <c r="K2727" s="23"/>
      <c r="L2727" s="23"/>
      <c r="M2727" s="131"/>
      <c r="N2727" s="131"/>
      <c r="O2727" s="131"/>
    </row>
    <row r="2728" spans="4:15" x14ac:dyDescent="0.3">
      <c r="D2728" s="33"/>
      <c r="E2728" s="127"/>
      <c r="F2728" s="128"/>
      <c r="G2728" s="128"/>
      <c r="H2728" s="129"/>
      <c r="I2728" s="130"/>
      <c r="J2728" s="23"/>
      <c r="K2728" s="23"/>
      <c r="L2728" s="23"/>
      <c r="M2728" s="131"/>
      <c r="N2728" s="131"/>
      <c r="O2728" s="131"/>
    </row>
    <row r="2729" spans="4:15" x14ac:dyDescent="0.3">
      <c r="D2729" s="33"/>
      <c r="E2729" s="127"/>
      <c r="F2729" s="128"/>
      <c r="G2729" s="128"/>
      <c r="H2729" s="129"/>
      <c r="I2729" s="130"/>
      <c r="J2729" s="23"/>
      <c r="K2729" s="23"/>
      <c r="L2729" s="23"/>
      <c r="M2729" s="131"/>
      <c r="N2729" s="131"/>
      <c r="O2729" s="131"/>
    </row>
    <row r="2730" spans="4:15" x14ac:dyDescent="0.3">
      <c r="D2730" s="33"/>
      <c r="E2730" s="127"/>
      <c r="F2730" s="128"/>
      <c r="G2730" s="128"/>
      <c r="H2730" s="129"/>
      <c r="I2730" s="130"/>
      <c r="J2730" s="23"/>
      <c r="K2730" s="23"/>
      <c r="L2730" s="23"/>
      <c r="M2730" s="131"/>
      <c r="N2730" s="131"/>
      <c r="O2730" s="131"/>
    </row>
    <row r="2731" spans="4:15" x14ac:dyDescent="0.3">
      <c r="D2731" s="33"/>
      <c r="E2731" s="127"/>
      <c r="F2731" s="128"/>
      <c r="G2731" s="128"/>
      <c r="H2731" s="129"/>
      <c r="I2731" s="130"/>
      <c r="J2731" s="23"/>
      <c r="K2731" s="23"/>
      <c r="L2731" s="23"/>
      <c r="M2731" s="131"/>
      <c r="N2731" s="131"/>
      <c r="O2731" s="131"/>
    </row>
    <row r="2732" spans="4:15" x14ac:dyDescent="0.3">
      <c r="D2732" s="33"/>
      <c r="E2732" s="127"/>
      <c r="F2732" s="128"/>
      <c r="G2732" s="128"/>
      <c r="H2732" s="129"/>
      <c r="I2732" s="130"/>
      <c r="J2732" s="23"/>
      <c r="K2732" s="23"/>
      <c r="L2732" s="23"/>
      <c r="M2732" s="131"/>
      <c r="N2732" s="131"/>
      <c r="O2732" s="131"/>
    </row>
    <row r="2733" spans="4:15" x14ac:dyDescent="0.3">
      <c r="D2733" s="33"/>
      <c r="E2733" s="127"/>
      <c r="F2733" s="128"/>
      <c r="G2733" s="128"/>
      <c r="H2733" s="129"/>
      <c r="I2733" s="130"/>
      <c r="J2733" s="23"/>
      <c r="K2733" s="23"/>
      <c r="L2733" s="23"/>
      <c r="M2733" s="131"/>
      <c r="N2733" s="131"/>
      <c r="O2733" s="131"/>
    </row>
    <row r="2734" spans="4:15" x14ac:dyDescent="0.3">
      <c r="D2734" s="33"/>
      <c r="E2734" s="127"/>
      <c r="F2734" s="128"/>
      <c r="G2734" s="128"/>
      <c r="H2734" s="129"/>
      <c r="I2734" s="130"/>
      <c r="J2734" s="23"/>
      <c r="K2734" s="23"/>
      <c r="L2734" s="23"/>
      <c r="M2734" s="131"/>
      <c r="N2734" s="131"/>
      <c r="O2734" s="131"/>
    </row>
    <row r="2735" spans="4:15" x14ac:dyDescent="0.3">
      <c r="D2735" s="33"/>
      <c r="E2735" s="127"/>
      <c r="F2735" s="128"/>
      <c r="G2735" s="128"/>
      <c r="H2735" s="129"/>
      <c r="I2735" s="130"/>
      <c r="J2735" s="23"/>
      <c r="K2735" s="23"/>
      <c r="L2735" s="23"/>
      <c r="M2735" s="131"/>
      <c r="N2735" s="131"/>
      <c r="O2735" s="131"/>
    </row>
    <row r="2736" spans="4:15" x14ac:dyDescent="0.3">
      <c r="D2736" s="33"/>
      <c r="E2736" s="127"/>
      <c r="F2736" s="128"/>
      <c r="G2736" s="128"/>
      <c r="H2736" s="129"/>
      <c r="I2736" s="130"/>
      <c r="J2736" s="23"/>
      <c r="K2736" s="23"/>
      <c r="L2736" s="23"/>
      <c r="M2736" s="131"/>
      <c r="N2736" s="131"/>
      <c r="O2736" s="131"/>
    </row>
    <row r="2737" spans="4:15" x14ac:dyDescent="0.3">
      <c r="D2737" s="33"/>
      <c r="E2737" s="127"/>
      <c r="F2737" s="128"/>
      <c r="G2737" s="128"/>
      <c r="H2737" s="129"/>
      <c r="I2737" s="130"/>
      <c r="J2737" s="23"/>
      <c r="K2737" s="23"/>
      <c r="L2737" s="23"/>
      <c r="M2737" s="131"/>
      <c r="N2737" s="131"/>
      <c r="O2737" s="131"/>
    </row>
    <row r="2738" spans="4:15" x14ac:dyDescent="0.3">
      <c r="D2738" s="33"/>
      <c r="E2738" s="127"/>
      <c r="F2738" s="128"/>
      <c r="G2738" s="128"/>
      <c r="H2738" s="129"/>
      <c r="I2738" s="130"/>
      <c r="J2738" s="23"/>
      <c r="K2738" s="23"/>
      <c r="L2738" s="23"/>
      <c r="M2738" s="131"/>
      <c r="N2738" s="131"/>
      <c r="O2738" s="131"/>
    </row>
    <row r="2739" spans="4:15" x14ac:dyDescent="0.3">
      <c r="D2739" s="33"/>
      <c r="E2739" s="127"/>
      <c r="F2739" s="128"/>
      <c r="G2739" s="128"/>
      <c r="H2739" s="129"/>
      <c r="I2739" s="130"/>
      <c r="J2739" s="23"/>
      <c r="K2739" s="23"/>
      <c r="L2739" s="23"/>
      <c r="M2739" s="131"/>
      <c r="N2739" s="131"/>
      <c r="O2739" s="131"/>
    </row>
    <row r="2740" spans="4:15" x14ac:dyDescent="0.3">
      <c r="D2740" s="33"/>
      <c r="E2740" s="127"/>
      <c r="F2740" s="128"/>
      <c r="G2740" s="128"/>
      <c r="H2740" s="129"/>
      <c r="I2740" s="130"/>
      <c r="J2740" s="23"/>
      <c r="K2740" s="23"/>
      <c r="L2740" s="23"/>
      <c r="M2740" s="131"/>
      <c r="N2740" s="131"/>
      <c r="O2740" s="131"/>
    </row>
    <row r="2741" spans="4:15" x14ac:dyDescent="0.3">
      <c r="D2741" s="33"/>
      <c r="E2741" s="127"/>
      <c r="F2741" s="128"/>
      <c r="G2741" s="128"/>
      <c r="H2741" s="129"/>
      <c r="I2741" s="130"/>
      <c r="J2741" s="23"/>
      <c r="K2741" s="23"/>
      <c r="L2741" s="23"/>
      <c r="M2741" s="131"/>
      <c r="N2741" s="131"/>
      <c r="O2741" s="131"/>
    </row>
    <row r="2742" spans="4:15" x14ac:dyDescent="0.3">
      <c r="D2742" s="33"/>
      <c r="E2742" s="127"/>
      <c r="F2742" s="128"/>
      <c r="G2742" s="128"/>
      <c r="H2742" s="129"/>
      <c r="I2742" s="130"/>
      <c r="J2742" s="23"/>
      <c r="K2742" s="23"/>
      <c r="L2742" s="23"/>
      <c r="M2742" s="131"/>
      <c r="N2742" s="131"/>
      <c r="O2742" s="131"/>
    </row>
    <row r="2743" spans="4:15" x14ac:dyDescent="0.3">
      <c r="D2743" s="33"/>
      <c r="E2743" s="127"/>
      <c r="F2743" s="128"/>
      <c r="G2743" s="128"/>
      <c r="H2743" s="129"/>
      <c r="I2743" s="130"/>
      <c r="J2743" s="23"/>
      <c r="K2743" s="23"/>
      <c r="L2743" s="23"/>
      <c r="M2743" s="131"/>
      <c r="N2743" s="131"/>
      <c r="O2743" s="131"/>
    </row>
    <row r="2744" spans="4:15" x14ac:dyDescent="0.3">
      <c r="D2744" s="33"/>
      <c r="E2744" s="127"/>
      <c r="F2744" s="128"/>
      <c r="G2744" s="128"/>
      <c r="H2744" s="129"/>
      <c r="I2744" s="130"/>
      <c r="J2744" s="23"/>
      <c r="K2744" s="23"/>
      <c r="L2744" s="23"/>
      <c r="M2744" s="131"/>
      <c r="N2744" s="131"/>
      <c r="O2744" s="131"/>
    </row>
    <row r="2745" spans="4:15" x14ac:dyDescent="0.3">
      <c r="D2745" s="33"/>
      <c r="E2745" s="127"/>
      <c r="F2745" s="128"/>
      <c r="G2745" s="128"/>
      <c r="H2745" s="129"/>
      <c r="I2745" s="130"/>
      <c r="J2745" s="23"/>
      <c r="K2745" s="23"/>
      <c r="L2745" s="23"/>
      <c r="M2745" s="131"/>
      <c r="N2745" s="131"/>
      <c r="O2745" s="131"/>
    </row>
    <row r="2746" spans="4:15" x14ac:dyDescent="0.3">
      <c r="D2746" s="33"/>
      <c r="E2746" s="127"/>
      <c r="F2746" s="128"/>
      <c r="G2746" s="128"/>
      <c r="H2746" s="129"/>
      <c r="I2746" s="130"/>
      <c r="J2746" s="23"/>
      <c r="K2746" s="23"/>
      <c r="L2746" s="23"/>
      <c r="M2746" s="131"/>
      <c r="N2746" s="131"/>
      <c r="O2746" s="131"/>
    </row>
    <row r="2747" spans="4:15" x14ac:dyDescent="0.3">
      <c r="D2747" s="33"/>
      <c r="E2747" s="127"/>
      <c r="F2747" s="128"/>
      <c r="G2747" s="128"/>
      <c r="H2747" s="129"/>
      <c r="I2747" s="130"/>
      <c r="J2747" s="23"/>
      <c r="K2747" s="23"/>
      <c r="L2747" s="23"/>
      <c r="M2747" s="131"/>
      <c r="N2747" s="131"/>
      <c r="O2747" s="131"/>
    </row>
    <row r="2748" spans="4:15" x14ac:dyDescent="0.3">
      <c r="D2748" s="33"/>
      <c r="E2748" s="127"/>
      <c r="F2748" s="128"/>
      <c r="G2748" s="128"/>
      <c r="H2748" s="129"/>
      <c r="I2748" s="130"/>
      <c r="J2748" s="23"/>
      <c r="K2748" s="23"/>
      <c r="L2748" s="23"/>
      <c r="M2748" s="131"/>
      <c r="N2748" s="131"/>
      <c r="O2748" s="131"/>
    </row>
    <row r="2749" spans="4:15" x14ac:dyDescent="0.3">
      <c r="D2749" s="33"/>
      <c r="E2749" s="127"/>
      <c r="F2749" s="128"/>
      <c r="G2749" s="128"/>
      <c r="H2749" s="129"/>
      <c r="I2749" s="130"/>
      <c r="J2749" s="23"/>
      <c r="K2749" s="23"/>
      <c r="L2749" s="23"/>
      <c r="M2749" s="131"/>
      <c r="N2749" s="131"/>
      <c r="O2749" s="131"/>
    </row>
    <row r="2750" spans="4:15" x14ac:dyDescent="0.3">
      <c r="D2750" s="33"/>
      <c r="E2750" s="127"/>
      <c r="F2750" s="128"/>
      <c r="G2750" s="128"/>
      <c r="H2750" s="129"/>
      <c r="I2750" s="130"/>
      <c r="J2750" s="23"/>
      <c r="K2750" s="23"/>
      <c r="L2750" s="23"/>
      <c r="M2750" s="131"/>
      <c r="N2750" s="131"/>
      <c r="O2750" s="131"/>
    </row>
    <row r="2751" spans="4:15" x14ac:dyDescent="0.3">
      <c r="D2751" s="33"/>
      <c r="E2751" s="127"/>
      <c r="F2751" s="128"/>
      <c r="G2751" s="128"/>
      <c r="H2751" s="129"/>
      <c r="I2751" s="130"/>
      <c r="J2751" s="23"/>
      <c r="K2751" s="23"/>
      <c r="L2751" s="23"/>
      <c r="M2751" s="131"/>
      <c r="N2751" s="131"/>
      <c r="O2751" s="131"/>
    </row>
    <row r="2752" spans="4:15" x14ac:dyDescent="0.3">
      <c r="D2752" s="33"/>
      <c r="E2752" s="127"/>
      <c r="F2752" s="128"/>
      <c r="G2752" s="128"/>
      <c r="H2752" s="129"/>
      <c r="I2752" s="130"/>
      <c r="J2752" s="23"/>
      <c r="K2752" s="23"/>
      <c r="L2752" s="23"/>
      <c r="M2752" s="131"/>
      <c r="N2752" s="131"/>
      <c r="O2752" s="131"/>
    </row>
    <row r="2753" spans="4:15" x14ac:dyDescent="0.3">
      <c r="D2753" s="33"/>
      <c r="E2753" s="127"/>
      <c r="F2753" s="128"/>
      <c r="G2753" s="128"/>
      <c r="H2753" s="129"/>
      <c r="I2753" s="130"/>
      <c r="J2753" s="23"/>
      <c r="K2753" s="23"/>
      <c r="L2753" s="23"/>
      <c r="M2753" s="131"/>
      <c r="N2753" s="131"/>
      <c r="O2753" s="131"/>
    </row>
    <row r="2754" spans="4:15" x14ac:dyDescent="0.3">
      <c r="D2754" s="33"/>
      <c r="E2754" s="127"/>
      <c r="F2754" s="128"/>
      <c r="G2754" s="128"/>
      <c r="H2754" s="129"/>
      <c r="I2754" s="130"/>
      <c r="J2754" s="23"/>
      <c r="K2754" s="23"/>
      <c r="L2754" s="23"/>
      <c r="M2754" s="131"/>
      <c r="N2754" s="131"/>
      <c r="O2754" s="131"/>
    </row>
    <row r="2755" spans="4:15" x14ac:dyDescent="0.3">
      <c r="D2755" s="33"/>
      <c r="E2755" s="127"/>
      <c r="F2755" s="128"/>
      <c r="G2755" s="128"/>
      <c r="H2755" s="129"/>
      <c r="I2755" s="130"/>
      <c r="J2755" s="23"/>
      <c r="K2755" s="23"/>
      <c r="L2755" s="23"/>
      <c r="M2755" s="131"/>
      <c r="N2755" s="131"/>
      <c r="O2755" s="131"/>
    </row>
    <row r="2756" spans="4:15" x14ac:dyDescent="0.3">
      <c r="D2756" s="33"/>
      <c r="E2756" s="127"/>
      <c r="F2756" s="128"/>
      <c r="G2756" s="128"/>
      <c r="H2756" s="129"/>
      <c r="I2756" s="130"/>
      <c r="J2756" s="23"/>
      <c r="K2756" s="23"/>
      <c r="L2756" s="23"/>
      <c r="M2756" s="131"/>
      <c r="N2756" s="131"/>
      <c r="O2756" s="131"/>
    </row>
    <row r="2757" spans="4:15" x14ac:dyDescent="0.3">
      <c r="D2757" s="33"/>
      <c r="E2757" s="127"/>
      <c r="F2757" s="128"/>
      <c r="G2757" s="128"/>
      <c r="H2757" s="129"/>
      <c r="I2757" s="130"/>
      <c r="J2757" s="23"/>
      <c r="K2757" s="23"/>
      <c r="L2757" s="23"/>
      <c r="M2757" s="131"/>
      <c r="N2757" s="131"/>
      <c r="O2757" s="131"/>
    </row>
    <row r="2758" spans="4:15" x14ac:dyDescent="0.3">
      <c r="D2758" s="33"/>
      <c r="E2758" s="127"/>
      <c r="F2758" s="128"/>
      <c r="G2758" s="128"/>
      <c r="H2758" s="129"/>
      <c r="I2758" s="130"/>
      <c r="J2758" s="23"/>
      <c r="K2758" s="23"/>
      <c r="L2758" s="23"/>
      <c r="M2758" s="131"/>
      <c r="N2758" s="131"/>
      <c r="O2758" s="131"/>
    </row>
    <row r="2759" spans="4:15" x14ac:dyDescent="0.3">
      <c r="D2759" s="33"/>
      <c r="E2759" s="127"/>
      <c r="F2759" s="128"/>
      <c r="G2759" s="128"/>
      <c r="H2759" s="129"/>
      <c r="I2759" s="130"/>
      <c r="J2759" s="23"/>
      <c r="K2759" s="23"/>
      <c r="L2759" s="23"/>
      <c r="M2759" s="131"/>
      <c r="N2759" s="131"/>
      <c r="O2759" s="131"/>
    </row>
    <row r="2760" spans="4:15" x14ac:dyDescent="0.3">
      <c r="D2760" s="33"/>
      <c r="E2760" s="127"/>
      <c r="F2760" s="128"/>
      <c r="G2760" s="128"/>
      <c r="H2760" s="129"/>
      <c r="I2760" s="130"/>
      <c r="J2760" s="23"/>
      <c r="K2760" s="23"/>
      <c r="L2760" s="23"/>
      <c r="M2760" s="131"/>
      <c r="N2760" s="131"/>
      <c r="O2760" s="131"/>
    </row>
    <row r="2761" spans="4:15" x14ac:dyDescent="0.3">
      <c r="D2761" s="33"/>
      <c r="E2761" s="127"/>
      <c r="F2761" s="128"/>
      <c r="G2761" s="128"/>
      <c r="H2761" s="129"/>
      <c r="I2761" s="130"/>
      <c r="J2761" s="23"/>
      <c r="K2761" s="23"/>
      <c r="L2761" s="23"/>
      <c r="M2761" s="131"/>
      <c r="N2761" s="131"/>
      <c r="O2761" s="131"/>
    </row>
    <row r="2762" spans="4:15" x14ac:dyDescent="0.3">
      <c r="D2762" s="33"/>
      <c r="E2762" s="127"/>
      <c r="F2762" s="128"/>
      <c r="G2762" s="128"/>
      <c r="H2762" s="129"/>
      <c r="I2762" s="130"/>
      <c r="J2762" s="23"/>
      <c r="K2762" s="23"/>
      <c r="L2762" s="23"/>
      <c r="M2762" s="131"/>
      <c r="N2762" s="131"/>
      <c r="O2762" s="131"/>
    </row>
    <row r="2763" spans="4:15" x14ac:dyDescent="0.3">
      <c r="D2763" s="33"/>
      <c r="E2763" s="127"/>
      <c r="F2763" s="128"/>
      <c r="G2763" s="128"/>
      <c r="H2763" s="129"/>
      <c r="I2763" s="130"/>
      <c r="J2763" s="23"/>
      <c r="K2763" s="23"/>
      <c r="L2763" s="23"/>
      <c r="M2763" s="131"/>
      <c r="N2763" s="131"/>
      <c r="O2763" s="131"/>
    </row>
    <row r="2764" spans="4:15" x14ac:dyDescent="0.3">
      <c r="D2764" s="33"/>
      <c r="E2764" s="127"/>
      <c r="F2764" s="128"/>
      <c r="G2764" s="128"/>
      <c r="H2764" s="129"/>
      <c r="I2764" s="130"/>
      <c r="J2764" s="23"/>
      <c r="K2764" s="23"/>
      <c r="L2764" s="23"/>
      <c r="M2764" s="131"/>
      <c r="N2764" s="131"/>
      <c r="O2764" s="131"/>
    </row>
    <row r="2765" spans="4:15" x14ac:dyDescent="0.3">
      <c r="D2765" s="33"/>
      <c r="E2765" s="127"/>
      <c r="F2765" s="128"/>
      <c r="G2765" s="128"/>
      <c r="H2765" s="129"/>
      <c r="I2765" s="130"/>
      <c r="J2765" s="23"/>
      <c r="K2765" s="23"/>
      <c r="L2765" s="23"/>
      <c r="M2765" s="131"/>
      <c r="N2765" s="131"/>
      <c r="O2765" s="131"/>
    </row>
    <row r="2766" spans="4:15" x14ac:dyDescent="0.3">
      <c r="D2766" s="33"/>
      <c r="E2766" s="127"/>
      <c r="F2766" s="128"/>
      <c r="G2766" s="128"/>
      <c r="H2766" s="129"/>
      <c r="I2766" s="130"/>
      <c r="J2766" s="23"/>
      <c r="K2766" s="23"/>
      <c r="L2766" s="23"/>
      <c r="M2766" s="131"/>
      <c r="N2766" s="131"/>
      <c r="O2766" s="131"/>
    </row>
    <row r="2767" spans="4:15" x14ac:dyDescent="0.3">
      <c r="D2767" s="33"/>
      <c r="E2767" s="127"/>
      <c r="F2767" s="128"/>
      <c r="G2767" s="128"/>
      <c r="H2767" s="129"/>
      <c r="I2767" s="130"/>
      <c r="J2767" s="23"/>
      <c r="K2767" s="23"/>
      <c r="L2767" s="23"/>
      <c r="M2767" s="131"/>
      <c r="N2767" s="131"/>
      <c r="O2767" s="131"/>
    </row>
    <row r="2768" spans="4:15" x14ac:dyDescent="0.3">
      <c r="D2768" s="33"/>
      <c r="E2768" s="127"/>
      <c r="F2768" s="128"/>
      <c r="G2768" s="128"/>
      <c r="H2768" s="129"/>
      <c r="I2768" s="130"/>
      <c r="J2768" s="23"/>
      <c r="K2768" s="23"/>
      <c r="L2768" s="23"/>
      <c r="M2768" s="131"/>
      <c r="N2768" s="131"/>
      <c r="O2768" s="131"/>
    </row>
    <row r="2769" spans="4:15" x14ac:dyDescent="0.3">
      <c r="D2769" s="33"/>
      <c r="E2769" s="127"/>
      <c r="F2769" s="128"/>
      <c r="G2769" s="128"/>
      <c r="H2769" s="129"/>
      <c r="I2769" s="130"/>
      <c r="J2769" s="23"/>
      <c r="K2769" s="23"/>
      <c r="L2769" s="23"/>
      <c r="M2769" s="131"/>
      <c r="N2769" s="131"/>
      <c r="O2769" s="131"/>
    </row>
    <row r="2770" spans="4:15" x14ac:dyDescent="0.3">
      <c r="D2770" s="33"/>
      <c r="E2770" s="127"/>
      <c r="F2770" s="128"/>
      <c r="G2770" s="128"/>
      <c r="H2770" s="129"/>
      <c r="I2770" s="130"/>
      <c r="J2770" s="23"/>
      <c r="K2770" s="23"/>
      <c r="L2770" s="23"/>
      <c r="M2770" s="131"/>
      <c r="N2770" s="131"/>
      <c r="O2770" s="131"/>
    </row>
    <row r="2771" spans="4:15" x14ac:dyDescent="0.3">
      <c r="D2771" s="33"/>
      <c r="E2771" s="127"/>
      <c r="F2771" s="128"/>
      <c r="G2771" s="128"/>
      <c r="H2771" s="129"/>
      <c r="I2771" s="130"/>
      <c r="J2771" s="23"/>
      <c r="K2771" s="23"/>
      <c r="L2771" s="23"/>
      <c r="M2771" s="131"/>
      <c r="N2771" s="131"/>
      <c r="O2771" s="131"/>
    </row>
    <row r="2772" spans="4:15" x14ac:dyDescent="0.3">
      <c r="D2772" s="33"/>
      <c r="E2772" s="127"/>
      <c r="F2772" s="128"/>
      <c r="G2772" s="128"/>
      <c r="H2772" s="129"/>
      <c r="I2772" s="130"/>
      <c r="J2772" s="23"/>
      <c r="K2772" s="23"/>
      <c r="L2772" s="23"/>
      <c r="M2772" s="131"/>
      <c r="N2772" s="131"/>
      <c r="O2772" s="131"/>
    </row>
    <row r="2773" spans="4:15" x14ac:dyDescent="0.3">
      <c r="D2773" s="33"/>
      <c r="E2773" s="127"/>
      <c r="F2773" s="128"/>
      <c r="G2773" s="128"/>
      <c r="H2773" s="129"/>
      <c r="I2773" s="130"/>
      <c r="J2773" s="23"/>
      <c r="K2773" s="23"/>
      <c r="L2773" s="23"/>
      <c r="M2773" s="131"/>
      <c r="N2773" s="131"/>
      <c r="O2773" s="131"/>
    </row>
    <row r="2774" spans="4:15" x14ac:dyDescent="0.3">
      <c r="D2774" s="33"/>
      <c r="E2774" s="127"/>
      <c r="F2774" s="128"/>
      <c r="G2774" s="128"/>
      <c r="H2774" s="129"/>
      <c r="I2774" s="130"/>
      <c r="J2774" s="23"/>
      <c r="K2774" s="23"/>
      <c r="L2774" s="23"/>
      <c r="M2774" s="131"/>
      <c r="N2774" s="131"/>
      <c r="O2774" s="131"/>
    </row>
    <row r="2775" spans="4:15" x14ac:dyDescent="0.3">
      <c r="D2775" s="33"/>
      <c r="E2775" s="127"/>
      <c r="F2775" s="128"/>
      <c r="G2775" s="128"/>
      <c r="H2775" s="129"/>
      <c r="I2775" s="130"/>
      <c r="J2775" s="23"/>
      <c r="K2775" s="23"/>
      <c r="L2775" s="23"/>
      <c r="M2775" s="131"/>
      <c r="N2775" s="131"/>
      <c r="O2775" s="131"/>
    </row>
    <row r="2776" spans="4:15" x14ac:dyDescent="0.3">
      <c r="D2776" s="33"/>
      <c r="E2776" s="127"/>
      <c r="F2776" s="128"/>
      <c r="G2776" s="128"/>
      <c r="H2776" s="129"/>
      <c r="I2776" s="130"/>
      <c r="J2776" s="23"/>
      <c r="K2776" s="23"/>
      <c r="L2776" s="23"/>
      <c r="M2776" s="131"/>
      <c r="N2776" s="131"/>
      <c r="O2776" s="131"/>
    </row>
    <row r="2777" spans="4:15" x14ac:dyDescent="0.3">
      <c r="D2777" s="33"/>
      <c r="E2777" s="127"/>
      <c r="F2777" s="128"/>
      <c r="G2777" s="128"/>
      <c r="H2777" s="129"/>
      <c r="I2777" s="130"/>
      <c r="J2777" s="23"/>
      <c r="K2777" s="23"/>
      <c r="L2777" s="23"/>
      <c r="M2777" s="131"/>
      <c r="N2777" s="131"/>
      <c r="O2777" s="131"/>
    </row>
    <row r="2778" spans="4:15" x14ac:dyDescent="0.3">
      <c r="D2778" s="33"/>
      <c r="E2778" s="127"/>
      <c r="F2778" s="128"/>
      <c r="G2778" s="128"/>
      <c r="H2778" s="129"/>
      <c r="I2778" s="130"/>
      <c r="J2778" s="23"/>
      <c r="K2778" s="23"/>
      <c r="L2778" s="23"/>
      <c r="M2778" s="131"/>
      <c r="N2778" s="131"/>
      <c r="O2778" s="131"/>
    </row>
    <row r="2779" spans="4:15" x14ac:dyDescent="0.3">
      <c r="D2779" s="33"/>
      <c r="E2779" s="127"/>
      <c r="F2779" s="128"/>
      <c r="G2779" s="128"/>
      <c r="H2779" s="129"/>
      <c r="I2779" s="130"/>
      <c r="J2779" s="23"/>
      <c r="K2779" s="23"/>
      <c r="L2779" s="23"/>
      <c r="M2779" s="131"/>
      <c r="N2779" s="131"/>
      <c r="O2779" s="131"/>
    </row>
    <row r="2780" spans="4:15" x14ac:dyDescent="0.3">
      <c r="D2780" s="33"/>
      <c r="E2780" s="127"/>
      <c r="F2780" s="128"/>
      <c r="G2780" s="128"/>
      <c r="H2780" s="129"/>
      <c r="I2780" s="130"/>
      <c r="J2780" s="23"/>
      <c r="K2780" s="23"/>
      <c r="L2780" s="23"/>
      <c r="M2780" s="131"/>
      <c r="N2780" s="131"/>
      <c r="O2780" s="131"/>
    </row>
    <row r="2781" spans="4:15" x14ac:dyDescent="0.3">
      <c r="D2781" s="33"/>
      <c r="E2781" s="127"/>
      <c r="F2781" s="128"/>
      <c r="G2781" s="128"/>
      <c r="H2781" s="129"/>
      <c r="I2781" s="130"/>
      <c r="J2781" s="23"/>
      <c r="K2781" s="23"/>
      <c r="L2781" s="23"/>
      <c r="M2781" s="131"/>
      <c r="N2781" s="131"/>
      <c r="O2781" s="131"/>
    </row>
    <row r="2782" spans="4:15" x14ac:dyDescent="0.3">
      <c r="D2782" s="33"/>
      <c r="E2782" s="127"/>
      <c r="F2782" s="128"/>
      <c r="G2782" s="128"/>
      <c r="H2782" s="129"/>
      <c r="I2782" s="130"/>
      <c r="J2782" s="23"/>
      <c r="K2782" s="23"/>
      <c r="L2782" s="23"/>
      <c r="M2782" s="131"/>
      <c r="N2782" s="131"/>
      <c r="O2782" s="131"/>
    </row>
    <row r="2783" spans="4:15" x14ac:dyDescent="0.3">
      <c r="D2783" s="33"/>
      <c r="E2783" s="127"/>
      <c r="F2783" s="128"/>
      <c r="G2783" s="128"/>
      <c r="H2783" s="129"/>
      <c r="I2783" s="130"/>
      <c r="J2783" s="23"/>
      <c r="K2783" s="23"/>
      <c r="L2783" s="23"/>
      <c r="M2783" s="131"/>
      <c r="N2783" s="131"/>
      <c r="O2783" s="131"/>
    </row>
    <row r="2784" spans="4:15" x14ac:dyDescent="0.3">
      <c r="D2784" s="33"/>
      <c r="E2784" s="127"/>
      <c r="F2784" s="128"/>
      <c r="G2784" s="128"/>
      <c r="H2784" s="129"/>
      <c r="I2784" s="130"/>
      <c r="J2784" s="23"/>
      <c r="K2784" s="23"/>
      <c r="L2784" s="23"/>
      <c r="M2784" s="131"/>
      <c r="N2784" s="131"/>
      <c r="O2784" s="131"/>
    </row>
    <row r="2785" spans="4:15" x14ac:dyDescent="0.3">
      <c r="D2785" s="33"/>
      <c r="E2785" s="127"/>
      <c r="F2785" s="128"/>
      <c r="G2785" s="128"/>
      <c r="H2785" s="129"/>
      <c r="I2785" s="130"/>
      <c r="J2785" s="23"/>
      <c r="K2785" s="23"/>
      <c r="L2785" s="23"/>
      <c r="M2785" s="131"/>
      <c r="N2785" s="131"/>
      <c r="O2785" s="131"/>
    </row>
    <row r="2786" spans="4:15" x14ac:dyDescent="0.3">
      <c r="D2786" s="33"/>
      <c r="E2786" s="127"/>
      <c r="F2786" s="128"/>
      <c r="G2786" s="128"/>
      <c r="H2786" s="129"/>
      <c r="I2786" s="130"/>
      <c r="J2786" s="23"/>
      <c r="K2786" s="23"/>
      <c r="L2786" s="23"/>
      <c r="M2786" s="131"/>
      <c r="N2786" s="131"/>
      <c r="O2786" s="131"/>
    </row>
    <row r="2787" spans="4:15" x14ac:dyDescent="0.3">
      <c r="D2787" s="33"/>
      <c r="E2787" s="127"/>
      <c r="F2787" s="128"/>
      <c r="G2787" s="128"/>
      <c r="H2787" s="129"/>
      <c r="I2787" s="130"/>
      <c r="J2787" s="23"/>
      <c r="K2787" s="23"/>
      <c r="L2787" s="23"/>
      <c r="M2787" s="131"/>
      <c r="N2787" s="131"/>
      <c r="O2787" s="131"/>
    </row>
    <row r="2788" spans="4:15" x14ac:dyDescent="0.3">
      <c r="D2788" s="33"/>
      <c r="E2788" s="127"/>
      <c r="F2788" s="128"/>
      <c r="G2788" s="128"/>
      <c r="H2788" s="129"/>
      <c r="I2788" s="130"/>
      <c r="J2788" s="23"/>
      <c r="K2788" s="23"/>
      <c r="L2788" s="23"/>
      <c r="M2788" s="131"/>
      <c r="N2788" s="131"/>
      <c r="O2788" s="131"/>
    </row>
    <row r="2789" spans="4:15" x14ac:dyDescent="0.3">
      <c r="D2789" s="33"/>
      <c r="E2789" s="127"/>
      <c r="F2789" s="128"/>
      <c r="G2789" s="128"/>
      <c r="H2789" s="129"/>
      <c r="I2789" s="130"/>
      <c r="J2789" s="23"/>
      <c r="K2789" s="23"/>
      <c r="L2789" s="23"/>
      <c r="M2789" s="131"/>
      <c r="N2789" s="131"/>
      <c r="O2789" s="131"/>
    </row>
    <row r="2790" spans="4:15" x14ac:dyDescent="0.3">
      <c r="D2790" s="33"/>
      <c r="E2790" s="127"/>
      <c r="F2790" s="128"/>
      <c r="G2790" s="128"/>
      <c r="H2790" s="129"/>
      <c r="I2790" s="130"/>
      <c r="J2790" s="23"/>
      <c r="K2790" s="23"/>
      <c r="L2790" s="23"/>
      <c r="M2790" s="131"/>
      <c r="N2790" s="131"/>
      <c r="O2790" s="131"/>
    </row>
    <row r="2791" spans="4:15" x14ac:dyDescent="0.3">
      <c r="D2791" s="33"/>
      <c r="E2791" s="127"/>
      <c r="F2791" s="128"/>
      <c r="G2791" s="128"/>
      <c r="H2791" s="129"/>
      <c r="I2791" s="130"/>
      <c r="J2791" s="23"/>
      <c r="K2791" s="23"/>
      <c r="L2791" s="23"/>
      <c r="M2791" s="131"/>
      <c r="N2791" s="131"/>
      <c r="O2791" s="131"/>
    </row>
    <row r="2792" spans="4:15" x14ac:dyDescent="0.3">
      <c r="D2792" s="33"/>
      <c r="E2792" s="127"/>
      <c r="F2792" s="128"/>
      <c r="G2792" s="128"/>
      <c r="H2792" s="129"/>
      <c r="I2792" s="130"/>
      <c r="J2792" s="23"/>
      <c r="K2792" s="23"/>
      <c r="L2792" s="23"/>
      <c r="M2792" s="131"/>
      <c r="N2792" s="131"/>
      <c r="O2792" s="131"/>
    </row>
    <row r="2793" spans="4:15" x14ac:dyDescent="0.3">
      <c r="D2793" s="33"/>
      <c r="E2793" s="127"/>
      <c r="F2793" s="128"/>
      <c r="G2793" s="128"/>
      <c r="H2793" s="129"/>
      <c r="I2793" s="130"/>
      <c r="J2793" s="23"/>
      <c r="K2793" s="23"/>
      <c r="L2793" s="23"/>
      <c r="M2793" s="131"/>
      <c r="N2793" s="131"/>
      <c r="O2793" s="131"/>
    </row>
    <row r="2794" spans="4:15" x14ac:dyDescent="0.3">
      <c r="D2794" s="33"/>
      <c r="E2794" s="127"/>
      <c r="F2794" s="128"/>
      <c r="G2794" s="128"/>
      <c r="H2794" s="129"/>
      <c r="I2794" s="130"/>
      <c r="J2794" s="23"/>
      <c r="K2794" s="23"/>
      <c r="L2794" s="23"/>
      <c r="M2794" s="131"/>
      <c r="N2794" s="131"/>
      <c r="O2794" s="131"/>
    </row>
    <row r="2795" spans="4:15" x14ac:dyDescent="0.3">
      <c r="D2795" s="33"/>
      <c r="E2795" s="127"/>
      <c r="F2795" s="128"/>
      <c r="G2795" s="128"/>
      <c r="H2795" s="129"/>
      <c r="I2795" s="130"/>
      <c r="J2795" s="23"/>
      <c r="K2795" s="23"/>
      <c r="L2795" s="23"/>
      <c r="M2795" s="131"/>
      <c r="N2795" s="131"/>
      <c r="O2795" s="131"/>
    </row>
    <row r="2796" spans="4:15" x14ac:dyDescent="0.3">
      <c r="D2796" s="33"/>
      <c r="E2796" s="127"/>
      <c r="F2796" s="128"/>
      <c r="G2796" s="128"/>
      <c r="H2796" s="129"/>
      <c r="I2796" s="130"/>
      <c r="J2796" s="23"/>
      <c r="K2796" s="23"/>
      <c r="L2796" s="23"/>
      <c r="M2796" s="131"/>
      <c r="N2796" s="131"/>
      <c r="O2796" s="131"/>
    </row>
    <row r="2797" spans="4:15" x14ac:dyDescent="0.3">
      <c r="D2797" s="33"/>
      <c r="E2797" s="127"/>
      <c r="F2797" s="128"/>
      <c r="G2797" s="128"/>
      <c r="H2797" s="129"/>
      <c r="I2797" s="130"/>
      <c r="J2797" s="23"/>
      <c r="K2797" s="23"/>
      <c r="L2797" s="23"/>
      <c r="M2797" s="131"/>
      <c r="N2797" s="131"/>
      <c r="O2797" s="131"/>
    </row>
    <row r="2798" spans="4:15" x14ac:dyDescent="0.3">
      <c r="D2798" s="33"/>
      <c r="E2798" s="127"/>
      <c r="F2798" s="128"/>
      <c r="G2798" s="128"/>
      <c r="H2798" s="129"/>
      <c r="I2798" s="130"/>
      <c r="J2798" s="23"/>
      <c r="K2798" s="23"/>
      <c r="L2798" s="23"/>
      <c r="M2798" s="131"/>
      <c r="N2798" s="131"/>
      <c r="O2798" s="131"/>
    </row>
    <row r="2799" spans="4:15" x14ac:dyDescent="0.3">
      <c r="D2799" s="33"/>
      <c r="E2799" s="127"/>
      <c r="F2799" s="128"/>
      <c r="G2799" s="128"/>
      <c r="H2799" s="129"/>
      <c r="I2799" s="130"/>
      <c r="J2799" s="23"/>
      <c r="K2799" s="23"/>
      <c r="L2799" s="23"/>
      <c r="M2799" s="131"/>
      <c r="N2799" s="131"/>
      <c r="O2799" s="131"/>
    </row>
    <row r="2800" spans="4:15" x14ac:dyDescent="0.3">
      <c r="D2800" s="33"/>
      <c r="E2800" s="127"/>
      <c r="F2800" s="128"/>
      <c r="G2800" s="128"/>
      <c r="H2800" s="129"/>
      <c r="I2800" s="130"/>
      <c r="J2800" s="23"/>
      <c r="K2800" s="23"/>
      <c r="L2800" s="23"/>
      <c r="M2800" s="131"/>
      <c r="N2800" s="131"/>
      <c r="O2800" s="131"/>
    </row>
    <row r="2801" spans="4:15" x14ac:dyDescent="0.3">
      <c r="D2801" s="33"/>
      <c r="E2801" s="127"/>
      <c r="F2801" s="128"/>
      <c r="G2801" s="128"/>
      <c r="H2801" s="129"/>
      <c r="I2801" s="130"/>
      <c r="J2801" s="23"/>
      <c r="K2801" s="23"/>
      <c r="L2801" s="23"/>
      <c r="M2801" s="131"/>
      <c r="N2801" s="131"/>
      <c r="O2801" s="131"/>
    </row>
    <row r="2802" spans="4:15" x14ac:dyDescent="0.3">
      <c r="D2802" s="33"/>
      <c r="E2802" s="127"/>
      <c r="F2802" s="128"/>
      <c r="G2802" s="128"/>
      <c r="H2802" s="129"/>
      <c r="I2802" s="130"/>
      <c r="J2802" s="23"/>
      <c r="K2802" s="23"/>
      <c r="L2802" s="23"/>
      <c r="M2802" s="131"/>
      <c r="N2802" s="131"/>
      <c r="O2802" s="131"/>
    </row>
    <row r="2803" spans="4:15" x14ac:dyDescent="0.3">
      <c r="D2803" s="33"/>
      <c r="E2803" s="127"/>
      <c r="F2803" s="128"/>
      <c r="G2803" s="128"/>
      <c r="H2803" s="129"/>
      <c r="I2803" s="130"/>
      <c r="J2803" s="23"/>
      <c r="K2803" s="23"/>
      <c r="L2803" s="23"/>
      <c r="M2803" s="131"/>
      <c r="N2803" s="131"/>
      <c r="O2803" s="131"/>
    </row>
    <row r="2804" spans="4:15" x14ac:dyDescent="0.3">
      <c r="D2804" s="33"/>
      <c r="E2804" s="127"/>
      <c r="F2804" s="128"/>
      <c r="G2804" s="128"/>
      <c r="H2804" s="129"/>
      <c r="I2804" s="130"/>
      <c r="J2804" s="23"/>
      <c r="K2804" s="23"/>
      <c r="L2804" s="23"/>
      <c r="M2804" s="131"/>
      <c r="N2804" s="131"/>
      <c r="O2804" s="131"/>
    </row>
    <row r="2805" spans="4:15" x14ac:dyDescent="0.3">
      <c r="D2805" s="33"/>
      <c r="E2805" s="127"/>
      <c r="F2805" s="128"/>
      <c r="G2805" s="128"/>
      <c r="H2805" s="129"/>
      <c r="I2805" s="130"/>
      <c r="J2805" s="23"/>
      <c r="K2805" s="23"/>
      <c r="L2805" s="23"/>
      <c r="M2805" s="131"/>
      <c r="N2805" s="131"/>
      <c r="O2805" s="131"/>
    </row>
    <row r="2806" spans="4:15" x14ac:dyDescent="0.3">
      <c r="D2806" s="33"/>
      <c r="E2806" s="127"/>
      <c r="F2806" s="128"/>
      <c r="G2806" s="128"/>
      <c r="H2806" s="129"/>
      <c r="I2806" s="130"/>
      <c r="J2806" s="23"/>
      <c r="K2806" s="23"/>
      <c r="L2806" s="23"/>
      <c r="M2806" s="131"/>
      <c r="N2806" s="131"/>
      <c r="O2806" s="131"/>
    </row>
    <row r="2807" spans="4:15" x14ac:dyDescent="0.3">
      <c r="D2807" s="33"/>
      <c r="E2807" s="127"/>
      <c r="F2807" s="128"/>
      <c r="G2807" s="128"/>
      <c r="H2807" s="129"/>
      <c r="I2807" s="130"/>
      <c r="J2807" s="23"/>
      <c r="K2807" s="23"/>
      <c r="L2807" s="23"/>
      <c r="M2807" s="131"/>
      <c r="N2807" s="131"/>
      <c r="O2807" s="131"/>
    </row>
    <row r="2808" spans="4:15" x14ac:dyDescent="0.3">
      <c r="D2808" s="33"/>
      <c r="E2808" s="127"/>
      <c r="F2808" s="128"/>
      <c r="G2808" s="128"/>
      <c r="H2808" s="129"/>
      <c r="I2808" s="130"/>
      <c r="J2808" s="23"/>
      <c r="K2808" s="23"/>
      <c r="L2808" s="23"/>
      <c r="M2808" s="131"/>
      <c r="N2808" s="131"/>
      <c r="O2808" s="131"/>
    </row>
    <row r="2809" spans="4:15" x14ac:dyDescent="0.3">
      <c r="D2809" s="33"/>
      <c r="E2809" s="127"/>
      <c r="F2809" s="128"/>
      <c r="G2809" s="128"/>
      <c r="H2809" s="129"/>
      <c r="I2809" s="130"/>
      <c r="J2809" s="23"/>
      <c r="K2809" s="23"/>
      <c r="L2809" s="23"/>
      <c r="M2809" s="131"/>
      <c r="N2809" s="131"/>
      <c r="O2809" s="131"/>
    </row>
    <row r="2810" spans="4:15" x14ac:dyDescent="0.3">
      <c r="D2810" s="33"/>
      <c r="E2810" s="127"/>
      <c r="F2810" s="128"/>
      <c r="G2810" s="128"/>
      <c r="H2810" s="129"/>
      <c r="I2810" s="130"/>
      <c r="J2810" s="23"/>
      <c r="K2810" s="23"/>
      <c r="L2810" s="23"/>
      <c r="M2810" s="131"/>
      <c r="N2810" s="131"/>
      <c r="O2810" s="131"/>
    </row>
    <row r="2811" spans="4:15" x14ac:dyDescent="0.3">
      <c r="D2811" s="33"/>
      <c r="E2811" s="127"/>
      <c r="F2811" s="128"/>
      <c r="G2811" s="128"/>
      <c r="H2811" s="129"/>
      <c r="I2811" s="130"/>
      <c r="J2811" s="23"/>
      <c r="K2811" s="23"/>
      <c r="L2811" s="23"/>
      <c r="M2811" s="131"/>
      <c r="N2811" s="131"/>
      <c r="O2811" s="131"/>
    </row>
    <row r="2812" spans="4:15" x14ac:dyDescent="0.3">
      <c r="D2812" s="33"/>
      <c r="E2812" s="127"/>
      <c r="F2812" s="128"/>
      <c r="G2812" s="128"/>
      <c r="H2812" s="129"/>
      <c r="I2812" s="130"/>
      <c r="J2812" s="23"/>
      <c r="K2812" s="23"/>
      <c r="L2812" s="23"/>
      <c r="M2812" s="131"/>
      <c r="N2812" s="131"/>
      <c r="O2812" s="131"/>
    </row>
    <row r="2813" spans="4:15" x14ac:dyDescent="0.3">
      <c r="D2813" s="33"/>
      <c r="E2813" s="127"/>
      <c r="F2813" s="128"/>
      <c r="G2813" s="128"/>
      <c r="H2813" s="129"/>
      <c r="I2813" s="130"/>
      <c r="J2813" s="23"/>
      <c r="K2813" s="23"/>
      <c r="L2813" s="23"/>
      <c r="M2813" s="131"/>
      <c r="N2813" s="131"/>
      <c r="O2813" s="131"/>
    </row>
    <row r="2814" spans="4:15" x14ac:dyDescent="0.3">
      <c r="D2814" s="33"/>
      <c r="E2814" s="127"/>
      <c r="F2814" s="128"/>
      <c r="G2814" s="128"/>
      <c r="H2814" s="129"/>
      <c r="I2814" s="130"/>
      <c r="J2814" s="23"/>
      <c r="K2814" s="23"/>
      <c r="L2814" s="23"/>
      <c r="M2814" s="131"/>
      <c r="N2814" s="131"/>
      <c r="O2814" s="131"/>
    </row>
    <row r="2815" spans="4:15" x14ac:dyDescent="0.3">
      <c r="D2815" s="33"/>
      <c r="E2815" s="127"/>
      <c r="F2815" s="128"/>
      <c r="G2815" s="128"/>
      <c r="H2815" s="129"/>
      <c r="I2815" s="130"/>
      <c r="J2815" s="23"/>
      <c r="K2815" s="23"/>
      <c r="L2815" s="23"/>
      <c r="M2815" s="131"/>
      <c r="N2815" s="131"/>
      <c r="O2815" s="131"/>
    </row>
    <row r="2816" spans="4:15" x14ac:dyDescent="0.3">
      <c r="D2816" s="33"/>
      <c r="E2816" s="127"/>
      <c r="F2816" s="128"/>
      <c r="G2816" s="128"/>
      <c r="H2816" s="129"/>
      <c r="I2816" s="130"/>
      <c r="J2816" s="23"/>
      <c r="K2816" s="23"/>
      <c r="L2816" s="23"/>
      <c r="M2816" s="131"/>
      <c r="N2816" s="131"/>
      <c r="O2816" s="131"/>
    </row>
    <row r="2817" spans="4:15" x14ac:dyDescent="0.3">
      <c r="D2817" s="33"/>
      <c r="E2817" s="127"/>
      <c r="F2817" s="128"/>
      <c r="G2817" s="128"/>
      <c r="H2817" s="129"/>
      <c r="I2817" s="130"/>
      <c r="J2817" s="23"/>
      <c r="K2817" s="23"/>
      <c r="L2817" s="23"/>
      <c r="M2817" s="131"/>
      <c r="N2817" s="131"/>
      <c r="O2817" s="131"/>
    </row>
    <row r="2818" spans="4:15" x14ac:dyDescent="0.3">
      <c r="D2818" s="33"/>
      <c r="E2818" s="127"/>
      <c r="F2818" s="128"/>
      <c r="G2818" s="128"/>
      <c r="H2818" s="129"/>
      <c r="I2818" s="130"/>
      <c r="J2818" s="23"/>
      <c r="K2818" s="23"/>
      <c r="L2818" s="23"/>
      <c r="M2818" s="131"/>
      <c r="N2818" s="131"/>
      <c r="O2818" s="131"/>
    </row>
    <row r="2819" spans="4:15" x14ac:dyDescent="0.3">
      <c r="D2819" s="33"/>
      <c r="E2819" s="127"/>
      <c r="F2819" s="128"/>
      <c r="G2819" s="128"/>
      <c r="H2819" s="129"/>
      <c r="I2819" s="130"/>
      <c r="J2819" s="23"/>
      <c r="K2819" s="23"/>
      <c r="L2819" s="23"/>
      <c r="M2819" s="131"/>
      <c r="N2819" s="131"/>
      <c r="O2819" s="131"/>
    </row>
    <row r="2820" spans="4:15" x14ac:dyDescent="0.3">
      <c r="D2820" s="33"/>
      <c r="E2820" s="127"/>
      <c r="F2820" s="128"/>
      <c r="G2820" s="128"/>
      <c r="H2820" s="129"/>
      <c r="I2820" s="130"/>
      <c r="J2820" s="23"/>
      <c r="K2820" s="23"/>
      <c r="L2820" s="23"/>
      <c r="M2820" s="131"/>
      <c r="N2820" s="131"/>
      <c r="O2820" s="131"/>
    </row>
    <row r="2821" spans="4:15" x14ac:dyDescent="0.3">
      <c r="D2821" s="33"/>
      <c r="E2821" s="127"/>
      <c r="F2821" s="128"/>
      <c r="G2821" s="128"/>
      <c r="H2821" s="129"/>
      <c r="I2821" s="130"/>
      <c r="J2821" s="23"/>
      <c r="K2821" s="23"/>
      <c r="L2821" s="23"/>
      <c r="M2821" s="131"/>
      <c r="N2821" s="131"/>
      <c r="O2821" s="131"/>
    </row>
    <row r="2822" spans="4:15" x14ac:dyDescent="0.3">
      <c r="D2822" s="33"/>
      <c r="E2822" s="127"/>
      <c r="F2822" s="128"/>
      <c r="G2822" s="128"/>
      <c r="H2822" s="129"/>
      <c r="I2822" s="130"/>
      <c r="J2822" s="23"/>
      <c r="K2822" s="23"/>
      <c r="L2822" s="23"/>
      <c r="M2822" s="131"/>
      <c r="N2822" s="131"/>
      <c r="O2822" s="131"/>
    </row>
    <row r="2823" spans="4:15" x14ac:dyDescent="0.3">
      <c r="D2823" s="33"/>
      <c r="E2823" s="127"/>
      <c r="F2823" s="128"/>
      <c r="G2823" s="128"/>
      <c r="H2823" s="129"/>
      <c r="I2823" s="130"/>
      <c r="J2823" s="23"/>
      <c r="K2823" s="23"/>
      <c r="L2823" s="23"/>
      <c r="M2823" s="131"/>
      <c r="N2823" s="131"/>
      <c r="O2823" s="131"/>
    </row>
    <row r="2824" spans="4:15" x14ac:dyDescent="0.3">
      <c r="D2824" s="33"/>
      <c r="E2824" s="127"/>
      <c r="F2824" s="128"/>
      <c r="G2824" s="128"/>
      <c r="H2824" s="129"/>
      <c r="I2824" s="130"/>
      <c r="J2824" s="23"/>
      <c r="K2824" s="23"/>
      <c r="L2824" s="23"/>
      <c r="M2824" s="131"/>
      <c r="N2824" s="131"/>
      <c r="O2824" s="131"/>
    </row>
    <row r="2825" spans="4:15" x14ac:dyDescent="0.3">
      <c r="D2825" s="33"/>
      <c r="E2825" s="127"/>
      <c r="F2825" s="128"/>
      <c r="G2825" s="128"/>
      <c r="H2825" s="129"/>
      <c r="I2825" s="130"/>
      <c r="J2825" s="23"/>
      <c r="K2825" s="23"/>
      <c r="L2825" s="23"/>
      <c r="M2825" s="131"/>
      <c r="N2825" s="131"/>
      <c r="O2825" s="131"/>
    </row>
    <row r="2826" spans="4:15" x14ac:dyDescent="0.3">
      <c r="D2826" s="33"/>
      <c r="E2826" s="127"/>
      <c r="F2826" s="128"/>
      <c r="G2826" s="128"/>
      <c r="H2826" s="129"/>
      <c r="I2826" s="130"/>
      <c r="J2826" s="23"/>
      <c r="K2826" s="23"/>
      <c r="L2826" s="23"/>
      <c r="M2826" s="131"/>
      <c r="N2826" s="131"/>
      <c r="O2826" s="131"/>
    </row>
    <row r="2827" spans="4:15" x14ac:dyDescent="0.3">
      <c r="D2827" s="33"/>
      <c r="E2827" s="127"/>
      <c r="F2827" s="128"/>
      <c r="G2827" s="128"/>
      <c r="H2827" s="129"/>
      <c r="I2827" s="130"/>
      <c r="J2827" s="23"/>
      <c r="K2827" s="23"/>
      <c r="L2827" s="23"/>
      <c r="M2827" s="131"/>
      <c r="N2827" s="131"/>
      <c r="O2827" s="131"/>
    </row>
    <row r="2828" spans="4:15" x14ac:dyDescent="0.3">
      <c r="D2828" s="33"/>
      <c r="E2828" s="127"/>
      <c r="F2828" s="128"/>
      <c r="G2828" s="128"/>
      <c r="H2828" s="129"/>
      <c r="I2828" s="130"/>
      <c r="J2828" s="23"/>
      <c r="K2828" s="23"/>
      <c r="L2828" s="23"/>
      <c r="M2828" s="131"/>
      <c r="N2828" s="131"/>
      <c r="O2828" s="131"/>
    </row>
    <row r="2829" spans="4:15" x14ac:dyDescent="0.3">
      <c r="D2829" s="33"/>
      <c r="E2829" s="127"/>
      <c r="F2829" s="128"/>
      <c r="G2829" s="128"/>
      <c r="H2829" s="129"/>
      <c r="I2829" s="130"/>
      <c r="J2829" s="23"/>
      <c r="K2829" s="23"/>
      <c r="L2829" s="23"/>
      <c r="M2829" s="131"/>
      <c r="N2829" s="131"/>
      <c r="O2829" s="131"/>
    </row>
    <row r="2830" spans="4:15" x14ac:dyDescent="0.3">
      <c r="D2830" s="33"/>
      <c r="E2830" s="127"/>
      <c r="F2830" s="128"/>
      <c r="G2830" s="128"/>
      <c r="H2830" s="129"/>
      <c r="I2830" s="130"/>
      <c r="J2830" s="23"/>
      <c r="K2830" s="23"/>
      <c r="L2830" s="23"/>
      <c r="M2830" s="131"/>
      <c r="N2830" s="131"/>
      <c r="O2830" s="131"/>
    </row>
    <row r="2831" spans="4:15" x14ac:dyDescent="0.3">
      <c r="D2831" s="33"/>
      <c r="E2831" s="127"/>
      <c r="F2831" s="128"/>
      <c r="G2831" s="128"/>
      <c r="H2831" s="129"/>
      <c r="I2831" s="130"/>
      <c r="J2831" s="23"/>
      <c r="K2831" s="23"/>
      <c r="L2831" s="23"/>
      <c r="M2831" s="131"/>
      <c r="N2831" s="131"/>
      <c r="O2831" s="131"/>
    </row>
    <row r="2832" spans="4:15" x14ac:dyDescent="0.3">
      <c r="D2832" s="33"/>
      <c r="E2832" s="127"/>
      <c r="F2832" s="128"/>
      <c r="G2832" s="128"/>
      <c r="H2832" s="129"/>
      <c r="I2832" s="130"/>
      <c r="J2832" s="23"/>
      <c r="K2832" s="23"/>
      <c r="L2832" s="23"/>
      <c r="M2832" s="131"/>
      <c r="N2832" s="131"/>
      <c r="O2832" s="131"/>
    </row>
    <row r="2833" spans="4:15" x14ac:dyDescent="0.3">
      <c r="D2833" s="33"/>
      <c r="E2833" s="127"/>
      <c r="F2833" s="128"/>
      <c r="G2833" s="128"/>
      <c r="H2833" s="129"/>
      <c r="I2833" s="130"/>
      <c r="J2833" s="23"/>
      <c r="K2833" s="23"/>
      <c r="L2833" s="23"/>
      <c r="M2833" s="131"/>
      <c r="N2833" s="131"/>
      <c r="O2833" s="131"/>
    </row>
    <row r="2834" spans="4:15" x14ac:dyDescent="0.3">
      <c r="D2834" s="33"/>
      <c r="E2834" s="127"/>
      <c r="F2834" s="128"/>
      <c r="G2834" s="128"/>
      <c r="H2834" s="129"/>
      <c r="I2834" s="130"/>
      <c r="J2834" s="23"/>
      <c r="K2834" s="23"/>
      <c r="L2834" s="23"/>
      <c r="M2834" s="131"/>
      <c r="N2834" s="131"/>
      <c r="O2834" s="131"/>
    </row>
    <row r="2835" spans="4:15" x14ac:dyDescent="0.3">
      <c r="D2835" s="33"/>
      <c r="E2835" s="127"/>
      <c r="F2835" s="128"/>
      <c r="G2835" s="128"/>
      <c r="H2835" s="129"/>
      <c r="I2835" s="130"/>
      <c r="J2835" s="23"/>
      <c r="K2835" s="23"/>
      <c r="L2835" s="23"/>
      <c r="M2835" s="131"/>
      <c r="N2835" s="131"/>
      <c r="O2835" s="131"/>
    </row>
    <row r="2836" spans="4:15" x14ac:dyDescent="0.3">
      <c r="D2836" s="33"/>
      <c r="E2836" s="127"/>
      <c r="F2836" s="128"/>
      <c r="G2836" s="128"/>
      <c r="H2836" s="129"/>
      <c r="I2836" s="130"/>
      <c r="J2836" s="23"/>
      <c r="K2836" s="23"/>
      <c r="L2836" s="23"/>
      <c r="M2836" s="131"/>
      <c r="N2836" s="131"/>
      <c r="O2836" s="131"/>
    </row>
    <row r="2837" spans="4:15" x14ac:dyDescent="0.3">
      <c r="D2837" s="33"/>
      <c r="E2837" s="127"/>
      <c r="F2837" s="128"/>
      <c r="G2837" s="128"/>
      <c r="H2837" s="129"/>
      <c r="I2837" s="130"/>
      <c r="J2837" s="23"/>
      <c r="K2837" s="23"/>
      <c r="L2837" s="23"/>
      <c r="M2837" s="131"/>
      <c r="N2837" s="131"/>
      <c r="O2837" s="131"/>
    </row>
    <row r="2838" spans="4:15" x14ac:dyDescent="0.3">
      <c r="D2838" s="33"/>
      <c r="E2838" s="127"/>
      <c r="F2838" s="128"/>
      <c r="G2838" s="128"/>
      <c r="H2838" s="129"/>
      <c r="I2838" s="130"/>
      <c r="J2838" s="23"/>
      <c r="K2838" s="23"/>
      <c r="L2838" s="23"/>
      <c r="M2838" s="131"/>
      <c r="N2838" s="131"/>
      <c r="O2838" s="131"/>
    </row>
    <row r="2839" spans="4:15" x14ac:dyDescent="0.3">
      <c r="D2839" s="33"/>
      <c r="E2839" s="127"/>
      <c r="F2839" s="128"/>
      <c r="G2839" s="128"/>
      <c r="H2839" s="129"/>
      <c r="I2839" s="130"/>
      <c r="J2839" s="23"/>
      <c r="K2839" s="23"/>
      <c r="L2839" s="23"/>
      <c r="M2839" s="131"/>
      <c r="N2839" s="131"/>
      <c r="O2839" s="131"/>
    </row>
    <row r="2840" spans="4:15" x14ac:dyDescent="0.3">
      <c r="D2840" s="33"/>
      <c r="E2840" s="127"/>
      <c r="F2840" s="128"/>
      <c r="G2840" s="128"/>
      <c r="H2840" s="129"/>
      <c r="I2840" s="130"/>
      <c r="J2840" s="23"/>
      <c r="K2840" s="23"/>
      <c r="L2840" s="23"/>
      <c r="M2840" s="131"/>
      <c r="N2840" s="131"/>
      <c r="O2840" s="131"/>
    </row>
    <row r="2841" spans="4:15" x14ac:dyDescent="0.3">
      <c r="D2841" s="33"/>
      <c r="E2841" s="127"/>
      <c r="F2841" s="128"/>
      <c r="G2841" s="128"/>
      <c r="H2841" s="129"/>
      <c r="I2841" s="130"/>
      <c r="J2841" s="23"/>
      <c r="K2841" s="23"/>
      <c r="L2841" s="23"/>
      <c r="M2841" s="131"/>
      <c r="N2841" s="131"/>
      <c r="O2841" s="131"/>
    </row>
    <row r="2842" spans="4:15" x14ac:dyDescent="0.3">
      <c r="D2842" s="33"/>
      <c r="E2842" s="127"/>
      <c r="F2842" s="128"/>
      <c r="G2842" s="128"/>
      <c r="H2842" s="129"/>
      <c r="I2842" s="130"/>
      <c r="J2842" s="23"/>
      <c r="K2842" s="23"/>
      <c r="L2842" s="23"/>
      <c r="M2842" s="131"/>
      <c r="N2842" s="131"/>
      <c r="O2842" s="131"/>
    </row>
    <row r="2843" spans="4:15" x14ac:dyDescent="0.3">
      <c r="D2843" s="33"/>
      <c r="E2843" s="127"/>
      <c r="F2843" s="128"/>
      <c r="G2843" s="128"/>
      <c r="H2843" s="129"/>
      <c r="I2843" s="130"/>
      <c r="J2843" s="23"/>
      <c r="K2843" s="23"/>
      <c r="L2843" s="23"/>
      <c r="M2843" s="131"/>
      <c r="N2843" s="131"/>
      <c r="O2843" s="131"/>
    </row>
    <row r="2844" spans="4:15" x14ac:dyDescent="0.3">
      <c r="D2844" s="33"/>
      <c r="E2844" s="127"/>
      <c r="F2844" s="128"/>
      <c r="G2844" s="128"/>
      <c r="H2844" s="129"/>
      <c r="I2844" s="130"/>
      <c r="J2844" s="23"/>
      <c r="K2844" s="23"/>
      <c r="L2844" s="23"/>
      <c r="M2844" s="131"/>
      <c r="N2844" s="131"/>
      <c r="O2844" s="131"/>
    </row>
    <row r="2845" spans="4:15" x14ac:dyDescent="0.3">
      <c r="D2845" s="33"/>
      <c r="E2845" s="127"/>
      <c r="F2845" s="128"/>
      <c r="G2845" s="128"/>
      <c r="H2845" s="129"/>
      <c r="I2845" s="130"/>
      <c r="J2845" s="23"/>
      <c r="K2845" s="23"/>
      <c r="L2845" s="23"/>
      <c r="M2845" s="131"/>
      <c r="N2845" s="131"/>
      <c r="O2845" s="131"/>
    </row>
    <row r="2846" spans="4:15" x14ac:dyDescent="0.3">
      <c r="D2846" s="33"/>
      <c r="E2846" s="127"/>
      <c r="F2846" s="128"/>
      <c r="G2846" s="128"/>
      <c r="H2846" s="129"/>
      <c r="I2846" s="130"/>
      <c r="J2846" s="23"/>
      <c r="K2846" s="23"/>
      <c r="L2846" s="23"/>
      <c r="M2846" s="131"/>
      <c r="N2846" s="131"/>
      <c r="O2846" s="131"/>
    </row>
    <row r="2847" spans="4:15" x14ac:dyDescent="0.3">
      <c r="D2847" s="33"/>
      <c r="E2847" s="127"/>
      <c r="F2847" s="128"/>
      <c r="G2847" s="128"/>
      <c r="H2847" s="129"/>
      <c r="I2847" s="130"/>
      <c r="J2847" s="23"/>
      <c r="K2847" s="23"/>
      <c r="L2847" s="23"/>
      <c r="M2847" s="131"/>
      <c r="N2847" s="131"/>
      <c r="O2847" s="131"/>
    </row>
    <row r="2848" spans="4:15" x14ac:dyDescent="0.3">
      <c r="D2848" s="33"/>
      <c r="E2848" s="127"/>
      <c r="F2848" s="128"/>
      <c r="G2848" s="128"/>
      <c r="H2848" s="129"/>
      <c r="I2848" s="130"/>
      <c r="J2848" s="23"/>
      <c r="K2848" s="23"/>
      <c r="L2848" s="23"/>
      <c r="M2848" s="131"/>
      <c r="N2848" s="131"/>
      <c r="O2848" s="131"/>
    </row>
    <row r="2849" spans="4:15" x14ac:dyDescent="0.3">
      <c r="D2849" s="33"/>
      <c r="E2849" s="127"/>
      <c r="F2849" s="128"/>
      <c r="G2849" s="128"/>
      <c r="H2849" s="129"/>
      <c r="I2849" s="130"/>
      <c r="J2849" s="23"/>
      <c r="K2849" s="23"/>
      <c r="L2849" s="23"/>
      <c r="M2849" s="131"/>
      <c r="N2849" s="131"/>
      <c r="O2849" s="131"/>
    </row>
    <row r="2850" spans="4:15" x14ac:dyDescent="0.3">
      <c r="D2850" s="33"/>
      <c r="E2850" s="127"/>
      <c r="F2850" s="128"/>
      <c r="G2850" s="128"/>
      <c r="H2850" s="129"/>
      <c r="I2850" s="130"/>
      <c r="J2850" s="23"/>
      <c r="K2850" s="23"/>
      <c r="L2850" s="23"/>
      <c r="M2850" s="131"/>
      <c r="N2850" s="131"/>
      <c r="O2850" s="131"/>
    </row>
    <row r="2851" spans="4:15" x14ac:dyDescent="0.3">
      <c r="D2851" s="33"/>
      <c r="E2851" s="127"/>
      <c r="F2851" s="128"/>
      <c r="G2851" s="128"/>
      <c r="H2851" s="129"/>
      <c r="I2851" s="130"/>
      <c r="J2851" s="23"/>
      <c r="K2851" s="23"/>
      <c r="L2851" s="23"/>
      <c r="M2851" s="131"/>
      <c r="N2851" s="131"/>
      <c r="O2851" s="131"/>
    </row>
    <row r="2852" spans="4:15" x14ac:dyDescent="0.3">
      <c r="D2852" s="33"/>
      <c r="E2852" s="127"/>
      <c r="F2852" s="128"/>
      <c r="G2852" s="128"/>
      <c r="H2852" s="129"/>
      <c r="I2852" s="130"/>
      <c r="J2852" s="23"/>
      <c r="K2852" s="23"/>
      <c r="L2852" s="23"/>
      <c r="M2852" s="131"/>
      <c r="N2852" s="131"/>
      <c r="O2852" s="131"/>
    </row>
    <row r="2853" spans="4:15" x14ac:dyDescent="0.3">
      <c r="D2853" s="33"/>
      <c r="E2853" s="127"/>
      <c r="F2853" s="128"/>
      <c r="G2853" s="128"/>
      <c r="H2853" s="129"/>
      <c r="I2853" s="130"/>
      <c r="J2853" s="23"/>
      <c r="K2853" s="23"/>
      <c r="L2853" s="23"/>
      <c r="M2853" s="131"/>
      <c r="N2853" s="131"/>
      <c r="O2853" s="131"/>
    </row>
    <row r="2854" spans="4:15" x14ac:dyDescent="0.3">
      <c r="D2854" s="33"/>
      <c r="E2854" s="127"/>
      <c r="F2854" s="128"/>
      <c r="G2854" s="128"/>
      <c r="H2854" s="129"/>
      <c r="I2854" s="130"/>
      <c r="J2854" s="23"/>
      <c r="K2854" s="23"/>
      <c r="L2854" s="23"/>
      <c r="M2854" s="131"/>
      <c r="N2854" s="131"/>
      <c r="O2854" s="131"/>
    </row>
    <row r="2855" spans="4:15" x14ac:dyDescent="0.3">
      <c r="D2855" s="33"/>
      <c r="E2855" s="127"/>
      <c r="F2855" s="128"/>
      <c r="G2855" s="128"/>
      <c r="H2855" s="129"/>
      <c r="I2855" s="130"/>
      <c r="J2855" s="23"/>
      <c r="K2855" s="23"/>
      <c r="L2855" s="23"/>
      <c r="M2855" s="131"/>
      <c r="N2855" s="131"/>
      <c r="O2855" s="131"/>
    </row>
    <row r="2856" spans="4:15" x14ac:dyDescent="0.3">
      <c r="D2856" s="33"/>
      <c r="E2856" s="127"/>
      <c r="F2856" s="128"/>
      <c r="G2856" s="128"/>
      <c r="H2856" s="129"/>
      <c r="I2856" s="130"/>
      <c r="J2856" s="23"/>
      <c r="K2856" s="23"/>
      <c r="L2856" s="23"/>
      <c r="M2856" s="131"/>
      <c r="N2856" s="131"/>
      <c r="O2856" s="131"/>
    </row>
    <row r="2857" spans="4:15" x14ac:dyDescent="0.3">
      <c r="D2857" s="33"/>
      <c r="E2857" s="127"/>
      <c r="F2857" s="128"/>
      <c r="G2857" s="128"/>
      <c r="H2857" s="129"/>
      <c r="I2857" s="130"/>
      <c r="J2857" s="23"/>
      <c r="K2857" s="23"/>
      <c r="L2857" s="23"/>
      <c r="M2857" s="131"/>
      <c r="N2857" s="131"/>
      <c r="O2857" s="131"/>
    </row>
    <row r="2858" spans="4:15" x14ac:dyDescent="0.3">
      <c r="D2858" s="33"/>
      <c r="E2858" s="127"/>
      <c r="F2858" s="128"/>
      <c r="G2858" s="128"/>
      <c r="H2858" s="129"/>
      <c r="I2858" s="130"/>
      <c r="J2858" s="23"/>
      <c r="K2858" s="23"/>
      <c r="L2858" s="23"/>
      <c r="M2858" s="131"/>
      <c r="N2858" s="131"/>
      <c r="O2858" s="131"/>
    </row>
    <row r="2859" spans="4:15" x14ac:dyDescent="0.3">
      <c r="D2859" s="33"/>
      <c r="E2859" s="127"/>
      <c r="F2859" s="128"/>
      <c r="G2859" s="128"/>
      <c r="H2859" s="129"/>
      <c r="I2859" s="130"/>
      <c r="J2859" s="23"/>
      <c r="K2859" s="23"/>
      <c r="L2859" s="23"/>
      <c r="M2859" s="131"/>
      <c r="N2859" s="131"/>
      <c r="O2859" s="131"/>
    </row>
    <row r="2860" spans="4:15" x14ac:dyDescent="0.3">
      <c r="D2860" s="33"/>
      <c r="E2860" s="127"/>
      <c r="F2860" s="128"/>
      <c r="G2860" s="128"/>
      <c r="H2860" s="129"/>
      <c r="I2860" s="130"/>
      <c r="J2860" s="23"/>
      <c r="K2860" s="23"/>
      <c r="L2860" s="23"/>
      <c r="M2860" s="131"/>
      <c r="N2860" s="131"/>
      <c r="O2860" s="131"/>
    </row>
    <row r="2861" spans="4:15" x14ac:dyDescent="0.3">
      <c r="D2861" s="33"/>
      <c r="E2861" s="127"/>
      <c r="F2861" s="128"/>
      <c r="G2861" s="128"/>
      <c r="H2861" s="129"/>
      <c r="I2861" s="130"/>
      <c r="J2861" s="23"/>
      <c r="K2861" s="23"/>
      <c r="L2861" s="23"/>
      <c r="M2861" s="131"/>
      <c r="N2861" s="131"/>
      <c r="O2861" s="131"/>
    </row>
    <row r="2862" spans="4:15" x14ac:dyDescent="0.3">
      <c r="D2862" s="33"/>
      <c r="E2862" s="127"/>
      <c r="F2862" s="128"/>
      <c r="G2862" s="128"/>
      <c r="H2862" s="129"/>
      <c r="I2862" s="130"/>
      <c r="J2862" s="23"/>
      <c r="K2862" s="23"/>
      <c r="L2862" s="23"/>
      <c r="M2862" s="131"/>
      <c r="N2862" s="131"/>
      <c r="O2862" s="131"/>
    </row>
    <row r="2863" spans="4:15" x14ac:dyDescent="0.3">
      <c r="D2863" s="33"/>
      <c r="E2863" s="127"/>
      <c r="F2863" s="128"/>
      <c r="G2863" s="128"/>
      <c r="H2863" s="129"/>
      <c r="I2863" s="130"/>
      <c r="J2863" s="23"/>
      <c r="K2863" s="23"/>
      <c r="L2863" s="23"/>
      <c r="M2863" s="131"/>
      <c r="N2863" s="131"/>
      <c r="O2863" s="131"/>
    </row>
    <row r="2864" spans="4:15" x14ac:dyDescent="0.3">
      <c r="D2864" s="33"/>
      <c r="E2864" s="127"/>
      <c r="F2864" s="128"/>
      <c r="G2864" s="128"/>
      <c r="H2864" s="129"/>
      <c r="I2864" s="130"/>
      <c r="J2864" s="23"/>
      <c r="K2864" s="23"/>
      <c r="L2864" s="23"/>
      <c r="M2864" s="131"/>
      <c r="N2864" s="131"/>
      <c r="O2864" s="131"/>
    </row>
    <row r="2865" spans="4:15" x14ac:dyDescent="0.3">
      <c r="D2865" s="33"/>
      <c r="E2865" s="127"/>
      <c r="F2865" s="128"/>
      <c r="G2865" s="128"/>
      <c r="H2865" s="129"/>
      <c r="I2865" s="130"/>
      <c r="J2865" s="23"/>
      <c r="K2865" s="23"/>
      <c r="L2865" s="23"/>
      <c r="M2865" s="131"/>
      <c r="N2865" s="131"/>
      <c r="O2865" s="131"/>
    </row>
    <row r="2866" spans="4:15" x14ac:dyDescent="0.3">
      <c r="D2866" s="33"/>
      <c r="E2866" s="127"/>
      <c r="F2866" s="128"/>
      <c r="G2866" s="128"/>
      <c r="H2866" s="129"/>
      <c r="I2866" s="130"/>
      <c r="J2866" s="23"/>
      <c r="K2866" s="23"/>
      <c r="L2866" s="23"/>
      <c r="M2866" s="131"/>
      <c r="N2866" s="131"/>
      <c r="O2866" s="131"/>
    </row>
    <row r="2867" spans="4:15" x14ac:dyDescent="0.3">
      <c r="D2867" s="33"/>
      <c r="E2867" s="127"/>
      <c r="F2867" s="128"/>
      <c r="G2867" s="128"/>
      <c r="H2867" s="129"/>
      <c r="I2867" s="130"/>
      <c r="J2867" s="23"/>
      <c r="K2867" s="23"/>
      <c r="L2867" s="23"/>
      <c r="M2867" s="131"/>
      <c r="N2867" s="131"/>
      <c r="O2867" s="131"/>
    </row>
    <row r="2868" spans="4:15" x14ac:dyDescent="0.3">
      <c r="D2868" s="33"/>
      <c r="E2868" s="127"/>
      <c r="F2868" s="128"/>
      <c r="G2868" s="128"/>
      <c r="H2868" s="129"/>
      <c r="I2868" s="130"/>
      <c r="J2868" s="23"/>
      <c r="K2868" s="23"/>
      <c r="L2868" s="23"/>
      <c r="M2868" s="131"/>
      <c r="N2868" s="131"/>
      <c r="O2868" s="131"/>
    </row>
    <row r="2869" spans="4:15" x14ac:dyDescent="0.3">
      <c r="D2869" s="33"/>
      <c r="E2869" s="127"/>
      <c r="F2869" s="128"/>
      <c r="G2869" s="128"/>
      <c r="H2869" s="129"/>
      <c r="I2869" s="130"/>
      <c r="J2869" s="23"/>
      <c r="K2869" s="23"/>
      <c r="L2869" s="23"/>
      <c r="M2869" s="131"/>
      <c r="N2869" s="131"/>
      <c r="O2869" s="131"/>
    </row>
    <row r="2870" spans="4:15" x14ac:dyDescent="0.3">
      <c r="D2870" s="33"/>
      <c r="E2870" s="127"/>
      <c r="F2870" s="128"/>
      <c r="G2870" s="128"/>
      <c r="H2870" s="129"/>
      <c r="I2870" s="130"/>
      <c r="J2870" s="23"/>
      <c r="K2870" s="23"/>
      <c r="L2870" s="23"/>
      <c r="M2870" s="131"/>
      <c r="N2870" s="131"/>
      <c r="O2870" s="131"/>
    </row>
    <row r="2871" spans="4:15" x14ac:dyDescent="0.3">
      <c r="D2871" s="33"/>
      <c r="E2871" s="127"/>
      <c r="F2871" s="128"/>
      <c r="G2871" s="128"/>
      <c r="H2871" s="129"/>
      <c r="I2871" s="130"/>
      <c r="J2871" s="23"/>
      <c r="K2871" s="23"/>
      <c r="L2871" s="23"/>
      <c r="M2871" s="131"/>
      <c r="N2871" s="131"/>
      <c r="O2871" s="131"/>
    </row>
    <row r="2872" spans="4:15" x14ac:dyDescent="0.3">
      <c r="D2872" s="33"/>
      <c r="E2872" s="127"/>
      <c r="F2872" s="128"/>
      <c r="G2872" s="128"/>
      <c r="H2872" s="129"/>
      <c r="I2872" s="130"/>
      <c r="J2872" s="23"/>
      <c r="K2872" s="23"/>
      <c r="L2872" s="23"/>
      <c r="M2872" s="131"/>
      <c r="N2872" s="131"/>
      <c r="O2872" s="131"/>
    </row>
    <row r="2873" spans="4:15" x14ac:dyDescent="0.3">
      <c r="D2873" s="33"/>
      <c r="E2873" s="127"/>
      <c r="F2873" s="128"/>
      <c r="G2873" s="128"/>
      <c r="H2873" s="129"/>
      <c r="I2873" s="130"/>
      <c r="J2873" s="23"/>
      <c r="K2873" s="23"/>
      <c r="L2873" s="23"/>
      <c r="M2873" s="131"/>
      <c r="N2873" s="131"/>
      <c r="O2873" s="131"/>
    </row>
    <row r="2874" spans="4:15" x14ac:dyDescent="0.3">
      <c r="D2874" s="33"/>
      <c r="E2874" s="127"/>
      <c r="F2874" s="128"/>
      <c r="G2874" s="128"/>
      <c r="H2874" s="129"/>
      <c r="I2874" s="130"/>
      <c r="J2874" s="23"/>
      <c r="K2874" s="23"/>
      <c r="L2874" s="23"/>
      <c r="M2874" s="131"/>
      <c r="N2874" s="131"/>
      <c r="O2874" s="131"/>
    </row>
    <row r="2875" spans="4:15" x14ac:dyDescent="0.3">
      <c r="D2875" s="33"/>
      <c r="E2875" s="127"/>
      <c r="F2875" s="128"/>
      <c r="G2875" s="128"/>
      <c r="H2875" s="129"/>
      <c r="I2875" s="130"/>
      <c r="J2875" s="23"/>
      <c r="K2875" s="23"/>
      <c r="L2875" s="23"/>
      <c r="M2875" s="131"/>
      <c r="N2875" s="131"/>
      <c r="O2875" s="131"/>
    </row>
    <row r="2876" spans="4:15" x14ac:dyDescent="0.3">
      <c r="D2876" s="33"/>
      <c r="E2876" s="127"/>
      <c r="F2876" s="128"/>
      <c r="G2876" s="128"/>
      <c r="H2876" s="129"/>
      <c r="I2876" s="130"/>
      <c r="J2876" s="23"/>
      <c r="K2876" s="23"/>
      <c r="L2876" s="23"/>
      <c r="M2876" s="131"/>
      <c r="N2876" s="131"/>
      <c r="O2876" s="131"/>
    </row>
    <row r="2877" spans="4:15" x14ac:dyDescent="0.3">
      <c r="D2877" s="33"/>
      <c r="E2877" s="127"/>
      <c r="F2877" s="128"/>
      <c r="G2877" s="128"/>
      <c r="H2877" s="129"/>
      <c r="I2877" s="130"/>
      <c r="J2877" s="23"/>
      <c r="K2877" s="23"/>
      <c r="L2877" s="23"/>
      <c r="M2877" s="131"/>
      <c r="N2877" s="131"/>
      <c r="O2877" s="131"/>
    </row>
    <row r="2878" spans="4:15" x14ac:dyDescent="0.3">
      <c r="D2878" s="33"/>
      <c r="E2878" s="127"/>
      <c r="F2878" s="128"/>
      <c r="G2878" s="128"/>
      <c r="H2878" s="129"/>
      <c r="I2878" s="130"/>
      <c r="J2878" s="23"/>
      <c r="K2878" s="23"/>
      <c r="L2878" s="23"/>
      <c r="M2878" s="131"/>
      <c r="N2878" s="131"/>
      <c r="O2878" s="131"/>
    </row>
    <row r="2879" spans="4:15" x14ac:dyDescent="0.3">
      <c r="D2879" s="33"/>
      <c r="E2879" s="127"/>
      <c r="F2879" s="128"/>
      <c r="G2879" s="128"/>
      <c r="H2879" s="129"/>
      <c r="I2879" s="130"/>
      <c r="J2879" s="23"/>
      <c r="K2879" s="23"/>
      <c r="L2879" s="23"/>
      <c r="M2879" s="131"/>
      <c r="N2879" s="131"/>
      <c r="O2879" s="131"/>
    </row>
    <row r="2880" spans="4:15" x14ac:dyDescent="0.3">
      <c r="D2880" s="33"/>
      <c r="E2880" s="127"/>
      <c r="F2880" s="128"/>
      <c r="G2880" s="128"/>
      <c r="H2880" s="129"/>
      <c r="I2880" s="130"/>
      <c r="J2880" s="23"/>
      <c r="K2880" s="23"/>
      <c r="L2880" s="23"/>
      <c r="M2880" s="131"/>
      <c r="N2880" s="131"/>
      <c r="O2880" s="131"/>
    </row>
    <row r="2881" spans="4:15" x14ac:dyDescent="0.3">
      <c r="D2881" s="33"/>
      <c r="E2881" s="127"/>
      <c r="F2881" s="128"/>
      <c r="G2881" s="128"/>
      <c r="H2881" s="129"/>
      <c r="I2881" s="130"/>
      <c r="J2881" s="23"/>
      <c r="K2881" s="23"/>
      <c r="L2881" s="23"/>
      <c r="M2881" s="131"/>
      <c r="N2881" s="131"/>
      <c r="O2881" s="131"/>
    </row>
    <row r="2882" spans="4:15" x14ac:dyDescent="0.3">
      <c r="D2882" s="33"/>
      <c r="E2882" s="127"/>
      <c r="F2882" s="128"/>
      <c r="G2882" s="128"/>
      <c r="H2882" s="129"/>
      <c r="I2882" s="130"/>
      <c r="J2882" s="23"/>
      <c r="K2882" s="23"/>
      <c r="L2882" s="23"/>
      <c r="M2882" s="131"/>
      <c r="N2882" s="131"/>
      <c r="O2882" s="131"/>
    </row>
    <row r="2883" spans="4:15" x14ac:dyDescent="0.3">
      <c r="D2883" s="33"/>
      <c r="E2883" s="127"/>
      <c r="F2883" s="128"/>
      <c r="G2883" s="128"/>
      <c r="H2883" s="129"/>
      <c r="I2883" s="130"/>
      <c r="J2883" s="23"/>
      <c r="K2883" s="23"/>
      <c r="L2883" s="23"/>
      <c r="M2883" s="131"/>
      <c r="N2883" s="131"/>
      <c r="O2883" s="131"/>
    </row>
    <row r="2884" spans="4:15" x14ac:dyDescent="0.3">
      <c r="D2884" s="33"/>
      <c r="E2884" s="127"/>
      <c r="F2884" s="128"/>
      <c r="G2884" s="128"/>
      <c r="H2884" s="129"/>
      <c r="I2884" s="130"/>
      <c r="J2884" s="23"/>
      <c r="K2884" s="23"/>
      <c r="L2884" s="23"/>
      <c r="M2884" s="131"/>
      <c r="N2884" s="131"/>
      <c r="O2884" s="131"/>
    </row>
    <row r="2885" spans="4:15" x14ac:dyDescent="0.3">
      <c r="D2885" s="33"/>
      <c r="E2885" s="127"/>
      <c r="F2885" s="128"/>
      <c r="G2885" s="128"/>
      <c r="H2885" s="129"/>
      <c r="I2885" s="130"/>
      <c r="J2885" s="23"/>
      <c r="K2885" s="23"/>
      <c r="L2885" s="23"/>
      <c r="M2885" s="131"/>
      <c r="N2885" s="131"/>
      <c r="O2885" s="131"/>
    </row>
    <row r="2886" spans="4:15" x14ac:dyDescent="0.3">
      <c r="D2886" s="33"/>
      <c r="E2886" s="127"/>
      <c r="F2886" s="128"/>
      <c r="G2886" s="128"/>
      <c r="H2886" s="129"/>
      <c r="I2886" s="130"/>
      <c r="J2886" s="23"/>
      <c r="K2886" s="23"/>
      <c r="L2886" s="23"/>
      <c r="M2886" s="131"/>
      <c r="N2886" s="131"/>
      <c r="O2886" s="131"/>
    </row>
    <row r="2887" spans="4:15" x14ac:dyDescent="0.3">
      <c r="D2887" s="33"/>
      <c r="E2887" s="127"/>
      <c r="F2887" s="128"/>
      <c r="G2887" s="128"/>
      <c r="H2887" s="129"/>
      <c r="I2887" s="130"/>
      <c r="J2887" s="23"/>
      <c r="K2887" s="23"/>
      <c r="L2887" s="23"/>
      <c r="M2887" s="131"/>
      <c r="N2887" s="131"/>
      <c r="O2887" s="131"/>
    </row>
    <row r="2888" spans="4:15" x14ac:dyDescent="0.3">
      <c r="D2888" s="33"/>
      <c r="E2888" s="127"/>
      <c r="F2888" s="128"/>
      <c r="G2888" s="128"/>
      <c r="H2888" s="129"/>
      <c r="I2888" s="130"/>
      <c r="J2888" s="23"/>
      <c r="K2888" s="23"/>
      <c r="L2888" s="23"/>
      <c r="M2888" s="131"/>
      <c r="N2888" s="131"/>
      <c r="O2888" s="131"/>
    </row>
    <row r="2889" spans="4:15" x14ac:dyDescent="0.3">
      <c r="D2889" s="33"/>
      <c r="E2889" s="127"/>
      <c r="F2889" s="128"/>
      <c r="G2889" s="128"/>
      <c r="H2889" s="129"/>
      <c r="I2889" s="130"/>
      <c r="J2889" s="23"/>
      <c r="K2889" s="23"/>
      <c r="L2889" s="23"/>
      <c r="M2889" s="131"/>
      <c r="N2889" s="131"/>
      <c r="O2889" s="131"/>
    </row>
    <row r="2890" spans="4:15" x14ac:dyDescent="0.3">
      <c r="D2890" s="33"/>
      <c r="E2890" s="127"/>
      <c r="F2890" s="128"/>
      <c r="G2890" s="128"/>
      <c r="H2890" s="129"/>
      <c r="I2890" s="130"/>
      <c r="J2890" s="23"/>
      <c r="K2890" s="23"/>
      <c r="L2890" s="23"/>
      <c r="M2890" s="131"/>
      <c r="N2890" s="131"/>
      <c r="O2890" s="131"/>
    </row>
    <row r="2891" spans="4:15" x14ac:dyDescent="0.3">
      <c r="D2891" s="33"/>
      <c r="E2891" s="127"/>
      <c r="F2891" s="128"/>
      <c r="G2891" s="128"/>
      <c r="H2891" s="129"/>
      <c r="I2891" s="130"/>
      <c r="J2891" s="23"/>
      <c r="K2891" s="23"/>
      <c r="L2891" s="23"/>
      <c r="M2891" s="131"/>
      <c r="N2891" s="131"/>
      <c r="O2891" s="131"/>
    </row>
    <row r="2892" spans="4:15" x14ac:dyDescent="0.3">
      <c r="D2892" s="33"/>
      <c r="E2892" s="127"/>
      <c r="F2892" s="128"/>
      <c r="G2892" s="128"/>
      <c r="H2892" s="129"/>
      <c r="I2892" s="130"/>
      <c r="J2892" s="23"/>
      <c r="K2892" s="23"/>
      <c r="L2892" s="23"/>
      <c r="M2892" s="131"/>
      <c r="N2892" s="131"/>
      <c r="O2892" s="131"/>
    </row>
    <row r="2893" spans="4:15" x14ac:dyDescent="0.3">
      <c r="D2893" s="33"/>
      <c r="E2893" s="127"/>
      <c r="F2893" s="128"/>
      <c r="G2893" s="128"/>
      <c r="H2893" s="129"/>
      <c r="I2893" s="130"/>
      <c r="J2893" s="23"/>
      <c r="K2893" s="23"/>
      <c r="L2893" s="23"/>
      <c r="M2893" s="131"/>
      <c r="N2893" s="131"/>
      <c r="O2893" s="131"/>
    </row>
    <row r="2894" spans="4:15" x14ac:dyDescent="0.3">
      <c r="D2894" s="33"/>
      <c r="E2894" s="127"/>
      <c r="F2894" s="128"/>
      <c r="G2894" s="128"/>
      <c r="H2894" s="129"/>
      <c r="I2894" s="130"/>
      <c r="J2894" s="23"/>
      <c r="K2894" s="23"/>
      <c r="L2894" s="23"/>
      <c r="M2894" s="131"/>
      <c r="N2894" s="131"/>
      <c r="O2894" s="131"/>
    </row>
    <row r="2895" spans="4:15" x14ac:dyDescent="0.3">
      <c r="D2895" s="33"/>
      <c r="E2895" s="127"/>
      <c r="F2895" s="128"/>
      <c r="G2895" s="128"/>
      <c r="H2895" s="129"/>
      <c r="I2895" s="130"/>
      <c r="J2895" s="23"/>
      <c r="K2895" s="23"/>
      <c r="L2895" s="23"/>
      <c r="M2895" s="131"/>
      <c r="N2895" s="131"/>
      <c r="O2895" s="131"/>
    </row>
    <row r="2896" spans="4:15" x14ac:dyDescent="0.3">
      <c r="D2896" s="33"/>
      <c r="E2896" s="127"/>
      <c r="F2896" s="128"/>
      <c r="G2896" s="128"/>
      <c r="H2896" s="129"/>
      <c r="I2896" s="130"/>
      <c r="J2896" s="23"/>
      <c r="K2896" s="23"/>
      <c r="L2896" s="23"/>
      <c r="M2896" s="131"/>
      <c r="N2896" s="131"/>
      <c r="O2896" s="131"/>
    </row>
    <row r="2897" spans="4:15" x14ac:dyDescent="0.3">
      <c r="D2897" s="33"/>
      <c r="E2897" s="127"/>
      <c r="F2897" s="128"/>
      <c r="G2897" s="128"/>
      <c r="H2897" s="129"/>
      <c r="I2897" s="130"/>
      <c r="J2897" s="23"/>
      <c r="K2897" s="23"/>
      <c r="L2897" s="23"/>
      <c r="M2897" s="131"/>
      <c r="N2897" s="131"/>
      <c r="O2897" s="131"/>
    </row>
    <row r="2898" spans="4:15" x14ac:dyDescent="0.3">
      <c r="D2898" s="33"/>
      <c r="E2898" s="127"/>
      <c r="F2898" s="128"/>
      <c r="G2898" s="128"/>
      <c r="H2898" s="129"/>
      <c r="I2898" s="130"/>
      <c r="J2898" s="23"/>
      <c r="K2898" s="23"/>
      <c r="L2898" s="23"/>
      <c r="M2898" s="131"/>
      <c r="N2898" s="131"/>
      <c r="O2898" s="131"/>
    </row>
    <row r="2899" spans="4:15" x14ac:dyDescent="0.3">
      <c r="D2899" s="33"/>
      <c r="E2899" s="127"/>
      <c r="F2899" s="128"/>
      <c r="G2899" s="128"/>
      <c r="H2899" s="129"/>
      <c r="I2899" s="130"/>
      <c r="J2899" s="23"/>
      <c r="K2899" s="23"/>
      <c r="L2899" s="23"/>
      <c r="M2899" s="131"/>
      <c r="N2899" s="131"/>
      <c r="O2899" s="131"/>
    </row>
    <row r="2900" spans="4:15" x14ac:dyDescent="0.3">
      <c r="D2900" s="33"/>
      <c r="E2900" s="127"/>
      <c r="F2900" s="128"/>
      <c r="G2900" s="128"/>
      <c r="H2900" s="129"/>
      <c r="I2900" s="130"/>
      <c r="J2900" s="23"/>
      <c r="K2900" s="23"/>
      <c r="L2900" s="23"/>
      <c r="M2900" s="131"/>
      <c r="N2900" s="131"/>
      <c r="O2900" s="131"/>
    </row>
    <row r="2901" spans="4:15" x14ac:dyDescent="0.3">
      <c r="D2901" s="33"/>
      <c r="E2901" s="127"/>
      <c r="F2901" s="128"/>
      <c r="G2901" s="128"/>
      <c r="H2901" s="129"/>
      <c r="I2901" s="130"/>
      <c r="J2901" s="23"/>
      <c r="K2901" s="23"/>
      <c r="L2901" s="23"/>
      <c r="M2901" s="131"/>
      <c r="N2901" s="131"/>
      <c r="O2901" s="131"/>
    </row>
    <row r="2902" spans="4:15" x14ac:dyDescent="0.3">
      <c r="D2902" s="33"/>
      <c r="E2902" s="127"/>
      <c r="F2902" s="128"/>
      <c r="G2902" s="128"/>
      <c r="H2902" s="129"/>
      <c r="I2902" s="130"/>
      <c r="J2902" s="23"/>
      <c r="K2902" s="23"/>
      <c r="L2902" s="23"/>
      <c r="M2902" s="131"/>
      <c r="N2902" s="131"/>
      <c r="O2902" s="131"/>
    </row>
    <row r="2903" spans="4:15" x14ac:dyDescent="0.3">
      <c r="D2903" s="33"/>
      <c r="E2903" s="127"/>
      <c r="F2903" s="128"/>
      <c r="G2903" s="128"/>
      <c r="H2903" s="129"/>
      <c r="I2903" s="130"/>
      <c r="J2903" s="23"/>
      <c r="K2903" s="23"/>
      <c r="L2903" s="23"/>
      <c r="M2903" s="131"/>
      <c r="N2903" s="131"/>
      <c r="O2903" s="131"/>
    </row>
    <row r="2904" spans="4:15" x14ac:dyDescent="0.3">
      <c r="D2904" s="33"/>
      <c r="E2904" s="127"/>
      <c r="F2904" s="128"/>
      <c r="G2904" s="128"/>
      <c r="H2904" s="129"/>
      <c r="I2904" s="130"/>
      <c r="J2904" s="23"/>
      <c r="K2904" s="23"/>
      <c r="L2904" s="23"/>
      <c r="M2904" s="131"/>
      <c r="N2904" s="131"/>
      <c r="O2904" s="131"/>
    </row>
    <row r="2905" spans="4:15" x14ac:dyDescent="0.3">
      <c r="D2905" s="33"/>
      <c r="E2905" s="127"/>
      <c r="F2905" s="128"/>
      <c r="G2905" s="128"/>
      <c r="H2905" s="129"/>
      <c r="I2905" s="130"/>
      <c r="J2905" s="23"/>
      <c r="K2905" s="23"/>
      <c r="L2905" s="23"/>
      <c r="M2905" s="131"/>
      <c r="N2905" s="131"/>
      <c r="O2905" s="131"/>
    </row>
    <row r="2906" spans="4:15" x14ac:dyDescent="0.3">
      <c r="D2906" s="33"/>
      <c r="E2906" s="127"/>
      <c r="F2906" s="128"/>
      <c r="G2906" s="128"/>
      <c r="H2906" s="129"/>
      <c r="I2906" s="130"/>
      <c r="J2906" s="23"/>
      <c r="K2906" s="23"/>
      <c r="L2906" s="23"/>
      <c r="M2906" s="131"/>
      <c r="N2906" s="131"/>
      <c r="O2906" s="131"/>
    </row>
    <row r="2907" spans="4:15" x14ac:dyDescent="0.3">
      <c r="D2907" s="33"/>
      <c r="E2907" s="127"/>
      <c r="F2907" s="128"/>
      <c r="G2907" s="128"/>
      <c r="H2907" s="129"/>
      <c r="I2907" s="130"/>
      <c r="J2907" s="23"/>
      <c r="K2907" s="23"/>
      <c r="L2907" s="23"/>
      <c r="M2907" s="131"/>
      <c r="N2907" s="131"/>
      <c r="O2907" s="131"/>
    </row>
    <row r="2908" spans="4:15" x14ac:dyDescent="0.3">
      <c r="D2908" s="33"/>
      <c r="E2908" s="127"/>
      <c r="F2908" s="128"/>
      <c r="G2908" s="128"/>
      <c r="H2908" s="129"/>
      <c r="I2908" s="130"/>
      <c r="J2908" s="23"/>
      <c r="K2908" s="23"/>
      <c r="L2908" s="23"/>
      <c r="M2908" s="131"/>
      <c r="N2908" s="131"/>
      <c r="O2908" s="131"/>
    </row>
    <row r="2909" spans="4:15" x14ac:dyDescent="0.3">
      <c r="D2909" s="33"/>
      <c r="E2909" s="127"/>
      <c r="F2909" s="128"/>
      <c r="G2909" s="128"/>
      <c r="H2909" s="129"/>
      <c r="I2909" s="130"/>
      <c r="J2909" s="23"/>
      <c r="K2909" s="23"/>
      <c r="L2909" s="23"/>
      <c r="M2909" s="131"/>
      <c r="N2909" s="131"/>
      <c r="O2909" s="131"/>
    </row>
    <row r="2910" spans="4:15" x14ac:dyDescent="0.3">
      <c r="D2910" s="33"/>
      <c r="E2910" s="127"/>
      <c r="F2910" s="128"/>
      <c r="G2910" s="128"/>
      <c r="H2910" s="129"/>
      <c r="I2910" s="130"/>
      <c r="J2910" s="23"/>
      <c r="K2910" s="23"/>
      <c r="L2910" s="23"/>
      <c r="M2910" s="131"/>
      <c r="N2910" s="131"/>
      <c r="O2910" s="131"/>
    </row>
    <row r="2911" spans="4:15" x14ac:dyDescent="0.3">
      <c r="D2911" s="33"/>
      <c r="E2911" s="127"/>
      <c r="F2911" s="128"/>
      <c r="G2911" s="128"/>
      <c r="H2911" s="129"/>
      <c r="I2911" s="130"/>
      <c r="J2911" s="23"/>
      <c r="K2911" s="23"/>
      <c r="L2911" s="23"/>
      <c r="M2911" s="131"/>
      <c r="N2911" s="131"/>
      <c r="O2911" s="131"/>
    </row>
    <row r="2912" spans="4:15" x14ac:dyDescent="0.3">
      <c r="D2912" s="33"/>
      <c r="E2912" s="127"/>
      <c r="F2912" s="128"/>
      <c r="G2912" s="128"/>
      <c r="H2912" s="129"/>
      <c r="I2912" s="130"/>
      <c r="J2912" s="23"/>
      <c r="K2912" s="23"/>
      <c r="L2912" s="23"/>
      <c r="M2912" s="131"/>
      <c r="N2912" s="131"/>
      <c r="O2912" s="131"/>
    </row>
    <row r="2913" spans="4:15" x14ac:dyDescent="0.3">
      <c r="D2913" s="33"/>
      <c r="E2913" s="127"/>
      <c r="F2913" s="128"/>
      <c r="G2913" s="128"/>
      <c r="H2913" s="129"/>
      <c r="I2913" s="130"/>
      <c r="J2913" s="23"/>
      <c r="K2913" s="23"/>
      <c r="L2913" s="23"/>
      <c r="M2913" s="131"/>
      <c r="N2913" s="131"/>
      <c r="O2913" s="131"/>
    </row>
    <row r="2914" spans="4:15" x14ac:dyDescent="0.3">
      <c r="D2914" s="33"/>
      <c r="E2914" s="127"/>
      <c r="F2914" s="128"/>
      <c r="G2914" s="128"/>
      <c r="H2914" s="129"/>
      <c r="I2914" s="130"/>
      <c r="J2914" s="23"/>
      <c r="K2914" s="23"/>
      <c r="L2914" s="23"/>
      <c r="M2914" s="131"/>
      <c r="N2914" s="131"/>
      <c r="O2914" s="131"/>
    </row>
    <row r="2915" spans="4:15" x14ac:dyDescent="0.3">
      <c r="D2915" s="33"/>
      <c r="E2915" s="127"/>
      <c r="F2915" s="128"/>
      <c r="G2915" s="128"/>
      <c r="H2915" s="129"/>
      <c r="I2915" s="130"/>
      <c r="J2915" s="23"/>
      <c r="K2915" s="23"/>
      <c r="L2915" s="23"/>
      <c r="M2915" s="131"/>
      <c r="N2915" s="131"/>
      <c r="O2915" s="131"/>
    </row>
    <row r="2916" spans="4:15" x14ac:dyDescent="0.3">
      <c r="D2916" s="33"/>
      <c r="E2916" s="127"/>
      <c r="F2916" s="128"/>
      <c r="G2916" s="128"/>
      <c r="H2916" s="129"/>
      <c r="I2916" s="130"/>
      <c r="J2916" s="23"/>
      <c r="K2916" s="23"/>
      <c r="L2916" s="23"/>
      <c r="M2916" s="131"/>
      <c r="N2916" s="131"/>
      <c r="O2916" s="131"/>
    </row>
    <row r="2917" spans="4:15" x14ac:dyDescent="0.3">
      <c r="D2917" s="33"/>
      <c r="E2917" s="127"/>
      <c r="F2917" s="128"/>
      <c r="G2917" s="128"/>
      <c r="H2917" s="129"/>
      <c r="I2917" s="130"/>
      <c r="J2917" s="23"/>
      <c r="K2917" s="23"/>
      <c r="L2917" s="23"/>
      <c r="M2917" s="131"/>
      <c r="N2917" s="131"/>
      <c r="O2917" s="131"/>
    </row>
    <row r="2918" spans="4:15" x14ac:dyDescent="0.3">
      <c r="D2918" s="33"/>
      <c r="E2918" s="127"/>
      <c r="F2918" s="128"/>
      <c r="G2918" s="128"/>
      <c r="H2918" s="129"/>
      <c r="I2918" s="130"/>
      <c r="J2918" s="23"/>
      <c r="K2918" s="23"/>
      <c r="L2918" s="23"/>
      <c r="M2918" s="131"/>
      <c r="N2918" s="131"/>
      <c r="O2918" s="131"/>
    </row>
    <row r="2919" spans="4:15" x14ac:dyDescent="0.3">
      <c r="D2919" s="33"/>
      <c r="E2919" s="127"/>
      <c r="F2919" s="128"/>
      <c r="G2919" s="128"/>
      <c r="H2919" s="129"/>
      <c r="I2919" s="130"/>
      <c r="J2919" s="23"/>
      <c r="K2919" s="23"/>
      <c r="L2919" s="23"/>
      <c r="M2919" s="131"/>
      <c r="N2919" s="131"/>
      <c r="O2919" s="131"/>
    </row>
    <row r="2920" spans="4:15" x14ac:dyDescent="0.3">
      <c r="D2920" s="33"/>
      <c r="E2920" s="127"/>
      <c r="F2920" s="128"/>
      <c r="G2920" s="128"/>
      <c r="H2920" s="129"/>
      <c r="I2920" s="130"/>
      <c r="J2920" s="23"/>
      <c r="K2920" s="23"/>
      <c r="L2920" s="23"/>
      <c r="M2920" s="131"/>
      <c r="N2920" s="131"/>
      <c r="O2920" s="131"/>
    </row>
    <row r="2921" spans="4:15" x14ac:dyDescent="0.3">
      <c r="D2921" s="33"/>
      <c r="E2921" s="127"/>
      <c r="F2921" s="128"/>
      <c r="G2921" s="128"/>
      <c r="H2921" s="129"/>
      <c r="I2921" s="130"/>
      <c r="J2921" s="23"/>
      <c r="K2921" s="23"/>
      <c r="L2921" s="23"/>
      <c r="M2921" s="131"/>
      <c r="N2921" s="131"/>
      <c r="O2921" s="131"/>
    </row>
    <row r="2922" spans="4:15" x14ac:dyDescent="0.3">
      <c r="D2922" s="33"/>
      <c r="E2922" s="127"/>
      <c r="F2922" s="128"/>
      <c r="G2922" s="128"/>
      <c r="H2922" s="129"/>
      <c r="I2922" s="130"/>
      <c r="J2922" s="23"/>
      <c r="K2922" s="23"/>
      <c r="L2922" s="23"/>
      <c r="M2922" s="131"/>
      <c r="N2922" s="131"/>
      <c r="O2922" s="131"/>
    </row>
    <row r="2923" spans="4:15" x14ac:dyDescent="0.3">
      <c r="D2923" s="33"/>
      <c r="E2923" s="127"/>
      <c r="F2923" s="128"/>
      <c r="G2923" s="128"/>
      <c r="H2923" s="129"/>
      <c r="I2923" s="130"/>
      <c r="J2923" s="23"/>
      <c r="K2923" s="23"/>
      <c r="L2923" s="23"/>
      <c r="M2923" s="131"/>
      <c r="N2923" s="131"/>
      <c r="O2923" s="131"/>
    </row>
    <row r="2924" spans="4:15" x14ac:dyDescent="0.3">
      <c r="D2924" s="33"/>
      <c r="E2924" s="127"/>
      <c r="F2924" s="128"/>
      <c r="G2924" s="128"/>
      <c r="H2924" s="129"/>
      <c r="I2924" s="130"/>
      <c r="J2924" s="23"/>
      <c r="K2924" s="23"/>
      <c r="L2924" s="23"/>
      <c r="M2924" s="131"/>
      <c r="N2924" s="131"/>
      <c r="O2924" s="131"/>
    </row>
    <row r="2925" spans="4:15" x14ac:dyDescent="0.3">
      <c r="D2925" s="33"/>
      <c r="E2925" s="127"/>
      <c r="F2925" s="128"/>
      <c r="G2925" s="128"/>
      <c r="H2925" s="129"/>
      <c r="I2925" s="130"/>
      <c r="J2925" s="23"/>
      <c r="K2925" s="23"/>
      <c r="L2925" s="23"/>
      <c r="M2925" s="131"/>
      <c r="N2925" s="131"/>
      <c r="O2925" s="131"/>
    </row>
    <row r="2926" spans="4:15" x14ac:dyDescent="0.3">
      <c r="D2926" s="33"/>
      <c r="E2926" s="127"/>
      <c r="F2926" s="128"/>
      <c r="G2926" s="128"/>
      <c r="H2926" s="129"/>
      <c r="I2926" s="130"/>
      <c r="J2926" s="23"/>
      <c r="K2926" s="23"/>
      <c r="L2926" s="23"/>
      <c r="M2926" s="131"/>
      <c r="N2926" s="131"/>
      <c r="O2926" s="131"/>
    </row>
    <row r="2927" spans="4:15" x14ac:dyDescent="0.3">
      <c r="D2927" s="33"/>
      <c r="E2927" s="127"/>
      <c r="F2927" s="128"/>
      <c r="G2927" s="128"/>
      <c r="H2927" s="129"/>
      <c r="I2927" s="130"/>
      <c r="J2927" s="23"/>
      <c r="K2927" s="23"/>
      <c r="L2927" s="23"/>
      <c r="M2927" s="131"/>
      <c r="N2927" s="131"/>
      <c r="O2927" s="131"/>
    </row>
    <row r="2928" spans="4:15" x14ac:dyDescent="0.3">
      <c r="D2928" s="33"/>
      <c r="E2928" s="127"/>
      <c r="F2928" s="128"/>
      <c r="G2928" s="128"/>
      <c r="H2928" s="129"/>
      <c r="I2928" s="130"/>
      <c r="J2928" s="23"/>
      <c r="K2928" s="23"/>
      <c r="L2928" s="23"/>
      <c r="M2928" s="131"/>
      <c r="N2928" s="131"/>
      <c r="O2928" s="131"/>
    </row>
    <row r="2929" spans="4:15" x14ac:dyDescent="0.3">
      <c r="D2929" s="33"/>
      <c r="E2929" s="127"/>
      <c r="F2929" s="128"/>
      <c r="G2929" s="128"/>
      <c r="H2929" s="129"/>
      <c r="I2929" s="130"/>
      <c r="J2929" s="23"/>
      <c r="K2929" s="23"/>
      <c r="L2929" s="23"/>
      <c r="M2929" s="131"/>
      <c r="N2929" s="131"/>
      <c r="O2929" s="131"/>
    </row>
    <row r="2930" spans="4:15" x14ac:dyDescent="0.3">
      <c r="D2930" s="33"/>
      <c r="E2930" s="127"/>
      <c r="F2930" s="128"/>
      <c r="G2930" s="128"/>
      <c r="H2930" s="129"/>
      <c r="I2930" s="130"/>
      <c r="J2930" s="23"/>
      <c r="K2930" s="23"/>
      <c r="L2930" s="23"/>
      <c r="M2930" s="131"/>
      <c r="N2930" s="131"/>
      <c r="O2930" s="131"/>
    </row>
    <row r="2931" spans="4:15" x14ac:dyDescent="0.3">
      <c r="D2931" s="33"/>
      <c r="E2931" s="127"/>
      <c r="F2931" s="128"/>
      <c r="G2931" s="128"/>
      <c r="H2931" s="129"/>
      <c r="I2931" s="130"/>
      <c r="J2931" s="23"/>
      <c r="K2931" s="23"/>
      <c r="L2931" s="23"/>
      <c r="M2931" s="131"/>
      <c r="N2931" s="131"/>
      <c r="O2931" s="131"/>
    </row>
    <row r="2932" spans="4:15" x14ac:dyDescent="0.3">
      <c r="D2932" s="33"/>
      <c r="E2932" s="127"/>
      <c r="F2932" s="128"/>
      <c r="G2932" s="128"/>
      <c r="H2932" s="129"/>
      <c r="I2932" s="130"/>
      <c r="J2932" s="23"/>
      <c r="K2932" s="23"/>
      <c r="L2932" s="23"/>
      <c r="M2932" s="131"/>
      <c r="N2932" s="131"/>
      <c r="O2932" s="131"/>
    </row>
    <row r="2933" spans="4:15" x14ac:dyDescent="0.3">
      <c r="D2933" s="33"/>
      <c r="E2933" s="127"/>
      <c r="F2933" s="128"/>
      <c r="G2933" s="128"/>
      <c r="H2933" s="129"/>
      <c r="I2933" s="130"/>
      <c r="J2933" s="23"/>
      <c r="K2933" s="23"/>
      <c r="L2933" s="23"/>
      <c r="M2933" s="131"/>
      <c r="N2933" s="131"/>
      <c r="O2933" s="131"/>
    </row>
    <row r="2934" spans="4:15" x14ac:dyDescent="0.3">
      <c r="D2934" s="33"/>
      <c r="E2934" s="127"/>
      <c r="F2934" s="128"/>
      <c r="G2934" s="128"/>
      <c r="H2934" s="129"/>
      <c r="I2934" s="130"/>
      <c r="J2934" s="23"/>
      <c r="K2934" s="23"/>
      <c r="L2934" s="23"/>
      <c r="M2934" s="131"/>
      <c r="N2934" s="131"/>
      <c r="O2934" s="131"/>
    </row>
    <row r="2935" spans="4:15" x14ac:dyDescent="0.3">
      <c r="D2935" s="33"/>
      <c r="E2935" s="127"/>
      <c r="F2935" s="128"/>
      <c r="G2935" s="128"/>
      <c r="H2935" s="129"/>
      <c r="I2935" s="130"/>
      <c r="J2935" s="23"/>
      <c r="K2935" s="23"/>
      <c r="L2935" s="23"/>
      <c r="M2935" s="131"/>
      <c r="N2935" s="131"/>
      <c r="O2935" s="131"/>
    </row>
    <row r="2936" spans="4:15" x14ac:dyDescent="0.3">
      <c r="D2936" s="33"/>
      <c r="E2936" s="127"/>
      <c r="F2936" s="128"/>
      <c r="G2936" s="128"/>
      <c r="H2936" s="129"/>
      <c r="I2936" s="130"/>
      <c r="J2936" s="23"/>
      <c r="K2936" s="23"/>
      <c r="L2936" s="23"/>
      <c r="M2936" s="131"/>
      <c r="N2936" s="131"/>
      <c r="O2936" s="131"/>
    </row>
    <row r="2937" spans="4:15" x14ac:dyDescent="0.3">
      <c r="D2937" s="33"/>
      <c r="E2937" s="127"/>
      <c r="F2937" s="128"/>
      <c r="G2937" s="128"/>
      <c r="H2937" s="129"/>
      <c r="I2937" s="130"/>
      <c r="J2937" s="23"/>
      <c r="K2937" s="23"/>
      <c r="L2937" s="23"/>
      <c r="M2937" s="131"/>
      <c r="N2937" s="131"/>
      <c r="O2937" s="131"/>
    </row>
    <row r="2938" spans="4:15" x14ac:dyDescent="0.3">
      <c r="D2938" s="33"/>
      <c r="E2938" s="127"/>
      <c r="F2938" s="128"/>
      <c r="G2938" s="128"/>
      <c r="H2938" s="129"/>
      <c r="I2938" s="130"/>
      <c r="J2938" s="23"/>
      <c r="K2938" s="23"/>
      <c r="L2938" s="23"/>
      <c r="M2938" s="131"/>
      <c r="N2938" s="131"/>
      <c r="O2938" s="131"/>
    </row>
    <row r="2939" spans="4:15" x14ac:dyDescent="0.3">
      <c r="D2939" s="33"/>
      <c r="E2939" s="127"/>
      <c r="F2939" s="128"/>
      <c r="G2939" s="128"/>
      <c r="H2939" s="129"/>
      <c r="I2939" s="130"/>
      <c r="J2939" s="23"/>
      <c r="K2939" s="23"/>
      <c r="L2939" s="23"/>
      <c r="M2939" s="131"/>
      <c r="N2939" s="131"/>
      <c r="O2939" s="131"/>
    </row>
    <row r="2940" spans="4:15" x14ac:dyDescent="0.3">
      <c r="D2940" s="33"/>
      <c r="E2940" s="127"/>
      <c r="F2940" s="128"/>
      <c r="G2940" s="128"/>
      <c r="H2940" s="129"/>
      <c r="I2940" s="130"/>
      <c r="J2940" s="23"/>
      <c r="K2940" s="23"/>
      <c r="L2940" s="23"/>
      <c r="M2940" s="131"/>
      <c r="N2940" s="131"/>
      <c r="O2940" s="131"/>
    </row>
    <row r="2941" spans="4:15" x14ac:dyDescent="0.3">
      <c r="D2941" s="33"/>
      <c r="E2941" s="127"/>
      <c r="F2941" s="128"/>
      <c r="G2941" s="128"/>
      <c r="H2941" s="129"/>
      <c r="I2941" s="130"/>
      <c r="J2941" s="23"/>
      <c r="K2941" s="23"/>
      <c r="L2941" s="23"/>
      <c r="M2941" s="131"/>
      <c r="N2941" s="131"/>
      <c r="O2941" s="131"/>
    </row>
    <row r="2942" spans="4:15" x14ac:dyDescent="0.3">
      <c r="D2942" s="33"/>
      <c r="E2942" s="127"/>
      <c r="F2942" s="128"/>
      <c r="G2942" s="128"/>
      <c r="H2942" s="129"/>
      <c r="I2942" s="130"/>
      <c r="J2942" s="23"/>
      <c r="K2942" s="23"/>
      <c r="L2942" s="23"/>
      <c r="M2942" s="131"/>
      <c r="N2942" s="131"/>
      <c r="O2942" s="131"/>
    </row>
    <row r="2943" spans="4:15" x14ac:dyDescent="0.3">
      <c r="D2943" s="33"/>
      <c r="E2943" s="127"/>
      <c r="F2943" s="128"/>
      <c r="G2943" s="128"/>
      <c r="H2943" s="129"/>
      <c r="I2943" s="130"/>
      <c r="J2943" s="23"/>
      <c r="K2943" s="23"/>
      <c r="L2943" s="23"/>
      <c r="M2943" s="131"/>
      <c r="N2943" s="131"/>
      <c r="O2943" s="131"/>
    </row>
    <row r="2944" spans="4:15" x14ac:dyDescent="0.3">
      <c r="D2944" s="33"/>
      <c r="E2944" s="127"/>
      <c r="F2944" s="128"/>
      <c r="G2944" s="128"/>
      <c r="H2944" s="129"/>
      <c r="I2944" s="130"/>
      <c r="J2944" s="23"/>
      <c r="K2944" s="23"/>
      <c r="L2944" s="23"/>
      <c r="M2944" s="131"/>
      <c r="N2944" s="131"/>
      <c r="O2944" s="131"/>
    </row>
    <row r="2945" spans="4:15" x14ac:dyDescent="0.3">
      <c r="D2945" s="33"/>
      <c r="E2945" s="127"/>
      <c r="F2945" s="128"/>
      <c r="G2945" s="128"/>
      <c r="H2945" s="129"/>
      <c r="I2945" s="130"/>
      <c r="J2945" s="23"/>
      <c r="K2945" s="23"/>
      <c r="L2945" s="23"/>
      <c r="M2945" s="131"/>
      <c r="N2945" s="131"/>
      <c r="O2945" s="131"/>
    </row>
    <row r="2946" spans="4:15" x14ac:dyDescent="0.3">
      <c r="D2946" s="33"/>
      <c r="E2946" s="127"/>
      <c r="F2946" s="128"/>
      <c r="G2946" s="128"/>
      <c r="H2946" s="129"/>
      <c r="I2946" s="130"/>
      <c r="J2946" s="23"/>
      <c r="K2946" s="23"/>
      <c r="L2946" s="23"/>
      <c r="M2946" s="131"/>
      <c r="N2946" s="131"/>
      <c r="O2946" s="131"/>
    </row>
    <row r="2947" spans="4:15" x14ac:dyDescent="0.3">
      <c r="D2947" s="33"/>
      <c r="E2947" s="127"/>
      <c r="F2947" s="128"/>
      <c r="G2947" s="128"/>
      <c r="H2947" s="129"/>
      <c r="I2947" s="130"/>
      <c r="J2947" s="23"/>
      <c r="K2947" s="23"/>
      <c r="L2947" s="23"/>
      <c r="M2947" s="131"/>
      <c r="N2947" s="131"/>
      <c r="O2947" s="131"/>
    </row>
    <row r="2948" spans="4:15" x14ac:dyDescent="0.3">
      <c r="D2948" s="33"/>
      <c r="E2948" s="127"/>
      <c r="F2948" s="128"/>
      <c r="G2948" s="128"/>
      <c r="H2948" s="129"/>
      <c r="I2948" s="130"/>
      <c r="J2948" s="23"/>
      <c r="K2948" s="23"/>
      <c r="L2948" s="23"/>
      <c r="M2948" s="131"/>
      <c r="N2948" s="131"/>
      <c r="O2948" s="131"/>
    </row>
    <row r="2949" spans="4:15" x14ac:dyDescent="0.3">
      <c r="D2949" s="33"/>
      <c r="E2949" s="127"/>
      <c r="F2949" s="128"/>
      <c r="G2949" s="128"/>
      <c r="H2949" s="129"/>
      <c r="I2949" s="130"/>
      <c r="J2949" s="23"/>
      <c r="K2949" s="23"/>
      <c r="L2949" s="23"/>
      <c r="M2949" s="131"/>
      <c r="N2949" s="131"/>
      <c r="O2949" s="131"/>
    </row>
    <row r="2950" spans="4:15" x14ac:dyDescent="0.3">
      <c r="D2950" s="33"/>
      <c r="E2950" s="127"/>
      <c r="F2950" s="128"/>
      <c r="G2950" s="128"/>
      <c r="H2950" s="129"/>
      <c r="I2950" s="130"/>
      <c r="J2950" s="23"/>
      <c r="K2950" s="23"/>
      <c r="L2950" s="23"/>
      <c r="M2950" s="131"/>
      <c r="N2950" s="131"/>
      <c r="O2950" s="131"/>
    </row>
    <row r="2951" spans="4:15" x14ac:dyDescent="0.3">
      <c r="D2951" s="33"/>
      <c r="E2951" s="127"/>
      <c r="F2951" s="128"/>
      <c r="G2951" s="128"/>
      <c r="H2951" s="129"/>
      <c r="I2951" s="130"/>
      <c r="J2951" s="23"/>
      <c r="K2951" s="23"/>
      <c r="L2951" s="23"/>
      <c r="M2951" s="131"/>
      <c r="N2951" s="131"/>
      <c r="O2951" s="131"/>
    </row>
    <row r="2952" spans="4:15" x14ac:dyDescent="0.3">
      <c r="D2952" s="33"/>
      <c r="E2952" s="127"/>
      <c r="F2952" s="128"/>
      <c r="G2952" s="128"/>
      <c r="H2952" s="129"/>
      <c r="I2952" s="130"/>
      <c r="J2952" s="23"/>
      <c r="K2952" s="23"/>
      <c r="L2952" s="23"/>
      <c r="M2952" s="131"/>
      <c r="N2952" s="131"/>
      <c r="O2952" s="131"/>
    </row>
    <row r="2953" spans="4:15" x14ac:dyDescent="0.3">
      <c r="D2953" s="33"/>
      <c r="E2953" s="127"/>
      <c r="F2953" s="128"/>
      <c r="G2953" s="128"/>
      <c r="H2953" s="129"/>
      <c r="I2953" s="130"/>
      <c r="J2953" s="23"/>
      <c r="K2953" s="23"/>
      <c r="L2953" s="23"/>
      <c r="M2953" s="131"/>
      <c r="N2953" s="131"/>
      <c r="O2953" s="131"/>
    </row>
    <row r="2954" spans="4:15" x14ac:dyDescent="0.3">
      <c r="D2954" s="33"/>
      <c r="E2954" s="127"/>
      <c r="F2954" s="128"/>
      <c r="G2954" s="128"/>
      <c r="H2954" s="129"/>
      <c r="I2954" s="130"/>
      <c r="J2954" s="23"/>
      <c r="K2954" s="23"/>
      <c r="L2954" s="23"/>
      <c r="M2954" s="131"/>
      <c r="N2954" s="131"/>
      <c r="O2954" s="131"/>
    </row>
    <row r="2955" spans="4:15" x14ac:dyDescent="0.3">
      <c r="D2955" s="33"/>
      <c r="E2955" s="127"/>
      <c r="F2955" s="128"/>
      <c r="G2955" s="128"/>
      <c r="H2955" s="129"/>
      <c r="I2955" s="130"/>
      <c r="J2955" s="23"/>
      <c r="K2955" s="23"/>
      <c r="L2955" s="23"/>
      <c r="M2955" s="131"/>
      <c r="N2955" s="131"/>
      <c r="O2955" s="131"/>
    </row>
    <row r="2956" spans="4:15" x14ac:dyDescent="0.3">
      <c r="D2956" s="33"/>
      <c r="E2956" s="127"/>
      <c r="F2956" s="128"/>
      <c r="G2956" s="128"/>
      <c r="H2956" s="129"/>
      <c r="I2956" s="130"/>
      <c r="J2956" s="23"/>
      <c r="K2956" s="23"/>
      <c r="L2956" s="23"/>
      <c r="M2956" s="131"/>
      <c r="N2956" s="131"/>
      <c r="O2956" s="131"/>
    </row>
    <row r="2957" spans="4:15" x14ac:dyDescent="0.3">
      <c r="D2957" s="33"/>
      <c r="E2957" s="127"/>
      <c r="F2957" s="128"/>
      <c r="G2957" s="128"/>
      <c r="H2957" s="129"/>
      <c r="I2957" s="130"/>
      <c r="J2957" s="23"/>
      <c r="K2957" s="23"/>
      <c r="L2957" s="23"/>
      <c r="M2957" s="131"/>
      <c r="N2957" s="131"/>
      <c r="O2957" s="131"/>
    </row>
    <row r="2958" spans="4:15" x14ac:dyDescent="0.3">
      <c r="D2958" s="33"/>
      <c r="E2958" s="127"/>
      <c r="F2958" s="128"/>
      <c r="G2958" s="128"/>
      <c r="H2958" s="129"/>
      <c r="I2958" s="130"/>
      <c r="J2958" s="23"/>
      <c r="K2958" s="23"/>
      <c r="L2958" s="23"/>
      <c r="M2958" s="131"/>
      <c r="N2958" s="131"/>
      <c r="O2958" s="131"/>
    </row>
    <row r="2959" spans="4:15" x14ac:dyDescent="0.3">
      <c r="D2959" s="33"/>
      <c r="E2959" s="127"/>
      <c r="F2959" s="128"/>
      <c r="G2959" s="128"/>
      <c r="H2959" s="129"/>
      <c r="I2959" s="130"/>
      <c r="J2959" s="23"/>
      <c r="K2959" s="23"/>
      <c r="L2959" s="23"/>
      <c r="M2959" s="131"/>
      <c r="N2959" s="131"/>
      <c r="O2959" s="131"/>
    </row>
    <row r="2960" spans="4:15" x14ac:dyDescent="0.3">
      <c r="D2960" s="33"/>
      <c r="E2960" s="127"/>
      <c r="F2960" s="128"/>
      <c r="G2960" s="128"/>
      <c r="H2960" s="129"/>
      <c r="I2960" s="130"/>
      <c r="J2960" s="23"/>
      <c r="K2960" s="23"/>
      <c r="L2960" s="23"/>
      <c r="M2960" s="131"/>
      <c r="N2960" s="131"/>
      <c r="O2960" s="131"/>
    </row>
    <row r="2961" spans="4:15" x14ac:dyDescent="0.3">
      <c r="D2961" s="33"/>
      <c r="E2961" s="127"/>
      <c r="F2961" s="128"/>
      <c r="G2961" s="128"/>
      <c r="H2961" s="129"/>
      <c r="I2961" s="130"/>
      <c r="J2961" s="23"/>
      <c r="K2961" s="23"/>
      <c r="L2961" s="23"/>
      <c r="M2961" s="131"/>
      <c r="N2961" s="131"/>
      <c r="O2961" s="131"/>
    </row>
    <row r="2962" spans="4:15" x14ac:dyDescent="0.3">
      <c r="D2962" s="33"/>
      <c r="E2962" s="127"/>
      <c r="F2962" s="128"/>
      <c r="G2962" s="128"/>
      <c r="H2962" s="129"/>
      <c r="I2962" s="130"/>
      <c r="J2962" s="23"/>
      <c r="K2962" s="23"/>
      <c r="L2962" s="23"/>
      <c r="M2962" s="131"/>
      <c r="N2962" s="131"/>
      <c r="O2962" s="131"/>
    </row>
    <row r="2963" spans="4:15" x14ac:dyDescent="0.3">
      <c r="D2963" s="33"/>
      <c r="E2963" s="127"/>
      <c r="F2963" s="128"/>
      <c r="G2963" s="128"/>
      <c r="H2963" s="129"/>
      <c r="I2963" s="130"/>
      <c r="J2963" s="23"/>
      <c r="K2963" s="23"/>
      <c r="L2963" s="23"/>
      <c r="M2963" s="131"/>
      <c r="N2963" s="131"/>
      <c r="O2963" s="131"/>
    </row>
    <row r="2964" spans="4:15" x14ac:dyDescent="0.3">
      <c r="D2964" s="33"/>
      <c r="E2964" s="127"/>
      <c r="F2964" s="128"/>
      <c r="G2964" s="128"/>
      <c r="H2964" s="129"/>
      <c r="I2964" s="130"/>
      <c r="J2964" s="23"/>
      <c r="K2964" s="23"/>
      <c r="L2964" s="23"/>
      <c r="M2964" s="131"/>
      <c r="N2964" s="131"/>
      <c r="O2964" s="131"/>
    </row>
    <row r="2965" spans="4:15" x14ac:dyDescent="0.3">
      <c r="D2965" s="33"/>
      <c r="E2965" s="127"/>
      <c r="F2965" s="128"/>
      <c r="G2965" s="128"/>
      <c r="H2965" s="129"/>
      <c r="I2965" s="130"/>
      <c r="J2965" s="23"/>
      <c r="K2965" s="23"/>
      <c r="L2965" s="23"/>
      <c r="M2965" s="131"/>
      <c r="N2965" s="131"/>
      <c r="O2965" s="131"/>
    </row>
    <row r="2966" spans="4:15" x14ac:dyDescent="0.3">
      <c r="D2966" s="33"/>
      <c r="E2966" s="127"/>
      <c r="F2966" s="128"/>
      <c r="G2966" s="128"/>
      <c r="H2966" s="129"/>
      <c r="I2966" s="130"/>
      <c r="J2966" s="23"/>
      <c r="K2966" s="23"/>
      <c r="L2966" s="23"/>
      <c r="M2966" s="131"/>
      <c r="N2966" s="131"/>
      <c r="O2966" s="131"/>
    </row>
    <row r="2967" spans="4:15" x14ac:dyDescent="0.3">
      <c r="D2967" s="33"/>
      <c r="E2967" s="127"/>
      <c r="F2967" s="128"/>
      <c r="G2967" s="128"/>
      <c r="H2967" s="129"/>
      <c r="I2967" s="130"/>
      <c r="J2967" s="23"/>
      <c r="K2967" s="23"/>
      <c r="L2967" s="23"/>
      <c r="M2967" s="131"/>
      <c r="N2967" s="131"/>
      <c r="O2967" s="131"/>
    </row>
    <row r="2968" spans="4:15" x14ac:dyDescent="0.3">
      <c r="D2968" s="33"/>
      <c r="E2968" s="127"/>
      <c r="F2968" s="128"/>
      <c r="G2968" s="128"/>
      <c r="H2968" s="129"/>
      <c r="I2968" s="130"/>
      <c r="J2968" s="23"/>
      <c r="K2968" s="23"/>
      <c r="L2968" s="23"/>
      <c r="M2968" s="131"/>
      <c r="N2968" s="131"/>
      <c r="O2968" s="131"/>
    </row>
    <row r="2969" spans="4:15" x14ac:dyDescent="0.3">
      <c r="D2969" s="33"/>
      <c r="E2969" s="127"/>
      <c r="F2969" s="128"/>
      <c r="G2969" s="128"/>
      <c r="H2969" s="129"/>
      <c r="I2969" s="130"/>
      <c r="J2969" s="23"/>
      <c r="K2969" s="23"/>
      <c r="L2969" s="23"/>
      <c r="M2969" s="131"/>
      <c r="N2969" s="131"/>
      <c r="O2969" s="131"/>
    </row>
    <row r="2970" spans="4:15" x14ac:dyDescent="0.3">
      <c r="D2970" s="33"/>
      <c r="E2970" s="127"/>
      <c r="F2970" s="128"/>
      <c r="G2970" s="128"/>
      <c r="H2970" s="129"/>
      <c r="I2970" s="130"/>
      <c r="J2970" s="23"/>
      <c r="K2970" s="23"/>
      <c r="L2970" s="23"/>
      <c r="M2970" s="131"/>
      <c r="N2970" s="131"/>
      <c r="O2970" s="131"/>
    </row>
    <row r="2971" spans="4:15" x14ac:dyDescent="0.3">
      <c r="D2971" s="33"/>
      <c r="E2971" s="127"/>
      <c r="F2971" s="128"/>
      <c r="G2971" s="128"/>
      <c r="H2971" s="129"/>
      <c r="I2971" s="130"/>
      <c r="J2971" s="23"/>
      <c r="K2971" s="23"/>
      <c r="L2971" s="23"/>
      <c r="M2971" s="131"/>
      <c r="N2971" s="131"/>
      <c r="O2971" s="131"/>
    </row>
    <row r="2972" spans="4:15" x14ac:dyDescent="0.3">
      <c r="D2972" s="33"/>
      <c r="E2972" s="127"/>
      <c r="F2972" s="128"/>
      <c r="G2972" s="128"/>
      <c r="H2972" s="129"/>
      <c r="I2972" s="130"/>
      <c r="J2972" s="23"/>
      <c r="K2972" s="23"/>
      <c r="L2972" s="23"/>
      <c r="M2972" s="131"/>
      <c r="N2972" s="131"/>
      <c r="O2972" s="131"/>
    </row>
    <row r="2973" spans="4:15" x14ac:dyDescent="0.3">
      <c r="D2973" s="33"/>
      <c r="E2973" s="127"/>
      <c r="F2973" s="128"/>
      <c r="G2973" s="128"/>
      <c r="H2973" s="129"/>
      <c r="I2973" s="130"/>
      <c r="J2973" s="23"/>
      <c r="K2973" s="23"/>
      <c r="L2973" s="23"/>
      <c r="M2973" s="131"/>
      <c r="N2973" s="131"/>
      <c r="O2973" s="131"/>
    </row>
    <row r="2974" spans="4:15" x14ac:dyDescent="0.3">
      <c r="D2974" s="33"/>
      <c r="E2974" s="127"/>
      <c r="F2974" s="128"/>
      <c r="G2974" s="128"/>
      <c r="H2974" s="129"/>
      <c r="I2974" s="130"/>
      <c r="J2974" s="23"/>
      <c r="K2974" s="23"/>
      <c r="L2974" s="23"/>
      <c r="M2974" s="131"/>
      <c r="N2974" s="131"/>
      <c r="O2974" s="131"/>
    </row>
    <row r="2975" spans="4:15" x14ac:dyDescent="0.3">
      <c r="D2975" s="33"/>
      <c r="E2975" s="127"/>
      <c r="F2975" s="128"/>
      <c r="G2975" s="128"/>
      <c r="H2975" s="129"/>
      <c r="I2975" s="130"/>
      <c r="J2975" s="23"/>
      <c r="K2975" s="23"/>
      <c r="L2975" s="23"/>
      <c r="M2975" s="131"/>
      <c r="N2975" s="131"/>
      <c r="O2975" s="131"/>
    </row>
    <row r="2976" spans="4:15" x14ac:dyDescent="0.3">
      <c r="D2976" s="33"/>
      <c r="E2976" s="127"/>
      <c r="F2976" s="128"/>
      <c r="G2976" s="128"/>
      <c r="H2976" s="129"/>
      <c r="I2976" s="130"/>
      <c r="J2976" s="23"/>
      <c r="K2976" s="23"/>
      <c r="L2976" s="23"/>
      <c r="M2976" s="131"/>
      <c r="N2976" s="131"/>
      <c r="O2976" s="131"/>
    </row>
    <row r="2977" spans="4:15" x14ac:dyDescent="0.3">
      <c r="D2977" s="33"/>
      <c r="E2977" s="127"/>
      <c r="F2977" s="128"/>
      <c r="G2977" s="128"/>
      <c r="H2977" s="129"/>
      <c r="I2977" s="130"/>
      <c r="J2977" s="23"/>
      <c r="K2977" s="23"/>
      <c r="L2977" s="23"/>
      <c r="M2977" s="131"/>
      <c r="N2977" s="131"/>
      <c r="O2977" s="131"/>
    </row>
    <row r="2978" spans="4:15" x14ac:dyDescent="0.3">
      <c r="D2978" s="33"/>
      <c r="E2978" s="127"/>
      <c r="F2978" s="128"/>
      <c r="G2978" s="128"/>
      <c r="H2978" s="129"/>
      <c r="I2978" s="130"/>
      <c r="J2978" s="23"/>
      <c r="K2978" s="23"/>
      <c r="L2978" s="23"/>
      <c r="M2978" s="131"/>
      <c r="N2978" s="131"/>
      <c r="O2978" s="131"/>
    </row>
    <row r="2979" spans="4:15" x14ac:dyDescent="0.3">
      <c r="D2979" s="33"/>
      <c r="E2979" s="127"/>
      <c r="F2979" s="128"/>
      <c r="G2979" s="128"/>
      <c r="H2979" s="129"/>
      <c r="I2979" s="130"/>
      <c r="J2979" s="23"/>
      <c r="K2979" s="23"/>
      <c r="L2979" s="23"/>
      <c r="M2979" s="131"/>
      <c r="N2979" s="131"/>
      <c r="O2979" s="131"/>
    </row>
    <row r="2980" spans="4:15" x14ac:dyDescent="0.3">
      <c r="D2980" s="33"/>
      <c r="E2980" s="127"/>
      <c r="F2980" s="128"/>
      <c r="G2980" s="128"/>
      <c r="H2980" s="129"/>
      <c r="I2980" s="130"/>
      <c r="J2980" s="23"/>
      <c r="K2980" s="23"/>
      <c r="L2980" s="23"/>
      <c r="M2980" s="131"/>
      <c r="N2980" s="131"/>
      <c r="O2980" s="131"/>
    </row>
    <row r="2981" spans="4:15" x14ac:dyDescent="0.3">
      <c r="D2981" s="33"/>
      <c r="E2981" s="127"/>
      <c r="F2981" s="128"/>
      <c r="G2981" s="128"/>
      <c r="H2981" s="129"/>
      <c r="I2981" s="130"/>
      <c r="J2981" s="23"/>
      <c r="K2981" s="23"/>
      <c r="L2981" s="23"/>
      <c r="M2981" s="131"/>
      <c r="N2981" s="131"/>
      <c r="O2981" s="131"/>
    </row>
    <row r="2982" spans="4:15" x14ac:dyDescent="0.3">
      <c r="D2982" s="33"/>
      <c r="E2982" s="127"/>
      <c r="F2982" s="128"/>
      <c r="G2982" s="128"/>
      <c r="H2982" s="129"/>
      <c r="I2982" s="130"/>
      <c r="J2982" s="23"/>
      <c r="K2982" s="23"/>
      <c r="L2982" s="23"/>
      <c r="M2982" s="131"/>
      <c r="N2982" s="131"/>
      <c r="O2982" s="131"/>
    </row>
    <row r="2983" spans="4:15" x14ac:dyDescent="0.3">
      <c r="D2983" s="33"/>
      <c r="E2983" s="127"/>
      <c r="F2983" s="128"/>
      <c r="G2983" s="128"/>
      <c r="H2983" s="129"/>
      <c r="I2983" s="130"/>
      <c r="J2983" s="23"/>
      <c r="K2983" s="23"/>
      <c r="L2983" s="23"/>
      <c r="M2983" s="131"/>
      <c r="N2983" s="131"/>
      <c r="O2983" s="131"/>
    </row>
    <row r="2984" spans="4:15" x14ac:dyDescent="0.3">
      <c r="D2984" s="33"/>
      <c r="E2984" s="127"/>
      <c r="F2984" s="128"/>
      <c r="G2984" s="128"/>
      <c r="H2984" s="129"/>
      <c r="I2984" s="130"/>
      <c r="J2984" s="23"/>
      <c r="K2984" s="23"/>
      <c r="L2984" s="23"/>
      <c r="M2984" s="131"/>
      <c r="N2984" s="131"/>
      <c r="O2984" s="131"/>
    </row>
    <row r="2985" spans="4:15" x14ac:dyDescent="0.3">
      <c r="D2985" s="33"/>
      <c r="E2985" s="127"/>
      <c r="F2985" s="128"/>
      <c r="G2985" s="128"/>
      <c r="H2985" s="129"/>
      <c r="I2985" s="130"/>
      <c r="J2985" s="23"/>
      <c r="K2985" s="23"/>
      <c r="L2985" s="23"/>
      <c r="M2985" s="131"/>
      <c r="N2985" s="131"/>
      <c r="O2985" s="131"/>
    </row>
    <row r="2986" spans="4:15" x14ac:dyDescent="0.3">
      <c r="D2986" s="33"/>
      <c r="E2986" s="127"/>
      <c r="F2986" s="128"/>
      <c r="G2986" s="128"/>
      <c r="H2986" s="129"/>
      <c r="I2986" s="130"/>
      <c r="J2986" s="23"/>
      <c r="K2986" s="23"/>
      <c r="L2986" s="23"/>
      <c r="M2986" s="131"/>
      <c r="N2986" s="131"/>
      <c r="O2986" s="131"/>
    </row>
    <row r="2987" spans="4:15" x14ac:dyDescent="0.3">
      <c r="D2987" s="33"/>
      <c r="E2987" s="127"/>
      <c r="F2987" s="128"/>
      <c r="G2987" s="128"/>
      <c r="H2987" s="129"/>
      <c r="I2987" s="130"/>
      <c r="J2987" s="23"/>
      <c r="K2987" s="23"/>
      <c r="L2987" s="23"/>
      <c r="M2987" s="131"/>
      <c r="N2987" s="131"/>
      <c r="O2987" s="131"/>
    </row>
    <row r="2988" spans="4:15" x14ac:dyDescent="0.3">
      <c r="D2988" s="33"/>
      <c r="E2988" s="127"/>
      <c r="F2988" s="128"/>
      <c r="G2988" s="128"/>
      <c r="H2988" s="129"/>
      <c r="I2988" s="130"/>
      <c r="J2988" s="23"/>
      <c r="K2988" s="23"/>
      <c r="L2988" s="23"/>
      <c r="M2988" s="131"/>
      <c r="N2988" s="131"/>
      <c r="O2988" s="131"/>
    </row>
    <row r="2989" spans="4:15" x14ac:dyDescent="0.3">
      <c r="D2989" s="33"/>
      <c r="E2989" s="127"/>
      <c r="F2989" s="128"/>
      <c r="G2989" s="128"/>
      <c r="H2989" s="129"/>
      <c r="I2989" s="130"/>
      <c r="J2989" s="23"/>
      <c r="K2989" s="23"/>
      <c r="L2989" s="23"/>
      <c r="M2989" s="131"/>
      <c r="N2989" s="131"/>
      <c r="O2989" s="131"/>
    </row>
    <row r="2990" spans="4:15" x14ac:dyDescent="0.3">
      <c r="D2990" s="33"/>
      <c r="E2990" s="127"/>
      <c r="F2990" s="128"/>
      <c r="G2990" s="128"/>
      <c r="H2990" s="129"/>
      <c r="I2990" s="130"/>
      <c r="J2990" s="23"/>
      <c r="K2990" s="23"/>
      <c r="L2990" s="23"/>
      <c r="M2990" s="131"/>
      <c r="N2990" s="131"/>
      <c r="O2990" s="131"/>
    </row>
    <row r="2991" spans="4:15" x14ac:dyDescent="0.3">
      <c r="D2991" s="33"/>
      <c r="E2991" s="127"/>
      <c r="F2991" s="128"/>
      <c r="G2991" s="128"/>
      <c r="H2991" s="129"/>
      <c r="I2991" s="130"/>
      <c r="J2991" s="23"/>
      <c r="K2991" s="23"/>
      <c r="L2991" s="23"/>
      <c r="M2991" s="131"/>
      <c r="N2991" s="131"/>
      <c r="O2991" s="131"/>
    </row>
    <row r="2992" spans="4:15" x14ac:dyDescent="0.3">
      <c r="D2992" s="33"/>
      <c r="E2992" s="127"/>
      <c r="F2992" s="128"/>
      <c r="G2992" s="128"/>
      <c r="H2992" s="129"/>
      <c r="I2992" s="130"/>
      <c r="J2992" s="23"/>
      <c r="K2992" s="23"/>
      <c r="L2992" s="23"/>
      <c r="M2992" s="131"/>
      <c r="N2992" s="131"/>
      <c r="O2992" s="131"/>
    </row>
    <row r="2993" spans="4:15" x14ac:dyDescent="0.3">
      <c r="D2993" s="33"/>
      <c r="E2993" s="127"/>
      <c r="F2993" s="128"/>
      <c r="G2993" s="128"/>
      <c r="H2993" s="129"/>
      <c r="I2993" s="130"/>
      <c r="J2993" s="23"/>
      <c r="K2993" s="23"/>
      <c r="L2993" s="23"/>
      <c r="M2993" s="131"/>
      <c r="N2993" s="131"/>
      <c r="O2993" s="131"/>
    </row>
    <row r="2994" spans="4:15" x14ac:dyDescent="0.3">
      <c r="D2994" s="33"/>
      <c r="E2994" s="127"/>
      <c r="F2994" s="128"/>
      <c r="G2994" s="128"/>
      <c r="H2994" s="129"/>
      <c r="I2994" s="130"/>
      <c r="J2994" s="23"/>
      <c r="K2994" s="23"/>
      <c r="L2994" s="23"/>
      <c r="M2994" s="131"/>
      <c r="N2994" s="131"/>
      <c r="O2994" s="131"/>
    </row>
    <row r="2995" spans="4:15" x14ac:dyDescent="0.3">
      <c r="D2995" s="33"/>
      <c r="E2995" s="127"/>
      <c r="F2995" s="128"/>
      <c r="G2995" s="128"/>
      <c r="H2995" s="129"/>
      <c r="I2995" s="130"/>
      <c r="J2995" s="23"/>
      <c r="K2995" s="23"/>
      <c r="L2995" s="23"/>
      <c r="M2995" s="131"/>
      <c r="N2995" s="131"/>
      <c r="O2995" s="131"/>
    </row>
    <row r="2996" spans="4:15" x14ac:dyDescent="0.3">
      <c r="D2996" s="33"/>
      <c r="E2996" s="127"/>
      <c r="F2996" s="128"/>
      <c r="G2996" s="128"/>
      <c r="H2996" s="129"/>
      <c r="I2996" s="130"/>
      <c r="J2996" s="23"/>
      <c r="K2996" s="23"/>
      <c r="L2996" s="23"/>
      <c r="M2996" s="131"/>
      <c r="N2996" s="131"/>
      <c r="O2996" s="131"/>
    </row>
    <row r="2997" spans="4:15" x14ac:dyDescent="0.3">
      <c r="D2997" s="33"/>
      <c r="E2997" s="127"/>
      <c r="F2997" s="128"/>
      <c r="G2997" s="128"/>
      <c r="H2997" s="129"/>
      <c r="I2997" s="130"/>
      <c r="J2997" s="23"/>
      <c r="K2997" s="23"/>
      <c r="L2997" s="23"/>
      <c r="M2997" s="131"/>
      <c r="N2997" s="131"/>
      <c r="O2997" s="131"/>
    </row>
    <row r="2998" spans="4:15" x14ac:dyDescent="0.3">
      <c r="D2998" s="33"/>
      <c r="E2998" s="127"/>
      <c r="F2998" s="128"/>
      <c r="G2998" s="128"/>
      <c r="H2998" s="129"/>
      <c r="I2998" s="130"/>
      <c r="J2998" s="23"/>
      <c r="K2998" s="23"/>
      <c r="L2998" s="23"/>
      <c r="M2998" s="131"/>
      <c r="N2998" s="131"/>
      <c r="O2998" s="131"/>
    </row>
    <row r="2999" spans="4:15" x14ac:dyDescent="0.3">
      <c r="D2999" s="33"/>
      <c r="E2999" s="127"/>
      <c r="F2999" s="128"/>
      <c r="G2999" s="128"/>
      <c r="H2999" s="129"/>
      <c r="I2999" s="130"/>
      <c r="J2999" s="23"/>
      <c r="K2999" s="23"/>
      <c r="L2999" s="23"/>
      <c r="M2999" s="131"/>
      <c r="N2999" s="131"/>
      <c r="O2999" s="131"/>
    </row>
    <row r="3000" spans="4:15" x14ac:dyDescent="0.3">
      <c r="D3000" s="33"/>
      <c r="E3000" s="127"/>
      <c r="F3000" s="128"/>
      <c r="G3000" s="128"/>
      <c r="H3000" s="129"/>
      <c r="I3000" s="130"/>
      <c r="J3000" s="23"/>
      <c r="K3000" s="23"/>
      <c r="L3000" s="23"/>
      <c r="M3000" s="131"/>
      <c r="N3000" s="131"/>
      <c r="O3000" s="131"/>
    </row>
    <row r="3001" spans="4:15" x14ac:dyDescent="0.3">
      <c r="D3001" s="33"/>
      <c r="E3001" s="127"/>
      <c r="F3001" s="128"/>
      <c r="G3001" s="128"/>
      <c r="H3001" s="129"/>
      <c r="I3001" s="130"/>
      <c r="J3001" s="23"/>
      <c r="K3001" s="23"/>
      <c r="L3001" s="23"/>
      <c r="M3001" s="131"/>
      <c r="N3001" s="131"/>
      <c r="O3001" s="131"/>
    </row>
    <row r="3002" spans="4:15" x14ac:dyDescent="0.3">
      <c r="D3002" s="33"/>
      <c r="E3002" s="127"/>
      <c r="F3002" s="128"/>
      <c r="G3002" s="128"/>
      <c r="H3002" s="129"/>
      <c r="I3002" s="130"/>
      <c r="J3002" s="23"/>
      <c r="K3002" s="23"/>
      <c r="L3002" s="23"/>
      <c r="M3002" s="131"/>
      <c r="N3002" s="131"/>
      <c r="O3002" s="131"/>
    </row>
    <row r="3003" spans="4:15" x14ac:dyDescent="0.3">
      <c r="D3003" s="33"/>
      <c r="E3003" s="127"/>
      <c r="F3003" s="128"/>
      <c r="G3003" s="128"/>
      <c r="H3003" s="129"/>
      <c r="I3003" s="130"/>
      <c r="J3003" s="23"/>
      <c r="K3003" s="23"/>
      <c r="L3003" s="23"/>
      <c r="M3003" s="131"/>
      <c r="N3003" s="131"/>
      <c r="O3003" s="131"/>
    </row>
    <row r="3004" spans="4:15" x14ac:dyDescent="0.3">
      <c r="D3004" s="33"/>
      <c r="E3004" s="127"/>
      <c r="F3004" s="128"/>
      <c r="G3004" s="128"/>
      <c r="H3004" s="129"/>
      <c r="I3004" s="130"/>
      <c r="J3004" s="23"/>
      <c r="K3004" s="23"/>
      <c r="L3004" s="23"/>
      <c r="M3004" s="131"/>
      <c r="N3004" s="131"/>
      <c r="O3004" s="131"/>
    </row>
    <row r="3005" spans="4:15" x14ac:dyDescent="0.3">
      <c r="D3005" s="33"/>
      <c r="E3005" s="127"/>
      <c r="F3005" s="128"/>
      <c r="G3005" s="128"/>
      <c r="H3005" s="129"/>
      <c r="I3005" s="130"/>
      <c r="J3005" s="23"/>
      <c r="K3005" s="23"/>
      <c r="L3005" s="23"/>
      <c r="M3005" s="131"/>
      <c r="N3005" s="131"/>
      <c r="O3005" s="131"/>
    </row>
    <row r="3006" spans="4:15" x14ac:dyDescent="0.3">
      <c r="D3006" s="33"/>
      <c r="E3006" s="127"/>
      <c r="F3006" s="128"/>
      <c r="G3006" s="128"/>
      <c r="H3006" s="129"/>
      <c r="I3006" s="130"/>
      <c r="J3006" s="23"/>
      <c r="K3006" s="23"/>
      <c r="L3006" s="23"/>
      <c r="M3006" s="131"/>
      <c r="N3006" s="131"/>
      <c r="O3006" s="131"/>
    </row>
    <row r="3007" spans="4:15" x14ac:dyDescent="0.3">
      <c r="D3007" s="33"/>
      <c r="E3007" s="127"/>
      <c r="F3007" s="128"/>
      <c r="G3007" s="128"/>
      <c r="H3007" s="129"/>
      <c r="I3007" s="130"/>
      <c r="J3007" s="23"/>
      <c r="K3007" s="23"/>
      <c r="L3007" s="23"/>
      <c r="M3007" s="131"/>
      <c r="N3007" s="131"/>
      <c r="O3007" s="131"/>
    </row>
    <row r="3008" spans="4:15" x14ac:dyDescent="0.3">
      <c r="D3008" s="33"/>
      <c r="E3008" s="127"/>
      <c r="F3008" s="128"/>
      <c r="G3008" s="128"/>
      <c r="H3008" s="129"/>
      <c r="I3008" s="130"/>
      <c r="J3008" s="23"/>
      <c r="K3008" s="23"/>
      <c r="L3008" s="23"/>
      <c r="M3008" s="131"/>
      <c r="N3008" s="131"/>
      <c r="O3008" s="131"/>
    </row>
    <row r="3009" spans="4:15" x14ac:dyDescent="0.3">
      <c r="D3009" s="33"/>
      <c r="E3009" s="127"/>
      <c r="F3009" s="128"/>
      <c r="G3009" s="128"/>
      <c r="H3009" s="129"/>
      <c r="I3009" s="130"/>
      <c r="J3009" s="23"/>
      <c r="K3009" s="23"/>
      <c r="L3009" s="23"/>
      <c r="M3009" s="131"/>
      <c r="N3009" s="131"/>
      <c r="O3009" s="131"/>
    </row>
    <row r="3010" spans="4:15" x14ac:dyDescent="0.3">
      <c r="D3010" s="33"/>
      <c r="E3010" s="127"/>
      <c r="F3010" s="128"/>
      <c r="G3010" s="128"/>
      <c r="H3010" s="129"/>
      <c r="I3010" s="130"/>
      <c r="J3010" s="23"/>
      <c r="K3010" s="23"/>
      <c r="L3010" s="23"/>
      <c r="M3010" s="131"/>
      <c r="N3010" s="131"/>
      <c r="O3010" s="131"/>
    </row>
    <row r="3011" spans="4:15" x14ac:dyDescent="0.3">
      <c r="D3011" s="33"/>
      <c r="E3011" s="127"/>
      <c r="F3011" s="128"/>
      <c r="G3011" s="128"/>
      <c r="H3011" s="129"/>
      <c r="I3011" s="130"/>
      <c r="J3011" s="23"/>
      <c r="K3011" s="23"/>
      <c r="L3011" s="23"/>
      <c r="M3011" s="131"/>
      <c r="N3011" s="131"/>
      <c r="O3011" s="131"/>
    </row>
    <row r="3012" spans="4:15" x14ac:dyDescent="0.3">
      <c r="D3012" s="33"/>
      <c r="E3012" s="127"/>
      <c r="F3012" s="128"/>
      <c r="G3012" s="128"/>
      <c r="H3012" s="129"/>
      <c r="I3012" s="130"/>
      <c r="J3012" s="23"/>
      <c r="K3012" s="23"/>
      <c r="L3012" s="23"/>
      <c r="M3012" s="131"/>
      <c r="N3012" s="131"/>
      <c r="O3012" s="131"/>
    </row>
    <row r="3013" spans="4:15" x14ac:dyDescent="0.3">
      <c r="D3013" s="33"/>
      <c r="E3013" s="127"/>
      <c r="F3013" s="128"/>
      <c r="G3013" s="128"/>
      <c r="H3013" s="129"/>
      <c r="I3013" s="130"/>
      <c r="J3013" s="23"/>
      <c r="K3013" s="23"/>
      <c r="L3013" s="23"/>
      <c r="M3013" s="131"/>
      <c r="N3013" s="131"/>
      <c r="O3013" s="131"/>
    </row>
    <row r="3014" spans="4:15" x14ac:dyDescent="0.3">
      <c r="D3014" s="33"/>
      <c r="E3014" s="127"/>
      <c r="F3014" s="128"/>
      <c r="G3014" s="128"/>
      <c r="H3014" s="129"/>
      <c r="I3014" s="130"/>
      <c r="J3014" s="23"/>
      <c r="K3014" s="23"/>
      <c r="L3014" s="23"/>
      <c r="M3014" s="131"/>
      <c r="N3014" s="131"/>
      <c r="O3014" s="131"/>
    </row>
    <row r="3015" spans="4:15" x14ac:dyDescent="0.3">
      <c r="D3015" s="33"/>
      <c r="E3015" s="127"/>
      <c r="F3015" s="128"/>
      <c r="G3015" s="128"/>
      <c r="H3015" s="129"/>
      <c r="I3015" s="130"/>
      <c r="J3015" s="23"/>
      <c r="K3015" s="23"/>
      <c r="L3015" s="23"/>
      <c r="M3015" s="131"/>
      <c r="N3015" s="131"/>
      <c r="O3015" s="131"/>
    </row>
    <row r="3016" spans="4:15" x14ac:dyDescent="0.3">
      <c r="D3016" s="33"/>
      <c r="E3016" s="127"/>
      <c r="F3016" s="128"/>
      <c r="G3016" s="128"/>
      <c r="H3016" s="129"/>
      <c r="I3016" s="130"/>
      <c r="J3016" s="23"/>
      <c r="K3016" s="23"/>
      <c r="L3016" s="23"/>
      <c r="M3016" s="131"/>
      <c r="N3016" s="131"/>
      <c r="O3016" s="131"/>
    </row>
    <row r="3017" spans="4:15" x14ac:dyDescent="0.3">
      <c r="D3017" s="33"/>
      <c r="E3017" s="127"/>
      <c r="F3017" s="128"/>
      <c r="G3017" s="128"/>
      <c r="H3017" s="129"/>
      <c r="I3017" s="130"/>
      <c r="J3017" s="23"/>
      <c r="K3017" s="23"/>
      <c r="L3017" s="23"/>
      <c r="M3017" s="131"/>
      <c r="N3017" s="131"/>
      <c r="O3017" s="131"/>
    </row>
    <row r="3018" spans="4:15" x14ac:dyDescent="0.3">
      <c r="D3018" s="33"/>
      <c r="E3018" s="127"/>
      <c r="F3018" s="128"/>
      <c r="G3018" s="128"/>
      <c r="H3018" s="129"/>
      <c r="I3018" s="130"/>
      <c r="J3018" s="23"/>
      <c r="K3018" s="23"/>
      <c r="L3018" s="23"/>
      <c r="M3018" s="131"/>
      <c r="N3018" s="131"/>
      <c r="O3018" s="131"/>
    </row>
    <row r="3019" spans="4:15" x14ac:dyDescent="0.3">
      <c r="D3019" s="33"/>
      <c r="E3019" s="127"/>
      <c r="F3019" s="128"/>
      <c r="G3019" s="128"/>
      <c r="H3019" s="129"/>
      <c r="I3019" s="130"/>
      <c r="J3019" s="23"/>
      <c r="K3019" s="23"/>
      <c r="L3019" s="23"/>
      <c r="M3019" s="131"/>
      <c r="N3019" s="131"/>
      <c r="O3019" s="131"/>
    </row>
    <row r="3020" spans="4:15" x14ac:dyDescent="0.3">
      <c r="D3020" s="33"/>
      <c r="E3020" s="127"/>
      <c r="F3020" s="128"/>
      <c r="G3020" s="128"/>
      <c r="H3020" s="129"/>
      <c r="I3020" s="130"/>
      <c r="J3020" s="23"/>
      <c r="K3020" s="23"/>
      <c r="L3020" s="23"/>
      <c r="M3020" s="131"/>
      <c r="N3020" s="131"/>
      <c r="O3020" s="131"/>
    </row>
    <row r="3021" spans="4:15" x14ac:dyDescent="0.3">
      <c r="D3021" s="33"/>
      <c r="E3021" s="127"/>
      <c r="F3021" s="128"/>
      <c r="G3021" s="128"/>
      <c r="H3021" s="129"/>
      <c r="I3021" s="130"/>
      <c r="J3021" s="23"/>
      <c r="K3021" s="23"/>
      <c r="L3021" s="23"/>
      <c r="M3021" s="131"/>
      <c r="N3021" s="131"/>
      <c r="O3021" s="131"/>
    </row>
    <row r="3022" spans="4:15" x14ac:dyDescent="0.3">
      <c r="D3022" s="33"/>
      <c r="E3022" s="127"/>
      <c r="F3022" s="128"/>
      <c r="G3022" s="128"/>
      <c r="H3022" s="129"/>
      <c r="I3022" s="130"/>
      <c r="J3022" s="23"/>
      <c r="K3022" s="23"/>
      <c r="L3022" s="23"/>
      <c r="M3022" s="131"/>
      <c r="N3022" s="131"/>
      <c r="O3022" s="131"/>
    </row>
    <row r="3023" spans="4:15" x14ac:dyDescent="0.3">
      <c r="D3023" s="33"/>
      <c r="E3023" s="127"/>
      <c r="F3023" s="128"/>
      <c r="G3023" s="128"/>
      <c r="H3023" s="129"/>
      <c r="I3023" s="130"/>
      <c r="J3023" s="23"/>
      <c r="K3023" s="23"/>
      <c r="L3023" s="23"/>
      <c r="M3023" s="131"/>
      <c r="N3023" s="131"/>
      <c r="O3023" s="131"/>
    </row>
    <row r="3024" spans="4:15" x14ac:dyDescent="0.3">
      <c r="D3024" s="33"/>
      <c r="E3024" s="127"/>
      <c r="F3024" s="128"/>
      <c r="G3024" s="128"/>
      <c r="H3024" s="129"/>
      <c r="I3024" s="130"/>
      <c r="J3024" s="23"/>
      <c r="K3024" s="23"/>
      <c r="L3024" s="23"/>
      <c r="M3024" s="131"/>
      <c r="N3024" s="131"/>
      <c r="O3024" s="131"/>
    </row>
    <row r="3025" spans="4:15" x14ac:dyDescent="0.3">
      <c r="D3025" s="33"/>
      <c r="E3025" s="127"/>
      <c r="F3025" s="128"/>
      <c r="G3025" s="128"/>
      <c r="H3025" s="129"/>
      <c r="I3025" s="130"/>
      <c r="J3025" s="23"/>
      <c r="K3025" s="23"/>
      <c r="L3025" s="23"/>
      <c r="M3025" s="131"/>
      <c r="N3025" s="131"/>
      <c r="O3025" s="131"/>
    </row>
    <row r="3026" spans="4:15" x14ac:dyDescent="0.3">
      <c r="D3026" s="33"/>
      <c r="E3026" s="127"/>
      <c r="F3026" s="128"/>
      <c r="G3026" s="128"/>
      <c r="H3026" s="129"/>
      <c r="I3026" s="130"/>
      <c r="J3026" s="23"/>
      <c r="K3026" s="23"/>
      <c r="L3026" s="23"/>
      <c r="M3026" s="131"/>
      <c r="N3026" s="131"/>
      <c r="O3026" s="131"/>
    </row>
    <row r="3027" spans="4:15" x14ac:dyDescent="0.3">
      <c r="D3027" s="33"/>
      <c r="E3027" s="127"/>
      <c r="F3027" s="128"/>
      <c r="G3027" s="128"/>
      <c r="H3027" s="129"/>
      <c r="I3027" s="130"/>
      <c r="J3027" s="23"/>
      <c r="K3027" s="23"/>
      <c r="L3027" s="23"/>
      <c r="M3027" s="131"/>
      <c r="N3027" s="131"/>
      <c r="O3027" s="131"/>
    </row>
    <row r="3028" spans="4:15" x14ac:dyDescent="0.3">
      <c r="D3028" s="33"/>
      <c r="E3028" s="127"/>
      <c r="F3028" s="128"/>
      <c r="G3028" s="128"/>
      <c r="H3028" s="129"/>
      <c r="I3028" s="130"/>
      <c r="J3028" s="23"/>
      <c r="K3028" s="23"/>
      <c r="L3028" s="23"/>
      <c r="M3028" s="131"/>
      <c r="N3028" s="131"/>
      <c r="O3028" s="131"/>
    </row>
    <row r="3029" spans="4:15" x14ac:dyDescent="0.3">
      <c r="D3029" s="33"/>
      <c r="E3029" s="127"/>
      <c r="F3029" s="128"/>
      <c r="G3029" s="128"/>
      <c r="H3029" s="129"/>
      <c r="I3029" s="130"/>
      <c r="J3029" s="23"/>
      <c r="K3029" s="23"/>
      <c r="L3029" s="23"/>
      <c r="M3029" s="131"/>
      <c r="N3029" s="131"/>
      <c r="O3029" s="131"/>
    </row>
    <row r="3030" spans="4:15" x14ac:dyDescent="0.3">
      <c r="D3030" s="33"/>
      <c r="E3030" s="127"/>
      <c r="F3030" s="128"/>
      <c r="G3030" s="128"/>
      <c r="H3030" s="129"/>
      <c r="I3030" s="130"/>
      <c r="J3030" s="23"/>
      <c r="K3030" s="23"/>
      <c r="L3030" s="23"/>
      <c r="M3030" s="131"/>
      <c r="N3030" s="131"/>
      <c r="O3030" s="131"/>
    </row>
    <row r="3031" spans="4:15" x14ac:dyDescent="0.3">
      <c r="D3031" s="33"/>
      <c r="E3031" s="127"/>
      <c r="F3031" s="128"/>
      <c r="G3031" s="128"/>
      <c r="H3031" s="129"/>
      <c r="I3031" s="130"/>
      <c r="J3031" s="23"/>
      <c r="K3031" s="23"/>
      <c r="L3031" s="23"/>
      <c r="M3031" s="131"/>
      <c r="N3031" s="131"/>
      <c r="O3031" s="131"/>
    </row>
    <row r="3032" spans="4:15" x14ac:dyDescent="0.3">
      <c r="D3032" s="33"/>
      <c r="E3032" s="127"/>
      <c r="F3032" s="128"/>
      <c r="G3032" s="128"/>
      <c r="H3032" s="129"/>
      <c r="I3032" s="130"/>
      <c r="J3032" s="23"/>
      <c r="K3032" s="23"/>
      <c r="L3032" s="23"/>
      <c r="M3032" s="131"/>
      <c r="N3032" s="131"/>
      <c r="O3032" s="131"/>
    </row>
    <row r="3033" spans="4:15" x14ac:dyDescent="0.3">
      <c r="D3033" s="33"/>
      <c r="E3033" s="127"/>
      <c r="F3033" s="128"/>
      <c r="G3033" s="128"/>
      <c r="H3033" s="129"/>
      <c r="I3033" s="130"/>
      <c r="J3033" s="23"/>
      <c r="K3033" s="23"/>
      <c r="L3033" s="23"/>
      <c r="M3033" s="131"/>
      <c r="N3033" s="131"/>
      <c r="O3033" s="131"/>
    </row>
    <row r="3034" spans="4:15" x14ac:dyDescent="0.3">
      <c r="D3034" s="33"/>
      <c r="E3034" s="127"/>
      <c r="F3034" s="128"/>
      <c r="G3034" s="128"/>
      <c r="H3034" s="129"/>
      <c r="I3034" s="130"/>
      <c r="J3034" s="23"/>
      <c r="K3034" s="23"/>
      <c r="L3034" s="23"/>
      <c r="M3034" s="131"/>
      <c r="N3034" s="131"/>
      <c r="O3034" s="131"/>
    </row>
    <row r="3035" spans="4:15" x14ac:dyDescent="0.3">
      <c r="D3035" s="33"/>
      <c r="E3035" s="127"/>
      <c r="F3035" s="128"/>
      <c r="G3035" s="128"/>
      <c r="H3035" s="129"/>
      <c r="I3035" s="130"/>
      <c r="J3035" s="23"/>
      <c r="K3035" s="23"/>
      <c r="L3035" s="23"/>
      <c r="M3035" s="131"/>
      <c r="N3035" s="131"/>
      <c r="O3035" s="131"/>
    </row>
    <row r="3036" spans="4:15" x14ac:dyDescent="0.3">
      <c r="D3036" s="33"/>
      <c r="E3036" s="127"/>
      <c r="F3036" s="128"/>
      <c r="G3036" s="128"/>
      <c r="H3036" s="129"/>
      <c r="I3036" s="130"/>
      <c r="J3036" s="23"/>
      <c r="K3036" s="23"/>
      <c r="L3036" s="23"/>
      <c r="M3036" s="131"/>
      <c r="N3036" s="131"/>
      <c r="O3036" s="131"/>
    </row>
    <row r="3037" spans="4:15" x14ac:dyDescent="0.3">
      <c r="D3037" s="33"/>
      <c r="E3037" s="127"/>
      <c r="F3037" s="128"/>
      <c r="G3037" s="128"/>
      <c r="H3037" s="129"/>
      <c r="I3037" s="130"/>
      <c r="J3037" s="23"/>
      <c r="K3037" s="23"/>
      <c r="L3037" s="23"/>
      <c r="M3037" s="131"/>
      <c r="N3037" s="131"/>
      <c r="O3037" s="131"/>
    </row>
    <row r="3038" spans="4:15" x14ac:dyDescent="0.3">
      <c r="D3038" s="33"/>
      <c r="E3038" s="127"/>
      <c r="F3038" s="128"/>
      <c r="G3038" s="128"/>
      <c r="H3038" s="129"/>
      <c r="I3038" s="130"/>
      <c r="J3038" s="23"/>
      <c r="K3038" s="23"/>
      <c r="L3038" s="23"/>
      <c r="M3038" s="131"/>
      <c r="N3038" s="131"/>
      <c r="O3038" s="131"/>
    </row>
    <row r="3039" spans="4:15" x14ac:dyDescent="0.3">
      <c r="D3039" s="33"/>
      <c r="E3039" s="127"/>
      <c r="F3039" s="128"/>
      <c r="G3039" s="128"/>
      <c r="H3039" s="129"/>
      <c r="I3039" s="130"/>
      <c r="J3039" s="23"/>
      <c r="K3039" s="23"/>
      <c r="L3039" s="23"/>
      <c r="M3039" s="131"/>
      <c r="N3039" s="131"/>
      <c r="O3039" s="131"/>
    </row>
    <row r="3040" spans="4:15" x14ac:dyDescent="0.3">
      <c r="D3040" s="33"/>
      <c r="E3040" s="127"/>
      <c r="F3040" s="128"/>
      <c r="G3040" s="128"/>
      <c r="H3040" s="129"/>
      <c r="I3040" s="130"/>
      <c r="J3040" s="23"/>
      <c r="K3040" s="23"/>
      <c r="L3040" s="23"/>
      <c r="M3040" s="131"/>
      <c r="N3040" s="131"/>
      <c r="O3040" s="131"/>
    </row>
    <row r="3041" spans="4:15" x14ac:dyDescent="0.3">
      <c r="D3041" s="33"/>
      <c r="E3041" s="127"/>
      <c r="F3041" s="128"/>
      <c r="G3041" s="128"/>
      <c r="H3041" s="129"/>
      <c r="I3041" s="130"/>
      <c r="J3041" s="23"/>
      <c r="K3041" s="23"/>
      <c r="L3041" s="23"/>
      <c r="M3041" s="131"/>
      <c r="N3041" s="131"/>
      <c r="O3041" s="131"/>
    </row>
    <row r="3042" spans="4:15" x14ac:dyDescent="0.3">
      <c r="D3042" s="33"/>
      <c r="E3042" s="127"/>
      <c r="F3042" s="128"/>
      <c r="G3042" s="128"/>
      <c r="H3042" s="129"/>
      <c r="I3042" s="130"/>
      <c r="J3042" s="23"/>
      <c r="K3042" s="23"/>
      <c r="L3042" s="23"/>
      <c r="M3042" s="131"/>
      <c r="N3042" s="131"/>
      <c r="O3042" s="131"/>
    </row>
    <row r="3043" spans="4:15" x14ac:dyDescent="0.3">
      <c r="D3043" s="33"/>
      <c r="E3043" s="127"/>
      <c r="F3043" s="128"/>
      <c r="G3043" s="128"/>
      <c r="H3043" s="129"/>
      <c r="I3043" s="130"/>
      <c r="J3043" s="23"/>
      <c r="K3043" s="23"/>
      <c r="L3043" s="23"/>
      <c r="M3043" s="131"/>
      <c r="N3043" s="131"/>
      <c r="O3043" s="131"/>
    </row>
    <row r="3044" spans="4:15" x14ac:dyDescent="0.3">
      <c r="D3044" s="33"/>
      <c r="E3044" s="127"/>
      <c r="F3044" s="128"/>
      <c r="G3044" s="128"/>
      <c r="H3044" s="129"/>
      <c r="I3044" s="130"/>
      <c r="J3044" s="23"/>
      <c r="K3044" s="23"/>
      <c r="L3044" s="23"/>
      <c r="M3044" s="131"/>
      <c r="N3044" s="131"/>
      <c r="O3044" s="131"/>
    </row>
    <row r="3045" spans="4:15" x14ac:dyDescent="0.3">
      <c r="D3045" s="33"/>
      <c r="E3045" s="127"/>
      <c r="F3045" s="128"/>
      <c r="G3045" s="128"/>
      <c r="H3045" s="129"/>
      <c r="I3045" s="130"/>
      <c r="J3045" s="23"/>
      <c r="K3045" s="23"/>
      <c r="L3045" s="23"/>
      <c r="M3045" s="131"/>
      <c r="N3045" s="131"/>
      <c r="O3045" s="131"/>
    </row>
    <row r="3046" spans="4:15" x14ac:dyDescent="0.3">
      <c r="D3046" s="33"/>
      <c r="E3046" s="127"/>
      <c r="F3046" s="128"/>
      <c r="G3046" s="128"/>
      <c r="H3046" s="129"/>
      <c r="I3046" s="130"/>
      <c r="J3046" s="23"/>
      <c r="K3046" s="23"/>
      <c r="L3046" s="23"/>
      <c r="M3046" s="131"/>
      <c r="N3046" s="131"/>
      <c r="O3046" s="131"/>
    </row>
    <row r="3047" spans="4:15" x14ac:dyDescent="0.3">
      <c r="D3047" s="33"/>
      <c r="E3047" s="127"/>
      <c r="F3047" s="128"/>
      <c r="G3047" s="128"/>
      <c r="H3047" s="129"/>
      <c r="I3047" s="130"/>
      <c r="J3047" s="23"/>
      <c r="K3047" s="23"/>
      <c r="L3047" s="23"/>
      <c r="M3047" s="131"/>
      <c r="N3047" s="131"/>
      <c r="O3047" s="131"/>
    </row>
    <row r="3048" spans="4:15" x14ac:dyDescent="0.3">
      <c r="D3048" s="33"/>
      <c r="E3048" s="127"/>
      <c r="F3048" s="128"/>
      <c r="G3048" s="128"/>
      <c r="H3048" s="129"/>
      <c r="I3048" s="130"/>
      <c r="J3048" s="23"/>
      <c r="K3048" s="23"/>
      <c r="L3048" s="23"/>
      <c r="M3048" s="131"/>
      <c r="N3048" s="131"/>
      <c r="O3048" s="131"/>
    </row>
    <row r="3049" spans="4:15" x14ac:dyDescent="0.3">
      <c r="D3049" s="33"/>
      <c r="E3049" s="127"/>
      <c r="F3049" s="128"/>
      <c r="G3049" s="128"/>
      <c r="H3049" s="129"/>
      <c r="I3049" s="130"/>
      <c r="J3049" s="23"/>
      <c r="K3049" s="23"/>
      <c r="L3049" s="23"/>
      <c r="M3049" s="131"/>
      <c r="N3049" s="131"/>
      <c r="O3049" s="131"/>
    </row>
    <row r="3050" spans="4:15" x14ac:dyDescent="0.3">
      <c r="D3050" s="33"/>
      <c r="E3050" s="127"/>
      <c r="F3050" s="128"/>
      <c r="G3050" s="128"/>
      <c r="H3050" s="129"/>
      <c r="I3050" s="130"/>
      <c r="J3050" s="23"/>
      <c r="K3050" s="23"/>
      <c r="L3050" s="23"/>
      <c r="M3050" s="131"/>
      <c r="N3050" s="131"/>
      <c r="O3050" s="131"/>
    </row>
    <row r="3051" spans="4:15" x14ac:dyDescent="0.3">
      <c r="D3051" s="33"/>
      <c r="E3051" s="127"/>
      <c r="F3051" s="128"/>
      <c r="G3051" s="128"/>
      <c r="H3051" s="129"/>
      <c r="I3051" s="130"/>
      <c r="J3051" s="23"/>
      <c r="K3051" s="23"/>
      <c r="L3051" s="23"/>
      <c r="M3051" s="131"/>
      <c r="N3051" s="131"/>
      <c r="O3051" s="131"/>
    </row>
    <row r="3052" spans="4:15" x14ac:dyDescent="0.3">
      <c r="D3052" s="33"/>
      <c r="E3052" s="127"/>
      <c r="F3052" s="128"/>
      <c r="G3052" s="128"/>
      <c r="H3052" s="129"/>
      <c r="I3052" s="130"/>
      <c r="J3052" s="23"/>
      <c r="K3052" s="23"/>
      <c r="L3052" s="23"/>
      <c r="M3052" s="131"/>
      <c r="N3052" s="131"/>
      <c r="O3052" s="131"/>
    </row>
    <row r="3053" spans="4:15" x14ac:dyDescent="0.3">
      <c r="D3053" s="33"/>
      <c r="E3053" s="127"/>
      <c r="F3053" s="128"/>
      <c r="G3053" s="128"/>
      <c r="H3053" s="129"/>
      <c r="I3053" s="130"/>
      <c r="J3053" s="23"/>
      <c r="K3053" s="23"/>
      <c r="L3053" s="23"/>
      <c r="M3053" s="131"/>
      <c r="N3053" s="131"/>
      <c r="O3053" s="131"/>
    </row>
    <row r="3054" spans="4:15" x14ac:dyDescent="0.3">
      <c r="D3054" s="33"/>
      <c r="E3054" s="127"/>
      <c r="F3054" s="128"/>
      <c r="G3054" s="128"/>
      <c r="H3054" s="129"/>
      <c r="I3054" s="130"/>
      <c r="J3054" s="23"/>
      <c r="K3054" s="23"/>
      <c r="L3054" s="23"/>
      <c r="M3054" s="131"/>
      <c r="N3054" s="131"/>
      <c r="O3054" s="131"/>
    </row>
    <row r="3055" spans="4:15" x14ac:dyDescent="0.3">
      <c r="D3055" s="33"/>
      <c r="E3055" s="127"/>
      <c r="F3055" s="128"/>
      <c r="G3055" s="128"/>
      <c r="H3055" s="129"/>
      <c r="I3055" s="130"/>
      <c r="J3055" s="23"/>
      <c r="K3055" s="23"/>
      <c r="L3055" s="23"/>
      <c r="M3055" s="131"/>
      <c r="N3055" s="131"/>
      <c r="O3055" s="131"/>
    </row>
    <row r="3056" spans="4:15" x14ac:dyDescent="0.3">
      <c r="D3056" s="33"/>
      <c r="E3056" s="127"/>
      <c r="F3056" s="128"/>
      <c r="G3056" s="128"/>
      <c r="H3056" s="129"/>
      <c r="I3056" s="130"/>
      <c r="J3056" s="23"/>
      <c r="K3056" s="23"/>
      <c r="L3056" s="23"/>
      <c r="M3056" s="131"/>
      <c r="N3056" s="131"/>
      <c r="O3056" s="131"/>
    </row>
    <row r="3057" spans="4:15" x14ac:dyDescent="0.3">
      <c r="D3057" s="33"/>
      <c r="E3057" s="127"/>
      <c r="F3057" s="128"/>
      <c r="G3057" s="128"/>
      <c r="H3057" s="129"/>
      <c r="I3057" s="130"/>
      <c r="J3057" s="23"/>
      <c r="K3057" s="23"/>
      <c r="L3057" s="23"/>
      <c r="M3057" s="131"/>
      <c r="N3057" s="131"/>
      <c r="O3057" s="131"/>
    </row>
    <row r="3058" spans="4:15" x14ac:dyDescent="0.3">
      <c r="D3058" s="33"/>
      <c r="E3058" s="127"/>
      <c r="F3058" s="128"/>
      <c r="G3058" s="128"/>
      <c r="H3058" s="129"/>
      <c r="I3058" s="130"/>
      <c r="J3058" s="23"/>
      <c r="K3058" s="23"/>
      <c r="L3058" s="23"/>
      <c r="M3058" s="131"/>
      <c r="N3058" s="131"/>
      <c r="O3058" s="131"/>
    </row>
    <row r="3059" spans="4:15" x14ac:dyDescent="0.3">
      <c r="D3059" s="33"/>
      <c r="E3059" s="127"/>
      <c r="F3059" s="128"/>
      <c r="G3059" s="128"/>
      <c r="H3059" s="129"/>
      <c r="I3059" s="130"/>
      <c r="J3059" s="23"/>
      <c r="K3059" s="23"/>
      <c r="L3059" s="23"/>
      <c r="M3059" s="131"/>
      <c r="N3059" s="131"/>
      <c r="O3059" s="131"/>
    </row>
    <row r="3060" spans="4:15" x14ac:dyDescent="0.3">
      <c r="D3060" s="33"/>
      <c r="E3060" s="127"/>
      <c r="F3060" s="128"/>
      <c r="G3060" s="128"/>
      <c r="H3060" s="129"/>
      <c r="I3060" s="130"/>
      <c r="J3060" s="23"/>
      <c r="K3060" s="23"/>
      <c r="L3060" s="23"/>
      <c r="M3060" s="131"/>
      <c r="N3060" s="131"/>
      <c r="O3060" s="131"/>
    </row>
    <row r="3061" spans="4:15" x14ac:dyDescent="0.3">
      <c r="D3061" s="33"/>
      <c r="E3061" s="127"/>
      <c r="F3061" s="128"/>
      <c r="G3061" s="128"/>
      <c r="H3061" s="129"/>
      <c r="I3061" s="130"/>
      <c r="J3061" s="23"/>
      <c r="K3061" s="23"/>
      <c r="L3061" s="23"/>
      <c r="M3061" s="131"/>
      <c r="N3061" s="131"/>
      <c r="O3061" s="131"/>
    </row>
    <row r="3062" spans="4:15" x14ac:dyDescent="0.3">
      <c r="D3062" s="33"/>
      <c r="E3062" s="127"/>
      <c r="F3062" s="128"/>
      <c r="G3062" s="128"/>
      <c r="H3062" s="129"/>
      <c r="I3062" s="130"/>
      <c r="J3062" s="23"/>
      <c r="K3062" s="23"/>
      <c r="L3062" s="23"/>
      <c r="M3062" s="131"/>
      <c r="N3062" s="131"/>
      <c r="O3062" s="131"/>
    </row>
    <row r="3063" spans="4:15" x14ac:dyDescent="0.3">
      <c r="D3063" s="33"/>
      <c r="E3063" s="127"/>
      <c r="F3063" s="128"/>
      <c r="G3063" s="128"/>
      <c r="H3063" s="129"/>
      <c r="I3063" s="130"/>
      <c r="J3063" s="23"/>
      <c r="K3063" s="23"/>
      <c r="L3063" s="23"/>
      <c r="M3063" s="131"/>
      <c r="N3063" s="131"/>
      <c r="O3063" s="131"/>
    </row>
    <row r="3064" spans="4:15" x14ac:dyDescent="0.3">
      <c r="D3064" s="33"/>
      <c r="E3064" s="127"/>
      <c r="F3064" s="128"/>
      <c r="G3064" s="128"/>
      <c r="H3064" s="129"/>
      <c r="I3064" s="130"/>
      <c r="J3064" s="23"/>
      <c r="K3064" s="23"/>
      <c r="L3064" s="23"/>
      <c r="M3064" s="131"/>
      <c r="N3064" s="131"/>
      <c r="O3064" s="131"/>
    </row>
    <row r="3065" spans="4:15" x14ac:dyDescent="0.3">
      <c r="D3065" s="33"/>
      <c r="E3065" s="127"/>
      <c r="F3065" s="128"/>
      <c r="G3065" s="128"/>
      <c r="H3065" s="129"/>
      <c r="I3065" s="130"/>
      <c r="J3065" s="23"/>
      <c r="K3065" s="23"/>
      <c r="L3065" s="23"/>
      <c r="M3065" s="131"/>
      <c r="N3065" s="131"/>
      <c r="O3065" s="131"/>
    </row>
    <row r="3066" spans="4:15" x14ac:dyDescent="0.3">
      <c r="D3066" s="33"/>
      <c r="E3066" s="127"/>
      <c r="F3066" s="128"/>
      <c r="G3066" s="128"/>
      <c r="H3066" s="129"/>
      <c r="I3066" s="130"/>
      <c r="J3066" s="23"/>
      <c r="K3066" s="23"/>
      <c r="L3066" s="23"/>
      <c r="M3066" s="131"/>
      <c r="N3066" s="131"/>
      <c r="O3066" s="131"/>
    </row>
    <row r="3067" spans="4:15" x14ac:dyDescent="0.3">
      <c r="D3067" s="33"/>
      <c r="E3067" s="127"/>
      <c r="F3067" s="128"/>
      <c r="G3067" s="128"/>
      <c r="H3067" s="129"/>
      <c r="I3067" s="130"/>
      <c r="J3067" s="23"/>
      <c r="K3067" s="23"/>
      <c r="L3067" s="23"/>
      <c r="M3067" s="131"/>
      <c r="N3067" s="131"/>
      <c r="O3067" s="131"/>
    </row>
    <row r="3068" spans="4:15" x14ac:dyDescent="0.3">
      <c r="D3068" s="33"/>
      <c r="E3068" s="127"/>
      <c r="F3068" s="128"/>
      <c r="G3068" s="128"/>
      <c r="H3068" s="129"/>
      <c r="I3068" s="130"/>
      <c r="J3068" s="23"/>
      <c r="K3068" s="23"/>
      <c r="L3068" s="23"/>
      <c r="M3068" s="131"/>
      <c r="N3068" s="131"/>
      <c r="O3068" s="131"/>
    </row>
    <row r="3069" spans="4:15" x14ac:dyDescent="0.3">
      <c r="D3069" s="33"/>
      <c r="E3069" s="127"/>
      <c r="F3069" s="128"/>
      <c r="G3069" s="128"/>
      <c r="H3069" s="129"/>
      <c r="I3069" s="130"/>
      <c r="J3069" s="23"/>
      <c r="K3069" s="23"/>
      <c r="L3069" s="23"/>
      <c r="M3069" s="131"/>
      <c r="N3069" s="131"/>
      <c r="O3069" s="131"/>
    </row>
    <row r="3070" spans="4:15" x14ac:dyDescent="0.3">
      <c r="D3070" s="33"/>
      <c r="E3070" s="127"/>
      <c r="F3070" s="128"/>
      <c r="G3070" s="128"/>
      <c r="H3070" s="129"/>
      <c r="I3070" s="130"/>
      <c r="J3070" s="23"/>
      <c r="K3070" s="23"/>
      <c r="L3070" s="23"/>
      <c r="M3070" s="131"/>
      <c r="N3070" s="131"/>
      <c r="O3070" s="131"/>
    </row>
    <row r="3071" spans="4:15" x14ac:dyDescent="0.3">
      <c r="D3071" s="33"/>
      <c r="E3071" s="127"/>
      <c r="F3071" s="128"/>
      <c r="G3071" s="128"/>
      <c r="H3071" s="129"/>
      <c r="I3071" s="130"/>
      <c r="J3071" s="23"/>
      <c r="K3071" s="23"/>
      <c r="L3071" s="23"/>
      <c r="M3071" s="131"/>
      <c r="N3071" s="131"/>
      <c r="O3071" s="131"/>
    </row>
    <row r="3072" spans="4:15" x14ac:dyDescent="0.3">
      <c r="D3072" s="33"/>
      <c r="E3072" s="127"/>
      <c r="F3072" s="128"/>
      <c r="G3072" s="128"/>
      <c r="H3072" s="129"/>
      <c r="I3072" s="130"/>
      <c r="J3072" s="23"/>
      <c r="K3072" s="23"/>
      <c r="L3072" s="23"/>
      <c r="M3072" s="131"/>
      <c r="N3072" s="131"/>
      <c r="O3072" s="131"/>
    </row>
    <row r="3073" spans="4:15" x14ac:dyDescent="0.3">
      <c r="D3073" s="33"/>
      <c r="E3073" s="127"/>
      <c r="F3073" s="128"/>
      <c r="G3073" s="128"/>
      <c r="H3073" s="129"/>
      <c r="I3073" s="130"/>
      <c r="J3073" s="23"/>
      <c r="K3073" s="23"/>
      <c r="L3073" s="23"/>
      <c r="M3073" s="131"/>
      <c r="N3073" s="131"/>
      <c r="O3073" s="131"/>
    </row>
    <row r="3074" spans="4:15" x14ac:dyDescent="0.3">
      <c r="D3074" s="33"/>
      <c r="E3074" s="127"/>
      <c r="F3074" s="128"/>
      <c r="G3074" s="128"/>
      <c r="H3074" s="129"/>
      <c r="I3074" s="130"/>
      <c r="J3074" s="23"/>
      <c r="K3074" s="23"/>
      <c r="L3074" s="23"/>
      <c r="M3074" s="131"/>
      <c r="N3074" s="131"/>
      <c r="O3074" s="131"/>
    </row>
    <row r="3075" spans="4:15" x14ac:dyDescent="0.3">
      <c r="D3075" s="33"/>
      <c r="E3075" s="127"/>
      <c r="F3075" s="128"/>
      <c r="G3075" s="128"/>
      <c r="H3075" s="129"/>
      <c r="I3075" s="130"/>
      <c r="J3075" s="23"/>
      <c r="K3075" s="23"/>
      <c r="L3075" s="23"/>
      <c r="M3075" s="131"/>
      <c r="N3075" s="131"/>
      <c r="O3075" s="131"/>
    </row>
    <row r="3076" spans="4:15" x14ac:dyDescent="0.3">
      <c r="D3076" s="33"/>
      <c r="E3076" s="127"/>
      <c r="F3076" s="128"/>
      <c r="G3076" s="128"/>
      <c r="H3076" s="129"/>
      <c r="I3076" s="130"/>
      <c r="J3076" s="23"/>
      <c r="K3076" s="23"/>
      <c r="L3076" s="23"/>
      <c r="M3076" s="131"/>
      <c r="N3076" s="131"/>
      <c r="O3076" s="131"/>
    </row>
    <row r="3077" spans="4:15" x14ac:dyDescent="0.3">
      <c r="D3077" s="33"/>
      <c r="E3077" s="127"/>
      <c r="F3077" s="128"/>
      <c r="G3077" s="128"/>
      <c r="H3077" s="129"/>
      <c r="I3077" s="130"/>
      <c r="J3077" s="23"/>
      <c r="K3077" s="23"/>
      <c r="L3077" s="23"/>
      <c r="M3077" s="131"/>
      <c r="N3077" s="131"/>
      <c r="O3077" s="131"/>
    </row>
    <row r="3078" spans="4:15" x14ac:dyDescent="0.3">
      <c r="D3078" s="33"/>
      <c r="E3078" s="127"/>
      <c r="F3078" s="128"/>
      <c r="G3078" s="128"/>
      <c r="H3078" s="129"/>
      <c r="I3078" s="130"/>
      <c r="J3078" s="23"/>
      <c r="K3078" s="23"/>
      <c r="L3078" s="23"/>
      <c r="M3078" s="131"/>
      <c r="N3078" s="131"/>
      <c r="O3078" s="131"/>
    </row>
    <row r="3079" spans="4:15" x14ac:dyDescent="0.3">
      <c r="D3079" s="33"/>
      <c r="E3079" s="127"/>
      <c r="F3079" s="128"/>
      <c r="G3079" s="128"/>
      <c r="H3079" s="129"/>
      <c r="I3079" s="130"/>
      <c r="J3079" s="23"/>
      <c r="K3079" s="23"/>
      <c r="L3079" s="23"/>
      <c r="M3079" s="131"/>
      <c r="N3079" s="131"/>
      <c r="O3079" s="131"/>
    </row>
    <row r="3080" spans="4:15" x14ac:dyDescent="0.3">
      <c r="D3080" s="33"/>
      <c r="E3080" s="127"/>
      <c r="F3080" s="128"/>
      <c r="G3080" s="128"/>
      <c r="H3080" s="129"/>
      <c r="I3080" s="130"/>
      <c r="J3080" s="23"/>
      <c r="K3080" s="23"/>
      <c r="L3080" s="23"/>
      <c r="M3080" s="131"/>
      <c r="N3080" s="131"/>
      <c r="O3080" s="131"/>
    </row>
    <row r="3081" spans="4:15" x14ac:dyDescent="0.3">
      <c r="D3081" s="33"/>
      <c r="E3081" s="127"/>
      <c r="F3081" s="128"/>
      <c r="G3081" s="128"/>
      <c r="H3081" s="129"/>
      <c r="I3081" s="130"/>
      <c r="J3081" s="23"/>
      <c r="K3081" s="23"/>
      <c r="L3081" s="23"/>
      <c r="M3081" s="131"/>
      <c r="N3081" s="131"/>
      <c r="O3081" s="131"/>
    </row>
    <row r="3082" spans="4:15" x14ac:dyDescent="0.3">
      <c r="D3082" s="33"/>
      <c r="E3082" s="127"/>
      <c r="F3082" s="128"/>
      <c r="G3082" s="128"/>
      <c r="H3082" s="129"/>
      <c r="I3082" s="130"/>
      <c r="J3082" s="23"/>
      <c r="K3082" s="23"/>
      <c r="L3082" s="23"/>
      <c r="M3082" s="131"/>
      <c r="N3082" s="131"/>
      <c r="O3082" s="131"/>
    </row>
    <row r="3083" spans="4:15" x14ac:dyDescent="0.3">
      <c r="D3083" s="33"/>
      <c r="E3083" s="127"/>
      <c r="F3083" s="128"/>
      <c r="G3083" s="128"/>
      <c r="H3083" s="129"/>
      <c r="I3083" s="130"/>
      <c r="J3083" s="23"/>
      <c r="K3083" s="23"/>
      <c r="L3083" s="23"/>
      <c r="M3083" s="131"/>
      <c r="N3083" s="131"/>
      <c r="O3083" s="131"/>
    </row>
    <row r="3084" spans="4:15" x14ac:dyDescent="0.3">
      <c r="D3084" s="33"/>
      <c r="E3084" s="127"/>
      <c r="F3084" s="128"/>
      <c r="G3084" s="128"/>
      <c r="H3084" s="129"/>
      <c r="I3084" s="130"/>
      <c r="J3084" s="23"/>
      <c r="K3084" s="23"/>
      <c r="L3084" s="23"/>
      <c r="M3084" s="131"/>
      <c r="N3084" s="131"/>
      <c r="O3084" s="131"/>
    </row>
    <row r="3085" spans="4:15" x14ac:dyDescent="0.3">
      <c r="D3085" s="33"/>
      <c r="E3085" s="127"/>
      <c r="F3085" s="128"/>
      <c r="G3085" s="128"/>
      <c r="H3085" s="129"/>
      <c r="I3085" s="130"/>
      <c r="J3085" s="23"/>
      <c r="K3085" s="23"/>
      <c r="L3085" s="23"/>
      <c r="M3085" s="131"/>
      <c r="N3085" s="131"/>
      <c r="O3085" s="131"/>
    </row>
    <row r="3086" spans="4:15" x14ac:dyDescent="0.3">
      <c r="D3086" s="33"/>
      <c r="E3086" s="127"/>
      <c r="F3086" s="128"/>
      <c r="G3086" s="128"/>
      <c r="H3086" s="129"/>
      <c r="I3086" s="130"/>
      <c r="J3086" s="23"/>
      <c r="K3086" s="23"/>
      <c r="L3086" s="23"/>
      <c r="M3086" s="131"/>
      <c r="N3086" s="131"/>
      <c r="O3086" s="131"/>
    </row>
    <row r="3087" spans="4:15" x14ac:dyDescent="0.3">
      <c r="D3087" s="33"/>
      <c r="E3087" s="127"/>
      <c r="F3087" s="128"/>
      <c r="G3087" s="128"/>
      <c r="H3087" s="129"/>
      <c r="I3087" s="130"/>
      <c r="J3087" s="23"/>
      <c r="K3087" s="23"/>
      <c r="L3087" s="23"/>
      <c r="M3087" s="131"/>
      <c r="N3087" s="131"/>
      <c r="O3087" s="131"/>
    </row>
    <row r="3088" spans="4:15" x14ac:dyDescent="0.3">
      <c r="D3088" s="33"/>
      <c r="E3088" s="127"/>
      <c r="F3088" s="128"/>
      <c r="G3088" s="128"/>
      <c r="H3088" s="129"/>
      <c r="I3088" s="130"/>
      <c r="J3088" s="23"/>
      <c r="K3088" s="23"/>
      <c r="L3088" s="23"/>
      <c r="M3088" s="131"/>
      <c r="N3088" s="131"/>
      <c r="O3088" s="131"/>
    </row>
    <row r="3089" spans="4:15" x14ac:dyDescent="0.3">
      <c r="D3089" s="33"/>
      <c r="E3089" s="127"/>
      <c r="F3089" s="128"/>
      <c r="G3089" s="128"/>
      <c r="H3089" s="129"/>
      <c r="I3089" s="130"/>
      <c r="J3089" s="23"/>
      <c r="K3089" s="23"/>
      <c r="L3089" s="23"/>
      <c r="M3089" s="131"/>
      <c r="N3089" s="131"/>
      <c r="O3089" s="131"/>
    </row>
    <row r="3090" spans="4:15" x14ac:dyDescent="0.3">
      <c r="D3090" s="33"/>
      <c r="E3090" s="127"/>
      <c r="F3090" s="128"/>
      <c r="G3090" s="128"/>
      <c r="H3090" s="129"/>
      <c r="I3090" s="130"/>
      <c r="J3090" s="23"/>
      <c r="K3090" s="23"/>
      <c r="L3090" s="23"/>
      <c r="M3090" s="131"/>
      <c r="N3090" s="131"/>
      <c r="O3090" s="131"/>
    </row>
    <row r="3091" spans="4:15" x14ac:dyDescent="0.3">
      <c r="D3091" s="33"/>
      <c r="E3091" s="127"/>
      <c r="F3091" s="128"/>
      <c r="G3091" s="128"/>
      <c r="H3091" s="129"/>
      <c r="I3091" s="130"/>
      <c r="J3091" s="23"/>
      <c r="K3091" s="23"/>
      <c r="L3091" s="23"/>
      <c r="M3091" s="131"/>
      <c r="N3091" s="131"/>
      <c r="O3091" s="131"/>
    </row>
    <row r="3092" spans="4:15" x14ac:dyDescent="0.3">
      <c r="D3092" s="33"/>
      <c r="E3092" s="127"/>
      <c r="F3092" s="128"/>
      <c r="G3092" s="128"/>
      <c r="H3092" s="129"/>
      <c r="I3092" s="130"/>
      <c r="J3092" s="23"/>
      <c r="K3092" s="23"/>
      <c r="L3092" s="23"/>
      <c r="M3092" s="131"/>
      <c r="N3092" s="131"/>
      <c r="O3092" s="131"/>
    </row>
    <row r="3093" spans="4:15" x14ac:dyDescent="0.3">
      <c r="D3093" s="33"/>
      <c r="E3093" s="127"/>
      <c r="F3093" s="128"/>
      <c r="G3093" s="128"/>
      <c r="H3093" s="129"/>
      <c r="I3093" s="130"/>
      <c r="J3093" s="23"/>
      <c r="K3093" s="23"/>
      <c r="L3093" s="23"/>
      <c r="M3093" s="131"/>
      <c r="N3093" s="131"/>
      <c r="O3093" s="131"/>
    </row>
    <row r="3094" spans="4:15" x14ac:dyDescent="0.3">
      <c r="D3094" s="33"/>
      <c r="E3094" s="127"/>
      <c r="F3094" s="128"/>
      <c r="G3094" s="128"/>
      <c r="H3094" s="129"/>
      <c r="I3094" s="130"/>
      <c r="J3094" s="23"/>
      <c r="K3094" s="23"/>
      <c r="L3094" s="23"/>
      <c r="M3094" s="131"/>
      <c r="N3094" s="131"/>
      <c r="O3094" s="131"/>
    </row>
    <row r="3095" spans="4:15" x14ac:dyDescent="0.3">
      <c r="D3095" s="33"/>
      <c r="E3095" s="127"/>
      <c r="F3095" s="128"/>
      <c r="G3095" s="128"/>
      <c r="H3095" s="129"/>
      <c r="I3095" s="130"/>
      <c r="J3095" s="23"/>
      <c r="K3095" s="23"/>
      <c r="L3095" s="23"/>
      <c r="M3095" s="131"/>
      <c r="N3095" s="131"/>
      <c r="O3095" s="131"/>
    </row>
    <row r="3096" spans="4:15" x14ac:dyDescent="0.3">
      <c r="D3096" s="33"/>
      <c r="E3096" s="127"/>
      <c r="F3096" s="128"/>
      <c r="G3096" s="128"/>
      <c r="H3096" s="129"/>
      <c r="I3096" s="130"/>
      <c r="J3096" s="23"/>
      <c r="K3096" s="23"/>
      <c r="L3096" s="23"/>
      <c r="M3096" s="131"/>
      <c r="N3096" s="131"/>
      <c r="O3096" s="131"/>
    </row>
    <row r="3097" spans="4:15" x14ac:dyDescent="0.3">
      <c r="D3097" s="33"/>
      <c r="E3097" s="127"/>
      <c r="F3097" s="128"/>
      <c r="G3097" s="128"/>
      <c r="H3097" s="129"/>
      <c r="I3097" s="130"/>
      <c r="J3097" s="23"/>
      <c r="K3097" s="23"/>
      <c r="L3097" s="23"/>
      <c r="M3097" s="131"/>
      <c r="N3097" s="131"/>
      <c r="O3097" s="131"/>
    </row>
    <row r="3098" spans="4:15" x14ac:dyDescent="0.3">
      <c r="D3098" s="33"/>
      <c r="E3098" s="127"/>
      <c r="F3098" s="128"/>
      <c r="G3098" s="128"/>
      <c r="H3098" s="129"/>
      <c r="I3098" s="130"/>
      <c r="J3098" s="23"/>
      <c r="K3098" s="23"/>
      <c r="L3098" s="23"/>
      <c r="M3098" s="131"/>
      <c r="N3098" s="131"/>
      <c r="O3098" s="131"/>
    </row>
    <row r="3099" spans="4:15" x14ac:dyDescent="0.3">
      <c r="D3099" s="33"/>
      <c r="E3099" s="127"/>
      <c r="F3099" s="128"/>
      <c r="G3099" s="128"/>
      <c r="H3099" s="129"/>
      <c r="I3099" s="130"/>
      <c r="J3099" s="23"/>
      <c r="K3099" s="23"/>
      <c r="L3099" s="23"/>
      <c r="M3099" s="131"/>
      <c r="N3099" s="131"/>
      <c r="O3099" s="131"/>
    </row>
    <row r="3100" spans="4:15" x14ac:dyDescent="0.3">
      <c r="D3100" s="33"/>
      <c r="E3100" s="127"/>
      <c r="F3100" s="128"/>
      <c r="G3100" s="128"/>
      <c r="H3100" s="129"/>
      <c r="I3100" s="130"/>
      <c r="J3100" s="23"/>
      <c r="K3100" s="23"/>
      <c r="L3100" s="23"/>
      <c r="M3100" s="131"/>
      <c r="N3100" s="131"/>
      <c r="O3100" s="131"/>
    </row>
    <row r="3101" spans="4:15" x14ac:dyDescent="0.3">
      <c r="D3101" s="33"/>
      <c r="E3101" s="127"/>
      <c r="F3101" s="128"/>
      <c r="G3101" s="128"/>
      <c r="H3101" s="129"/>
      <c r="I3101" s="130"/>
      <c r="J3101" s="23"/>
      <c r="K3101" s="23"/>
      <c r="L3101" s="23"/>
      <c r="M3101" s="131"/>
      <c r="N3101" s="131"/>
      <c r="O3101" s="131"/>
    </row>
    <row r="3102" spans="4:15" x14ac:dyDescent="0.3">
      <c r="D3102" s="33"/>
      <c r="E3102" s="127"/>
      <c r="F3102" s="128"/>
      <c r="G3102" s="128"/>
      <c r="H3102" s="129"/>
      <c r="I3102" s="130"/>
      <c r="J3102" s="23"/>
      <c r="K3102" s="23"/>
      <c r="L3102" s="23"/>
      <c r="M3102" s="131"/>
      <c r="N3102" s="131"/>
      <c r="O3102" s="131"/>
    </row>
    <row r="3103" spans="4:15" x14ac:dyDescent="0.3">
      <c r="D3103" s="33"/>
      <c r="E3103" s="127"/>
      <c r="F3103" s="128"/>
      <c r="G3103" s="128"/>
      <c r="H3103" s="129"/>
      <c r="I3103" s="130"/>
      <c r="J3103" s="23"/>
      <c r="K3103" s="23"/>
      <c r="L3103" s="23"/>
      <c r="M3103" s="131"/>
      <c r="N3103" s="131"/>
      <c r="O3103" s="131"/>
    </row>
    <row r="3104" spans="4:15" x14ac:dyDescent="0.3">
      <c r="D3104" s="33"/>
      <c r="E3104" s="127"/>
      <c r="F3104" s="128"/>
      <c r="G3104" s="128"/>
      <c r="H3104" s="129"/>
      <c r="I3104" s="130"/>
      <c r="J3104" s="23"/>
      <c r="K3104" s="23"/>
      <c r="L3104" s="23"/>
      <c r="M3104" s="131"/>
      <c r="N3104" s="131"/>
      <c r="O3104" s="131"/>
    </row>
    <row r="3105" spans="4:15" x14ac:dyDescent="0.3">
      <c r="D3105" s="33"/>
      <c r="E3105" s="127"/>
      <c r="F3105" s="128"/>
      <c r="G3105" s="128"/>
      <c r="H3105" s="129"/>
      <c r="I3105" s="130"/>
      <c r="J3105" s="23"/>
      <c r="K3105" s="23"/>
      <c r="L3105" s="23"/>
      <c r="M3105" s="131"/>
      <c r="N3105" s="131"/>
      <c r="O3105" s="131"/>
    </row>
    <row r="3106" spans="4:15" x14ac:dyDescent="0.3">
      <c r="D3106" s="33"/>
      <c r="E3106" s="127"/>
      <c r="F3106" s="128"/>
      <c r="G3106" s="128"/>
      <c r="H3106" s="129"/>
      <c r="I3106" s="130"/>
      <c r="J3106" s="23"/>
      <c r="K3106" s="23"/>
      <c r="L3106" s="23"/>
      <c r="M3106" s="131"/>
      <c r="N3106" s="131"/>
      <c r="O3106" s="131"/>
    </row>
    <row r="3107" spans="4:15" x14ac:dyDescent="0.3">
      <c r="D3107" s="33"/>
      <c r="E3107" s="127"/>
      <c r="F3107" s="128"/>
      <c r="G3107" s="128"/>
      <c r="H3107" s="129"/>
      <c r="I3107" s="130"/>
      <c r="J3107" s="23"/>
      <c r="K3107" s="23"/>
      <c r="L3107" s="23"/>
      <c r="M3107" s="131"/>
      <c r="N3107" s="131"/>
      <c r="O3107" s="131"/>
    </row>
    <row r="3108" spans="4:15" x14ac:dyDescent="0.3">
      <c r="D3108" s="33"/>
      <c r="E3108" s="127"/>
      <c r="F3108" s="128"/>
      <c r="G3108" s="128"/>
      <c r="H3108" s="129"/>
      <c r="I3108" s="130"/>
      <c r="J3108" s="23"/>
      <c r="K3108" s="23"/>
      <c r="L3108" s="23"/>
      <c r="M3108" s="131"/>
      <c r="N3108" s="131"/>
      <c r="O3108" s="131"/>
    </row>
    <row r="3109" spans="4:15" x14ac:dyDescent="0.3">
      <c r="D3109" s="33"/>
      <c r="E3109" s="127"/>
      <c r="F3109" s="128"/>
      <c r="G3109" s="128"/>
      <c r="H3109" s="129"/>
      <c r="I3109" s="130"/>
      <c r="J3109" s="23"/>
      <c r="K3109" s="23"/>
      <c r="L3109" s="23"/>
      <c r="M3109" s="131"/>
      <c r="N3109" s="131"/>
      <c r="O3109" s="131"/>
    </row>
    <row r="3110" spans="4:15" x14ac:dyDescent="0.3">
      <c r="D3110" s="33"/>
      <c r="E3110" s="127"/>
      <c r="F3110" s="128"/>
      <c r="G3110" s="128"/>
      <c r="H3110" s="129"/>
      <c r="I3110" s="130"/>
      <c r="J3110" s="23"/>
      <c r="K3110" s="23"/>
      <c r="L3110" s="23"/>
      <c r="M3110" s="131"/>
      <c r="N3110" s="131"/>
      <c r="O3110" s="131"/>
    </row>
    <row r="3111" spans="4:15" x14ac:dyDescent="0.3">
      <c r="D3111" s="33"/>
      <c r="E3111" s="127"/>
      <c r="F3111" s="128"/>
      <c r="G3111" s="128"/>
      <c r="H3111" s="129"/>
      <c r="I3111" s="130"/>
      <c r="J3111" s="23"/>
      <c r="K3111" s="23"/>
      <c r="L3111" s="23"/>
      <c r="M3111" s="131"/>
      <c r="N3111" s="131"/>
      <c r="O3111" s="131"/>
    </row>
    <row r="3112" spans="4:15" x14ac:dyDescent="0.3">
      <c r="D3112" s="33"/>
      <c r="E3112" s="127"/>
      <c r="F3112" s="128"/>
      <c r="G3112" s="128"/>
      <c r="H3112" s="129"/>
      <c r="I3112" s="130"/>
      <c r="J3112" s="23"/>
      <c r="K3112" s="23"/>
      <c r="L3112" s="23"/>
      <c r="M3112" s="131"/>
      <c r="N3112" s="131"/>
      <c r="O3112" s="131"/>
    </row>
    <row r="3113" spans="4:15" x14ac:dyDescent="0.3">
      <c r="D3113" s="33"/>
      <c r="E3113" s="127"/>
      <c r="F3113" s="128"/>
      <c r="G3113" s="128"/>
      <c r="H3113" s="129"/>
      <c r="I3113" s="130"/>
      <c r="J3113" s="23"/>
      <c r="K3113" s="23"/>
      <c r="L3113" s="23"/>
      <c r="M3113" s="131"/>
      <c r="N3113" s="131"/>
      <c r="O3113" s="131"/>
    </row>
    <row r="3114" spans="4:15" x14ac:dyDescent="0.3">
      <c r="D3114" s="33"/>
      <c r="E3114" s="127"/>
      <c r="F3114" s="128"/>
      <c r="G3114" s="128"/>
      <c r="H3114" s="129"/>
      <c r="I3114" s="130"/>
      <c r="J3114" s="23"/>
      <c r="K3114" s="23"/>
      <c r="L3114" s="23"/>
      <c r="M3114" s="131"/>
      <c r="N3114" s="131"/>
      <c r="O3114" s="131"/>
    </row>
    <row r="3115" spans="4:15" x14ac:dyDescent="0.3">
      <c r="D3115" s="33"/>
      <c r="E3115" s="127"/>
      <c r="F3115" s="128"/>
      <c r="G3115" s="128"/>
      <c r="H3115" s="129"/>
      <c r="I3115" s="130"/>
      <c r="J3115" s="23"/>
      <c r="K3115" s="23"/>
      <c r="L3115" s="23"/>
      <c r="M3115" s="131"/>
      <c r="N3115" s="131"/>
      <c r="O3115" s="131"/>
    </row>
    <row r="3116" spans="4:15" x14ac:dyDescent="0.3">
      <c r="D3116" s="33"/>
      <c r="E3116" s="127"/>
      <c r="F3116" s="128"/>
      <c r="G3116" s="128"/>
      <c r="H3116" s="129"/>
      <c r="I3116" s="130"/>
      <c r="J3116" s="23"/>
      <c r="K3116" s="23"/>
      <c r="L3116" s="23"/>
      <c r="M3116" s="131"/>
      <c r="N3116" s="131"/>
      <c r="O3116" s="131"/>
    </row>
    <row r="3117" spans="4:15" x14ac:dyDescent="0.3">
      <c r="D3117" s="33"/>
      <c r="E3117" s="127"/>
      <c r="F3117" s="128"/>
      <c r="G3117" s="128"/>
      <c r="H3117" s="129"/>
      <c r="I3117" s="130"/>
      <c r="J3117" s="23"/>
      <c r="K3117" s="23"/>
      <c r="L3117" s="23"/>
      <c r="M3117" s="131"/>
      <c r="N3117" s="131"/>
      <c r="O3117" s="131"/>
    </row>
    <row r="3118" spans="4:15" x14ac:dyDescent="0.3">
      <c r="D3118" s="33"/>
      <c r="E3118" s="127"/>
      <c r="F3118" s="128"/>
      <c r="G3118" s="128"/>
      <c r="H3118" s="129"/>
      <c r="I3118" s="130"/>
      <c r="J3118" s="23"/>
      <c r="K3118" s="23"/>
      <c r="L3118" s="23"/>
      <c r="M3118" s="131"/>
      <c r="N3118" s="131"/>
      <c r="O3118" s="131"/>
    </row>
    <row r="3119" spans="4:15" x14ac:dyDescent="0.3">
      <c r="D3119" s="33"/>
      <c r="E3119" s="127"/>
      <c r="F3119" s="128"/>
      <c r="G3119" s="128"/>
      <c r="H3119" s="129"/>
      <c r="I3119" s="130"/>
      <c r="J3119" s="23"/>
      <c r="K3119" s="23"/>
      <c r="L3119" s="23"/>
      <c r="M3119" s="131"/>
      <c r="N3119" s="131"/>
      <c r="O3119" s="131"/>
    </row>
    <row r="3120" spans="4:15" x14ac:dyDescent="0.3">
      <c r="D3120" s="33"/>
      <c r="E3120" s="127"/>
      <c r="F3120" s="128"/>
      <c r="G3120" s="128"/>
      <c r="H3120" s="129"/>
      <c r="I3120" s="130"/>
      <c r="J3120" s="23"/>
      <c r="K3120" s="23"/>
      <c r="L3120" s="23"/>
      <c r="M3120" s="131"/>
      <c r="N3120" s="131"/>
      <c r="O3120" s="131"/>
    </row>
    <row r="3121" spans="4:15" x14ac:dyDescent="0.3">
      <c r="D3121" s="33"/>
      <c r="E3121" s="127"/>
      <c r="F3121" s="128"/>
      <c r="G3121" s="128"/>
      <c r="H3121" s="129"/>
      <c r="I3121" s="130"/>
      <c r="J3121" s="23"/>
      <c r="K3121" s="23"/>
      <c r="L3121" s="23"/>
      <c r="M3121" s="131"/>
      <c r="N3121" s="131"/>
      <c r="O3121" s="131"/>
    </row>
    <row r="3122" spans="4:15" x14ac:dyDescent="0.3">
      <c r="D3122" s="33"/>
      <c r="E3122" s="127"/>
      <c r="F3122" s="128"/>
      <c r="G3122" s="128"/>
      <c r="H3122" s="129"/>
      <c r="I3122" s="130"/>
      <c r="J3122" s="23"/>
      <c r="K3122" s="23"/>
      <c r="L3122" s="23"/>
      <c r="M3122" s="131"/>
      <c r="N3122" s="131"/>
      <c r="O3122" s="131"/>
    </row>
    <row r="3123" spans="4:15" x14ac:dyDescent="0.3">
      <c r="D3123" s="33"/>
      <c r="E3123" s="127"/>
      <c r="F3123" s="128"/>
      <c r="G3123" s="128"/>
      <c r="H3123" s="129"/>
      <c r="I3123" s="130"/>
      <c r="J3123" s="23"/>
      <c r="K3123" s="23"/>
      <c r="L3123" s="23"/>
      <c r="M3123" s="131"/>
      <c r="N3123" s="131"/>
      <c r="O3123" s="131"/>
    </row>
    <row r="3124" spans="4:15" x14ac:dyDescent="0.3">
      <c r="D3124" s="33"/>
      <c r="E3124" s="127"/>
      <c r="F3124" s="128"/>
      <c r="G3124" s="128"/>
      <c r="H3124" s="129"/>
      <c r="I3124" s="130"/>
      <c r="J3124" s="23"/>
      <c r="K3124" s="23"/>
      <c r="L3124" s="23"/>
      <c r="M3124" s="131"/>
      <c r="N3124" s="131"/>
      <c r="O3124" s="131"/>
    </row>
    <row r="3125" spans="4:15" x14ac:dyDescent="0.3">
      <c r="D3125" s="33"/>
      <c r="E3125" s="127"/>
      <c r="F3125" s="128"/>
      <c r="G3125" s="128"/>
      <c r="H3125" s="129"/>
      <c r="I3125" s="130"/>
      <c r="J3125" s="23"/>
      <c r="K3125" s="23"/>
      <c r="L3125" s="23"/>
      <c r="M3125" s="131"/>
      <c r="N3125" s="131"/>
      <c r="O3125" s="131"/>
    </row>
    <row r="3126" spans="4:15" x14ac:dyDescent="0.3">
      <c r="D3126" s="33"/>
      <c r="E3126" s="127"/>
      <c r="F3126" s="128"/>
      <c r="G3126" s="128"/>
      <c r="H3126" s="129"/>
      <c r="I3126" s="130"/>
      <c r="J3126" s="23"/>
      <c r="K3126" s="23"/>
      <c r="L3126" s="23"/>
      <c r="M3126" s="131"/>
      <c r="N3126" s="131"/>
      <c r="O3126" s="131"/>
    </row>
    <row r="3127" spans="4:15" x14ac:dyDescent="0.3">
      <c r="D3127" s="33"/>
      <c r="E3127" s="127"/>
      <c r="F3127" s="128"/>
      <c r="G3127" s="128"/>
      <c r="H3127" s="129"/>
      <c r="I3127" s="130"/>
      <c r="J3127" s="23"/>
      <c r="K3127" s="23"/>
      <c r="L3127" s="23"/>
      <c r="M3127" s="131"/>
      <c r="N3127" s="131"/>
      <c r="O3127" s="131"/>
    </row>
    <row r="3128" spans="4:15" x14ac:dyDescent="0.3">
      <c r="D3128" s="33"/>
      <c r="E3128" s="127"/>
      <c r="F3128" s="128"/>
      <c r="G3128" s="128"/>
      <c r="H3128" s="129"/>
      <c r="I3128" s="130"/>
      <c r="J3128" s="23"/>
      <c r="K3128" s="23"/>
      <c r="L3128" s="23"/>
      <c r="M3128" s="131"/>
      <c r="N3128" s="131"/>
      <c r="O3128" s="131"/>
    </row>
    <row r="3129" spans="4:15" x14ac:dyDescent="0.3">
      <c r="D3129" s="33"/>
      <c r="E3129" s="127"/>
      <c r="F3129" s="128"/>
      <c r="G3129" s="128"/>
      <c r="H3129" s="129"/>
      <c r="I3129" s="130"/>
      <c r="J3129" s="23"/>
      <c r="K3129" s="23"/>
      <c r="L3129" s="23"/>
      <c r="M3129" s="131"/>
      <c r="N3129" s="131"/>
      <c r="O3129" s="131"/>
    </row>
    <row r="3130" spans="4:15" x14ac:dyDescent="0.3">
      <c r="D3130" s="33"/>
      <c r="E3130" s="127"/>
      <c r="F3130" s="128"/>
      <c r="G3130" s="128"/>
      <c r="H3130" s="129"/>
      <c r="I3130" s="130"/>
      <c r="J3130" s="23"/>
      <c r="K3130" s="23"/>
      <c r="L3130" s="23"/>
      <c r="M3130" s="131"/>
      <c r="N3130" s="131"/>
      <c r="O3130" s="131"/>
    </row>
    <row r="3131" spans="4:15" x14ac:dyDescent="0.3">
      <c r="D3131" s="33"/>
      <c r="E3131" s="127"/>
      <c r="F3131" s="128"/>
      <c r="G3131" s="128"/>
      <c r="H3131" s="129"/>
      <c r="I3131" s="130"/>
      <c r="J3131" s="23"/>
      <c r="K3131" s="23"/>
      <c r="L3131" s="23"/>
      <c r="M3131" s="131"/>
      <c r="N3131" s="131"/>
      <c r="O3131" s="131"/>
    </row>
    <row r="3132" spans="4:15" x14ac:dyDescent="0.3">
      <c r="D3132" s="33"/>
      <c r="E3132" s="127"/>
      <c r="F3132" s="128"/>
      <c r="G3132" s="128"/>
      <c r="H3132" s="129"/>
      <c r="I3132" s="130"/>
      <c r="J3132" s="23"/>
      <c r="K3132" s="23"/>
      <c r="L3132" s="23"/>
      <c r="M3132" s="131"/>
      <c r="N3132" s="131"/>
      <c r="O3132" s="131"/>
    </row>
    <row r="3133" spans="4:15" x14ac:dyDescent="0.3">
      <c r="D3133" s="33"/>
      <c r="E3133" s="127"/>
      <c r="F3133" s="128"/>
      <c r="G3133" s="128"/>
      <c r="H3133" s="129"/>
      <c r="I3133" s="130"/>
      <c r="J3133" s="23"/>
      <c r="K3133" s="23"/>
      <c r="L3133" s="23"/>
      <c r="M3133" s="131"/>
      <c r="N3133" s="131"/>
      <c r="O3133" s="131"/>
    </row>
    <row r="3134" spans="4:15" x14ac:dyDescent="0.3">
      <c r="D3134" s="33"/>
      <c r="E3134" s="127"/>
      <c r="F3134" s="128"/>
      <c r="G3134" s="128"/>
      <c r="H3134" s="129"/>
      <c r="I3134" s="130"/>
      <c r="J3134" s="23"/>
      <c r="K3134" s="23"/>
      <c r="L3134" s="23"/>
      <c r="M3134" s="131"/>
      <c r="N3134" s="131"/>
      <c r="O3134" s="131"/>
    </row>
    <row r="3135" spans="4:15" x14ac:dyDescent="0.3">
      <c r="D3135" s="33"/>
      <c r="E3135" s="127"/>
      <c r="F3135" s="128"/>
      <c r="G3135" s="128"/>
      <c r="H3135" s="129"/>
      <c r="I3135" s="130"/>
      <c r="J3135" s="23"/>
      <c r="K3135" s="23"/>
      <c r="L3135" s="23"/>
      <c r="M3135" s="131"/>
      <c r="N3135" s="131"/>
      <c r="O3135" s="131"/>
    </row>
    <row r="3136" spans="4:15" x14ac:dyDescent="0.3">
      <c r="D3136" s="33"/>
      <c r="E3136" s="127"/>
      <c r="F3136" s="128"/>
      <c r="G3136" s="128"/>
      <c r="H3136" s="129"/>
      <c r="I3136" s="130"/>
      <c r="J3136" s="23"/>
      <c r="K3136" s="23"/>
      <c r="L3136" s="23"/>
      <c r="M3136" s="131"/>
      <c r="N3136" s="131"/>
      <c r="O3136" s="131"/>
    </row>
    <row r="3137" spans="4:15" x14ac:dyDescent="0.3">
      <c r="D3137" s="33"/>
      <c r="E3137" s="127"/>
      <c r="F3137" s="128"/>
      <c r="G3137" s="128"/>
      <c r="H3137" s="129"/>
      <c r="I3137" s="130"/>
      <c r="J3137" s="23"/>
      <c r="K3137" s="23"/>
      <c r="L3137" s="23"/>
      <c r="M3137" s="131"/>
      <c r="N3137" s="131"/>
      <c r="O3137" s="131"/>
    </row>
    <row r="3138" spans="4:15" x14ac:dyDescent="0.3">
      <c r="D3138" s="33"/>
      <c r="E3138" s="127"/>
      <c r="F3138" s="128"/>
      <c r="G3138" s="128"/>
      <c r="H3138" s="129"/>
      <c r="I3138" s="130"/>
      <c r="J3138" s="23"/>
      <c r="K3138" s="23"/>
      <c r="L3138" s="23"/>
      <c r="M3138" s="131"/>
      <c r="N3138" s="131"/>
      <c r="O3138" s="131"/>
    </row>
    <row r="3139" spans="4:15" x14ac:dyDescent="0.3">
      <c r="D3139" s="33"/>
      <c r="E3139" s="127"/>
      <c r="F3139" s="128"/>
      <c r="G3139" s="128"/>
      <c r="H3139" s="129"/>
      <c r="I3139" s="130"/>
      <c r="J3139" s="23"/>
      <c r="K3139" s="23"/>
      <c r="L3139" s="23"/>
      <c r="M3139" s="131"/>
      <c r="N3139" s="131"/>
      <c r="O3139" s="131"/>
    </row>
    <row r="3140" spans="4:15" x14ac:dyDescent="0.3">
      <c r="D3140" s="33"/>
      <c r="E3140" s="127"/>
      <c r="F3140" s="128"/>
      <c r="G3140" s="128"/>
      <c r="H3140" s="129"/>
      <c r="I3140" s="130"/>
      <c r="J3140" s="23"/>
      <c r="K3140" s="23"/>
      <c r="L3140" s="23"/>
      <c r="M3140" s="131"/>
      <c r="N3140" s="131"/>
      <c r="O3140" s="131"/>
    </row>
    <row r="3141" spans="4:15" x14ac:dyDescent="0.3">
      <c r="D3141" s="33"/>
      <c r="E3141" s="127"/>
      <c r="F3141" s="128"/>
      <c r="G3141" s="128"/>
      <c r="H3141" s="129"/>
      <c r="I3141" s="130"/>
      <c r="J3141" s="23"/>
      <c r="K3141" s="23"/>
      <c r="L3141" s="23"/>
      <c r="M3141" s="131"/>
      <c r="N3141" s="131"/>
      <c r="O3141" s="131"/>
    </row>
    <row r="3142" spans="4:15" x14ac:dyDescent="0.3">
      <c r="D3142" s="33"/>
      <c r="E3142" s="127"/>
      <c r="F3142" s="128"/>
      <c r="G3142" s="128"/>
      <c r="H3142" s="129"/>
      <c r="I3142" s="130"/>
      <c r="J3142" s="23"/>
      <c r="K3142" s="23"/>
      <c r="L3142" s="23"/>
      <c r="M3142" s="131"/>
      <c r="N3142" s="131"/>
      <c r="O3142" s="131"/>
    </row>
    <row r="3143" spans="4:15" x14ac:dyDescent="0.3">
      <c r="D3143" s="33"/>
      <c r="E3143" s="127"/>
      <c r="F3143" s="128"/>
      <c r="G3143" s="128"/>
      <c r="H3143" s="129"/>
      <c r="I3143" s="130"/>
      <c r="J3143" s="23"/>
      <c r="K3143" s="23"/>
      <c r="L3143" s="23"/>
      <c r="M3143" s="131"/>
      <c r="N3143" s="131"/>
      <c r="O3143" s="131"/>
    </row>
    <row r="3144" spans="4:15" x14ac:dyDescent="0.3">
      <c r="D3144" s="33"/>
      <c r="E3144" s="127"/>
      <c r="F3144" s="128"/>
      <c r="G3144" s="128"/>
      <c r="H3144" s="129"/>
      <c r="I3144" s="130"/>
      <c r="J3144" s="23"/>
      <c r="K3144" s="23"/>
      <c r="L3144" s="23"/>
      <c r="M3144" s="131"/>
      <c r="N3144" s="131"/>
      <c r="O3144" s="131"/>
    </row>
    <row r="3145" spans="4:15" x14ac:dyDescent="0.3">
      <c r="D3145" s="33"/>
      <c r="E3145" s="127"/>
      <c r="F3145" s="128"/>
      <c r="G3145" s="128"/>
      <c r="H3145" s="129"/>
      <c r="I3145" s="130"/>
      <c r="J3145" s="23"/>
      <c r="K3145" s="23"/>
      <c r="L3145" s="23"/>
      <c r="M3145" s="131"/>
      <c r="N3145" s="131"/>
      <c r="O3145" s="131"/>
    </row>
    <row r="3146" spans="4:15" x14ac:dyDescent="0.3">
      <c r="D3146" s="33"/>
      <c r="E3146" s="127"/>
      <c r="F3146" s="128"/>
      <c r="G3146" s="128"/>
      <c r="H3146" s="129"/>
      <c r="I3146" s="130"/>
      <c r="J3146" s="23"/>
      <c r="K3146" s="23"/>
      <c r="L3146" s="23"/>
      <c r="M3146" s="131"/>
      <c r="N3146" s="131"/>
      <c r="O3146" s="131"/>
    </row>
    <row r="3147" spans="4:15" x14ac:dyDescent="0.3">
      <c r="D3147" s="33"/>
      <c r="E3147" s="127"/>
      <c r="F3147" s="128"/>
      <c r="G3147" s="128"/>
      <c r="H3147" s="129"/>
      <c r="I3147" s="130"/>
      <c r="J3147" s="23"/>
      <c r="K3147" s="23"/>
      <c r="L3147" s="23"/>
      <c r="M3147" s="131"/>
      <c r="N3147" s="131"/>
      <c r="O3147" s="131"/>
    </row>
    <row r="3148" spans="4:15" x14ac:dyDescent="0.3">
      <c r="D3148" s="33"/>
      <c r="E3148" s="127"/>
      <c r="F3148" s="128"/>
      <c r="G3148" s="128"/>
      <c r="H3148" s="129"/>
      <c r="I3148" s="130"/>
      <c r="J3148" s="23"/>
      <c r="K3148" s="23"/>
      <c r="L3148" s="23"/>
      <c r="M3148" s="131"/>
      <c r="N3148" s="131"/>
      <c r="O3148" s="131"/>
    </row>
    <row r="3149" spans="4:15" x14ac:dyDescent="0.3">
      <c r="D3149" s="33"/>
      <c r="E3149" s="127"/>
      <c r="F3149" s="128"/>
      <c r="G3149" s="128"/>
      <c r="H3149" s="129"/>
      <c r="I3149" s="130"/>
      <c r="J3149" s="23"/>
      <c r="K3149" s="23"/>
      <c r="L3149" s="23"/>
      <c r="M3149" s="131"/>
      <c r="N3149" s="131"/>
      <c r="O3149" s="131"/>
    </row>
    <row r="3150" spans="4:15" x14ac:dyDescent="0.3">
      <c r="D3150" s="33"/>
      <c r="E3150" s="127"/>
      <c r="F3150" s="128"/>
      <c r="G3150" s="128"/>
      <c r="H3150" s="129"/>
      <c r="I3150" s="130"/>
      <c r="J3150" s="23"/>
      <c r="K3150" s="23"/>
      <c r="L3150" s="23"/>
      <c r="M3150" s="131"/>
      <c r="N3150" s="131"/>
      <c r="O3150" s="131"/>
    </row>
    <row r="3151" spans="4:15" x14ac:dyDescent="0.3">
      <c r="D3151" s="33"/>
      <c r="E3151" s="127"/>
      <c r="F3151" s="128"/>
      <c r="G3151" s="128"/>
      <c r="H3151" s="129"/>
      <c r="I3151" s="130"/>
      <c r="J3151" s="23"/>
      <c r="K3151" s="23"/>
      <c r="L3151" s="23"/>
      <c r="M3151" s="131"/>
      <c r="N3151" s="131"/>
      <c r="O3151" s="131"/>
    </row>
    <row r="3152" spans="4:15" x14ac:dyDescent="0.3">
      <c r="D3152" s="33"/>
      <c r="E3152" s="127"/>
      <c r="F3152" s="128"/>
      <c r="G3152" s="128"/>
      <c r="H3152" s="129"/>
      <c r="I3152" s="130"/>
      <c r="J3152" s="23"/>
      <c r="K3152" s="23"/>
      <c r="L3152" s="23"/>
      <c r="M3152" s="131"/>
      <c r="N3152" s="131"/>
      <c r="O3152" s="131"/>
    </row>
    <row r="3153" spans="4:15" x14ac:dyDescent="0.3">
      <c r="D3153" s="33"/>
      <c r="E3153" s="127"/>
      <c r="F3153" s="128"/>
      <c r="G3153" s="128"/>
      <c r="H3153" s="129"/>
      <c r="I3153" s="130"/>
      <c r="J3153" s="23"/>
      <c r="K3153" s="23"/>
      <c r="L3153" s="23"/>
      <c r="M3153" s="131"/>
      <c r="N3153" s="131"/>
      <c r="O3153" s="131"/>
    </row>
    <row r="3154" spans="4:15" x14ac:dyDescent="0.3">
      <c r="D3154" s="33"/>
      <c r="E3154" s="127"/>
      <c r="F3154" s="128"/>
      <c r="G3154" s="128"/>
      <c r="H3154" s="129"/>
      <c r="I3154" s="130"/>
      <c r="J3154" s="23"/>
      <c r="K3154" s="23"/>
      <c r="L3154" s="23"/>
      <c r="M3154" s="131"/>
      <c r="N3154" s="131"/>
      <c r="O3154" s="131"/>
    </row>
    <row r="3155" spans="4:15" x14ac:dyDescent="0.3">
      <c r="D3155" s="33"/>
      <c r="E3155" s="127"/>
      <c r="F3155" s="128"/>
      <c r="G3155" s="128"/>
      <c r="H3155" s="129"/>
      <c r="I3155" s="130"/>
      <c r="J3155" s="23"/>
      <c r="K3155" s="23"/>
      <c r="L3155" s="23"/>
      <c r="M3155" s="131"/>
      <c r="N3155" s="131"/>
      <c r="O3155" s="131"/>
    </row>
    <row r="3156" spans="4:15" x14ac:dyDescent="0.3">
      <c r="D3156" s="33"/>
      <c r="E3156" s="127"/>
      <c r="F3156" s="128"/>
      <c r="G3156" s="128"/>
      <c r="H3156" s="129"/>
      <c r="I3156" s="130"/>
      <c r="J3156" s="23"/>
      <c r="K3156" s="23"/>
      <c r="L3156" s="23"/>
      <c r="M3156" s="131"/>
      <c r="N3156" s="131"/>
      <c r="O3156" s="131"/>
    </row>
    <row r="3157" spans="4:15" x14ac:dyDescent="0.3">
      <c r="D3157" s="33"/>
      <c r="E3157" s="127"/>
      <c r="F3157" s="128"/>
      <c r="G3157" s="128"/>
      <c r="H3157" s="129"/>
      <c r="I3157" s="130"/>
      <c r="J3157" s="23"/>
      <c r="K3157" s="23"/>
      <c r="L3157" s="23"/>
      <c r="M3157" s="131"/>
      <c r="N3157" s="131"/>
      <c r="O3157" s="131"/>
    </row>
    <row r="3158" spans="4:15" x14ac:dyDescent="0.3">
      <c r="D3158" s="33"/>
      <c r="E3158" s="127"/>
      <c r="F3158" s="128"/>
      <c r="G3158" s="128"/>
      <c r="H3158" s="129"/>
      <c r="I3158" s="130"/>
      <c r="J3158" s="23"/>
      <c r="K3158" s="23"/>
      <c r="L3158" s="23"/>
      <c r="M3158" s="131"/>
      <c r="N3158" s="131"/>
      <c r="O3158" s="131"/>
    </row>
    <row r="3159" spans="4:15" x14ac:dyDescent="0.3">
      <c r="D3159" s="33"/>
      <c r="E3159" s="127"/>
      <c r="F3159" s="128"/>
      <c r="G3159" s="128"/>
      <c r="H3159" s="129"/>
      <c r="I3159" s="130"/>
      <c r="J3159" s="23"/>
      <c r="K3159" s="23"/>
      <c r="L3159" s="23"/>
      <c r="M3159" s="131"/>
      <c r="N3159" s="131"/>
      <c r="O3159" s="131"/>
    </row>
    <row r="3160" spans="4:15" x14ac:dyDescent="0.3">
      <c r="D3160" s="33"/>
      <c r="E3160" s="127"/>
      <c r="F3160" s="128"/>
      <c r="G3160" s="128"/>
      <c r="H3160" s="129"/>
      <c r="I3160" s="130"/>
      <c r="J3160" s="23"/>
      <c r="K3160" s="23"/>
      <c r="L3160" s="23"/>
      <c r="M3160" s="131"/>
      <c r="N3160" s="131"/>
      <c r="O3160" s="131"/>
    </row>
    <row r="3161" spans="4:15" x14ac:dyDescent="0.3">
      <c r="D3161" s="33"/>
      <c r="E3161" s="127"/>
      <c r="F3161" s="128"/>
      <c r="G3161" s="128"/>
      <c r="H3161" s="129"/>
      <c r="I3161" s="130"/>
      <c r="J3161" s="23"/>
      <c r="K3161" s="23"/>
      <c r="L3161" s="23"/>
      <c r="M3161" s="131"/>
      <c r="N3161" s="131"/>
      <c r="O3161" s="131"/>
    </row>
    <row r="3162" spans="4:15" x14ac:dyDescent="0.3">
      <c r="D3162" s="33"/>
      <c r="E3162" s="127"/>
      <c r="F3162" s="128"/>
      <c r="G3162" s="128"/>
      <c r="H3162" s="129"/>
      <c r="I3162" s="130"/>
      <c r="J3162" s="23"/>
      <c r="K3162" s="23"/>
      <c r="L3162" s="23"/>
      <c r="M3162" s="131"/>
      <c r="N3162" s="131"/>
      <c r="O3162" s="131"/>
    </row>
    <row r="3163" spans="4:15" x14ac:dyDescent="0.3">
      <c r="D3163" s="33"/>
      <c r="E3163" s="127"/>
      <c r="F3163" s="128"/>
      <c r="G3163" s="128"/>
      <c r="H3163" s="129"/>
      <c r="I3163" s="130"/>
      <c r="J3163" s="23"/>
      <c r="K3163" s="23"/>
      <c r="L3163" s="23"/>
      <c r="M3163" s="131"/>
      <c r="N3163" s="131"/>
      <c r="O3163" s="131"/>
    </row>
    <row r="3164" spans="4:15" x14ac:dyDescent="0.3">
      <c r="D3164" s="33"/>
      <c r="E3164" s="127"/>
      <c r="F3164" s="128"/>
      <c r="G3164" s="128"/>
      <c r="H3164" s="129"/>
      <c r="I3164" s="130"/>
      <c r="J3164" s="23"/>
      <c r="K3164" s="23"/>
      <c r="L3164" s="23"/>
      <c r="M3164" s="131"/>
      <c r="N3164" s="131"/>
      <c r="O3164" s="131"/>
    </row>
    <row r="3165" spans="4:15" x14ac:dyDescent="0.3">
      <c r="D3165" s="33"/>
      <c r="E3165" s="127"/>
      <c r="F3165" s="128"/>
      <c r="G3165" s="128"/>
      <c r="H3165" s="129"/>
      <c r="I3165" s="130"/>
      <c r="J3165" s="23"/>
      <c r="K3165" s="23"/>
      <c r="L3165" s="23"/>
      <c r="M3165" s="131"/>
      <c r="N3165" s="131"/>
      <c r="O3165" s="131"/>
    </row>
    <row r="3166" spans="4:15" x14ac:dyDescent="0.3">
      <c r="D3166" s="33"/>
      <c r="E3166" s="127"/>
      <c r="F3166" s="128"/>
      <c r="G3166" s="128"/>
      <c r="H3166" s="129"/>
      <c r="I3166" s="130"/>
      <c r="J3166" s="23"/>
      <c r="K3166" s="23"/>
      <c r="L3166" s="23"/>
      <c r="M3166" s="131"/>
      <c r="N3166" s="131"/>
      <c r="O3166" s="131"/>
    </row>
    <row r="3167" spans="4:15" x14ac:dyDescent="0.3">
      <c r="D3167" s="33"/>
      <c r="E3167" s="127"/>
      <c r="F3167" s="128"/>
      <c r="G3167" s="128"/>
      <c r="H3167" s="129"/>
      <c r="I3167" s="130"/>
      <c r="J3167" s="23"/>
      <c r="K3167" s="23"/>
      <c r="L3167" s="23"/>
      <c r="M3167" s="131"/>
      <c r="N3167" s="131"/>
      <c r="O3167" s="131"/>
    </row>
    <row r="3168" spans="4:15" x14ac:dyDescent="0.3">
      <c r="D3168" s="33"/>
      <c r="E3168" s="127"/>
      <c r="F3168" s="128"/>
      <c r="G3168" s="128"/>
      <c r="H3168" s="129"/>
      <c r="I3168" s="130"/>
      <c r="J3168" s="23"/>
      <c r="K3168" s="23"/>
      <c r="L3168" s="23"/>
      <c r="M3168" s="131"/>
      <c r="N3168" s="131"/>
      <c r="O3168" s="131"/>
    </row>
    <row r="3169" spans="4:15" x14ac:dyDescent="0.3">
      <c r="D3169" s="33"/>
      <c r="E3169" s="127"/>
      <c r="F3169" s="128"/>
      <c r="G3169" s="128"/>
      <c r="H3169" s="129"/>
      <c r="I3169" s="130"/>
      <c r="J3169" s="23"/>
      <c r="K3169" s="23"/>
      <c r="L3169" s="23"/>
      <c r="M3169" s="131"/>
      <c r="N3169" s="131"/>
      <c r="O3169" s="131"/>
    </row>
    <row r="3170" spans="4:15" x14ac:dyDescent="0.3">
      <c r="D3170" s="33"/>
      <c r="E3170" s="127"/>
      <c r="F3170" s="128"/>
      <c r="G3170" s="128"/>
      <c r="H3170" s="129"/>
      <c r="I3170" s="130"/>
      <c r="J3170" s="23"/>
      <c r="K3170" s="23"/>
      <c r="L3170" s="23"/>
      <c r="M3170" s="131"/>
      <c r="N3170" s="131"/>
      <c r="O3170" s="131"/>
    </row>
    <row r="3171" spans="4:15" x14ac:dyDescent="0.3">
      <c r="D3171" s="33"/>
      <c r="E3171" s="127"/>
      <c r="F3171" s="128"/>
      <c r="G3171" s="128"/>
      <c r="H3171" s="129"/>
      <c r="I3171" s="130"/>
      <c r="J3171" s="23"/>
      <c r="K3171" s="23"/>
      <c r="L3171" s="23"/>
      <c r="M3171" s="131"/>
      <c r="N3171" s="131"/>
      <c r="O3171" s="131"/>
    </row>
    <row r="3172" spans="4:15" x14ac:dyDescent="0.3">
      <c r="D3172" s="33"/>
      <c r="E3172" s="127"/>
      <c r="F3172" s="128"/>
      <c r="G3172" s="128"/>
      <c r="H3172" s="129"/>
      <c r="I3172" s="130"/>
      <c r="J3172" s="23"/>
      <c r="K3172" s="23"/>
      <c r="L3172" s="23"/>
      <c r="M3172" s="131"/>
      <c r="N3172" s="131"/>
      <c r="O3172" s="131"/>
    </row>
    <row r="3173" spans="4:15" x14ac:dyDescent="0.3">
      <c r="D3173" s="33"/>
      <c r="E3173" s="127"/>
      <c r="F3173" s="128"/>
      <c r="G3173" s="128"/>
      <c r="H3173" s="129"/>
      <c r="I3173" s="130"/>
      <c r="J3173" s="23"/>
      <c r="K3173" s="23"/>
      <c r="L3173" s="23"/>
      <c r="M3173" s="131"/>
      <c r="N3173" s="131"/>
      <c r="O3173" s="131"/>
    </row>
    <row r="3174" spans="4:15" x14ac:dyDescent="0.3">
      <c r="D3174" s="33"/>
      <c r="E3174" s="127"/>
      <c r="F3174" s="128"/>
      <c r="G3174" s="128"/>
      <c r="H3174" s="129"/>
      <c r="I3174" s="130"/>
      <c r="J3174" s="23"/>
      <c r="K3174" s="23"/>
      <c r="L3174" s="23"/>
      <c r="M3174" s="131"/>
      <c r="N3174" s="131"/>
      <c r="O3174" s="131"/>
    </row>
    <row r="3175" spans="4:15" x14ac:dyDescent="0.3">
      <c r="D3175" s="33"/>
      <c r="E3175" s="127"/>
      <c r="F3175" s="128"/>
      <c r="G3175" s="128"/>
      <c r="H3175" s="129"/>
      <c r="I3175" s="130"/>
      <c r="J3175" s="23"/>
      <c r="K3175" s="23"/>
      <c r="L3175" s="23"/>
      <c r="M3175" s="131"/>
      <c r="N3175" s="131"/>
      <c r="O3175" s="131"/>
    </row>
    <row r="3176" spans="4:15" x14ac:dyDescent="0.3">
      <c r="D3176" s="33"/>
      <c r="E3176" s="127"/>
      <c r="F3176" s="128"/>
      <c r="G3176" s="128"/>
      <c r="H3176" s="129"/>
      <c r="I3176" s="130"/>
      <c r="J3176" s="23"/>
      <c r="K3176" s="23"/>
      <c r="L3176" s="23"/>
      <c r="M3176" s="131"/>
      <c r="N3176" s="131"/>
      <c r="O3176" s="131"/>
    </row>
    <row r="3177" spans="4:15" x14ac:dyDescent="0.3">
      <c r="D3177" s="33"/>
      <c r="E3177" s="127"/>
      <c r="F3177" s="128"/>
      <c r="G3177" s="128"/>
      <c r="H3177" s="129"/>
      <c r="I3177" s="130"/>
      <c r="J3177" s="23"/>
      <c r="K3177" s="23"/>
      <c r="L3177" s="23"/>
      <c r="M3177" s="131"/>
      <c r="N3177" s="131"/>
      <c r="O3177" s="131"/>
    </row>
    <row r="3178" spans="4:15" x14ac:dyDescent="0.3">
      <c r="D3178" s="33"/>
      <c r="E3178" s="127"/>
      <c r="F3178" s="128"/>
      <c r="G3178" s="128"/>
      <c r="H3178" s="129"/>
      <c r="I3178" s="130"/>
      <c r="J3178" s="23"/>
      <c r="K3178" s="23"/>
      <c r="L3178" s="23"/>
      <c r="M3178" s="131"/>
      <c r="N3178" s="131"/>
      <c r="O3178" s="131"/>
    </row>
    <row r="3179" spans="4:15" x14ac:dyDescent="0.3">
      <c r="D3179" s="33"/>
      <c r="E3179" s="127"/>
      <c r="F3179" s="128"/>
      <c r="G3179" s="128"/>
      <c r="H3179" s="129"/>
      <c r="I3179" s="130"/>
      <c r="J3179" s="23"/>
      <c r="K3179" s="23"/>
      <c r="L3179" s="23"/>
      <c r="M3179" s="131"/>
      <c r="N3179" s="131"/>
      <c r="O3179" s="131"/>
    </row>
    <row r="3180" spans="4:15" x14ac:dyDescent="0.3">
      <c r="D3180" s="33"/>
      <c r="E3180" s="127"/>
      <c r="F3180" s="128"/>
      <c r="G3180" s="128"/>
      <c r="H3180" s="129"/>
      <c r="I3180" s="130"/>
      <c r="J3180" s="23"/>
      <c r="K3180" s="23"/>
      <c r="L3180" s="23"/>
      <c r="M3180" s="131"/>
      <c r="N3180" s="131"/>
      <c r="O3180" s="131"/>
    </row>
    <row r="3181" spans="4:15" x14ac:dyDescent="0.3">
      <c r="D3181" s="33"/>
      <c r="E3181" s="127"/>
      <c r="F3181" s="128"/>
      <c r="G3181" s="128"/>
      <c r="H3181" s="129"/>
      <c r="I3181" s="130"/>
      <c r="J3181" s="23"/>
      <c r="K3181" s="23"/>
      <c r="L3181" s="23"/>
      <c r="M3181" s="131"/>
      <c r="N3181" s="131"/>
      <c r="O3181" s="131"/>
    </row>
    <row r="3182" spans="4:15" x14ac:dyDescent="0.3">
      <c r="D3182" s="33"/>
      <c r="E3182" s="127"/>
      <c r="F3182" s="128"/>
      <c r="G3182" s="128"/>
      <c r="H3182" s="129"/>
      <c r="I3182" s="130"/>
      <c r="J3182" s="23"/>
      <c r="K3182" s="23"/>
      <c r="L3182" s="23"/>
      <c r="M3182" s="131"/>
      <c r="N3182" s="131"/>
      <c r="O3182" s="131"/>
    </row>
    <row r="3183" spans="4:15" x14ac:dyDescent="0.3">
      <c r="D3183" s="33"/>
      <c r="E3183" s="127"/>
      <c r="F3183" s="128"/>
      <c r="G3183" s="128"/>
      <c r="H3183" s="129"/>
      <c r="I3183" s="130"/>
      <c r="J3183" s="23"/>
      <c r="K3183" s="23"/>
      <c r="L3183" s="23"/>
      <c r="M3183" s="131"/>
      <c r="N3183" s="131"/>
      <c r="O3183" s="131"/>
    </row>
    <row r="3184" spans="4:15" x14ac:dyDescent="0.3">
      <c r="D3184" s="33"/>
      <c r="E3184" s="127"/>
      <c r="F3184" s="128"/>
      <c r="G3184" s="128"/>
      <c r="H3184" s="129"/>
      <c r="I3184" s="130"/>
      <c r="J3184" s="23"/>
      <c r="K3184" s="23"/>
      <c r="L3184" s="23"/>
      <c r="M3184" s="131"/>
      <c r="N3184" s="131"/>
      <c r="O3184" s="131"/>
    </row>
    <row r="3185" spans="4:15" x14ac:dyDescent="0.3">
      <c r="D3185" s="33"/>
      <c r="E3185" s="127"/>
      <c r="F3185" s="128"/>
      <c r="G3185" s="128"/>
      <c r="H3185" s="129"/>
      <c r="I3185" s="130"/>
      <c r="J3185" s="23"/>
      <c r="K3185" s="23"/>
      <c r="L3185" s="23"/>
      <c r="M3185" s="131"/>
      <c r="N3185" s="131"/>
      <c r="O3185" s="131"/>
    </row>
    <row r="3186" spans="4:15" x14ac:dyDescent="0.3">
      <c r="D3186" s="33"/>
      <c r="E3186" s="127"/>
      <c r="F3186" s="128"/>
      <c r="G3186" s="128"/>
      <c r="H3186" s="129"/>
      <c r="I3186" s="130"/>
      <c r="J3186" s="23"/>
      <c r="K3186" s="23"/>
      <c r="L3186" s="23"/>
      <c r="M3186" s="131"/>
      <c r="N3186" s="131"/>
      <c r="O3186" s="131"/>
    </row>
    <row r="3187" spans="4:15" x14ac:dyDescent="0.3">
      <c r="D3187" s="33"/>
      <c r="E3187" s="127"/>
      <c r="F3187" s="128"/>
      <c r="G3187" s="128"/>
      <c r="H3187" s="129"/>
      <c r="I3187" s="130"/>
      <c r="J3187" s="23"/>
      <c r="K3187" s="23"/>
      <c r="L3187" s="23"/>
      <c r="M3187" s="131"/>
      <c r="N3187" s="131"/>
      <c r="O3187" s="131"/>
    </row>
    <row r="3188" spans="4:15" x14ac:dyDescent="0.3">
      <c r="D3188" s="33"/>
      <c r="E3188" s="127"/>
      <c r="F3188" s="128"/>
      <c r="G3188" s="128"/>
      <c r="H3188" s="129"/>
      <c r="I3188" s="130"/>
      <c r="J3188" s="23"/>
      <c r="K3188" s="23"/>
      <c r="L3188" s="23"/>
      <c r="M3188" s="131"/>
      <c r="N3188" s="131"/>
      <c r="O3188" s="131"/>
    </row>
    <row r="3189" spans="4:15" x14ac:dyDescent="0.3">
      <c r="D3189" s="33"/>
      <c r="E3189" s="127"/>
      <c r="F3189" s="128"/>
      <c r="G3189" s="128"/>
      <c r="H3189" s="129"/>
      <c r="I3189" s="130"/>
      <c r="J3189" s="23"/>
      <c r="K3189" s="23"/>
      <c r="L3189" s="23"/>
      <c r="M3189" s="131"/>
      <c r="N3189" s="131"/>
      <c r="O3189" s="131"/>
    </row>
    <row r="3190" spans="4:15" x14ac:dyDescent="0.3">
      <c r="D3190" s="33"/>
      <c r="E3190" s="127"/>
      <c r="F3190" s="128"/>
      <c r="G3190" s="128"/>
      <c r="H3190" s="129"/>
      <c r="I3190" s="130"/>
      <c r="J3190" s="23"/>
      <c r="K3190" s="23"/>
      <c r="L3190" s="23"/>
      <c r="M3190" s="131"/>
      <c r="N3190" s="131"/>
      <c r="O3190" s="131"/>
    </row>
    <row r="3191" spans="4:15" x14ac:dyDescent="0.3">
      <c r="D3191" s="33"/>
      <c r="E3191" s="127"/>
      <c r="F3191" s="128"/>
      <c r="G3191" s="128"/>
      <c r="H3191" s="129"/>
      <c r="I3191" s="130"/>
      <c r="J3191" s="23"/>
      <c r="K3191" s="23"/>
      <c r="L3191" s="23"/>
      <c r="M3191" s="131"/>
      <c r="N3191" s="131"/>
      <c r="O3191" s="131"/>
    </row>
    <row r="3192" spans="4:15" x14ac:dyDescent="0.3">
      <c r="D3192" s="33"/>
      <c r="E3192" s="127"/>
      <c r="F3192" s="128"/>
      <c r="G3192" s="128"/>
      <c r="H3192" s="129"/>
      <c r="I3192" s="130"/>
      <c r="J3192" s="23"/>
      <c r="K3192" s="23"/>
      <c r="L3192" s="23"/>
      <c r="M3192" s="131"/>
      <c r="N3192" s="131"/>
      <c r="O3192" s="131"/>
    </row>
    <row r="3193" spans="4:15" x14ac:dyDescent="0.3">
      <c r="D3193" s="33"/>
      <c r="E3193" s="127"/>
      <c r="F3193" s="128"/>
      <c r="G3193" s="128"/>
      <c r="H3193" s="129"/>
      <c r="I3193" s="130"/>
      <c r="J3193" s="23"/>
      <c r="K3193" s="23"/>
      <c r="L3193" s="23"/>
      <c r="M3193" s="131"/>
      <c r="N3193" s="131"/>
      <c r="O3193" s="131"/>
    </row>
    <row r="3194" spans="4:15" x14ac:dyDescent="0.3">
      <c r="D3194" s="33"/>
      <c r="E3194" s="127"/>
      <c r="F3194" s="128"/>
      <c r="G3194" s="128"/>
      <c r="H3194" s="129"/>
      <c r="I3194" s="130"/>
      <c r="J3194" s="23"/>
      <c r="K3194" s="23"/>
      <c r="L3194" s="23"/>
      <c r="M3194" s="131"/>
      <c r="N3194" s="131"/>
      <c r="O3194" s="131"/>
    </row>
    <row r="3195" spans="4:15" x14ac:dyDescent="0.3">
      <c r="D3195" s="33"/>
      <c r="E3195" s="127"/>
      <c r="F3195" s="128"/>
      <c r="G3195" s="128"/>
      <c r="H3195" s="129"/>
      <c r="I3195" s="130"/>
      <c r="J3195" s="23"/>
      <c r="K3195" s="23"/>
      <c r="L3195" s="23"/>
      <c r="M3195" s="131"/>
      <c r="N3195" s="131"/>
      <c r="O3195" s="131"/>
    </row>
    <row r="3196" spans="4:15" x14ac:dyDescent="0.3">
      <c r="D3196" s="33"/>
      <c r="E3196" s="127"/>
      <c r="F3196" s="128"/>
      <c r="G3196" s="128"/>
      <c r="H3196" s="129"/>
      <c r="I3196" s="130"/>
      <c r="J3196" s="23"/>
      <c r="K3196" s="23"/>
      <c r="L3196" s="23"/>
      <c r="M3196" s="131"/>
      <c r="N3196" s="131"/>
      <c r="O3196" s="131"/>
    </row>
    <row r="3197" spans="4:15" x14ac:dyDescent="0.3">
      <c r="D3197" s="33"/>
      <c r="E3197" s="127"/>
      <c r="F3197" s="128"/>
      <c r="G3197" s="128"/>
      <c r="H3197" s="129"/>
      <c r="I3197" s="130"/>
      <c r="J3197" s="23"/>
      <c r="K3197" s="23"/>
      <c r="L3197" s="23"/>
      <c r="M3197" s="131"/>
      <c r="N3197" s="131"/>
      <c r="O3197" s="131"/>
    </row>
    <row r="3198" spans="4:15" x14ac:dyDescent="0.3">
      <c r="D3198" s="33"/>
      <c r="E3198" s="127"/>
      <c r="F3198" s="128"/>
      <c r="G3198" s="128"/>
      <c r="H3198" s="129"/>
      <c r="I3198" s="130"/>
      <c r="J3198" s="23"/>
      <c r="K3198" s="23"/>
      <c r="L3198" s="23"/>
      <c r="M3198" s="131"/>
      <c r="N3198" s="131"/>
      <c r="O3198" s="131"/>
    </row>
    <row r="3199" spans="4:15" x14ac:dyDescent="0.3">
      <c r="D3199" s="33"/>
      <c r="E3199" s="127"/>
      <c r="F3199" s="128"/>
      <c r="G3199" s="128"/>
      <c r="H3199" s="129"/>
      <c r="I3199" s="130"/>
      <c r="J3199" s="23"/>
      <c r="K3199" s="23"/>
      <c r="L3199" s="23"/>
      <c r="M3199" s="131"/>
      <c r="N3199" s="131"/>
      <c r="O3199" s="131"/>
    </row>
    <row r="3200" spans="4:15" x14ac:dyDescent="0.3">
      <c r="D3200" s="33"/>
      <c r="E3200" s="127"/>
      <c r="F3200" s="128"/>
      <c r="G3200" s="128"/>
      <c r="H3200" s="129"/>
      <c r="I3200" s="130"/>
      <c r="J3200" s="23"/>
      <c r="K3200" s="23"/>
      <c r="L3200" s="23"/>
      <c r="M3200" s="131"/>
      <c r="N3200" s="131"/>
      <c r="O3200" s="131"/>
    </row>
    <row r="3201" spans="4:15" x14ac:dyDescent="0.3">
      <c r="D3201" s="33"/>
      <c r="E3201" s="127"/>
      <c r="F3201" s="128"/>
      <c r="G3201" s="128"/>
      <c r="H3201" s="129"/>
      <c r="I3201" s="130"/>
      <c r="J3201" s="23"/>
      <c r="K3201" s="23"/>
      <c r="L3201" s="23"/>
      <c r="M3201" s="131"/>
      <c r="N3201" s="131"/>
      <c r="O3201" s="131"/>
    </row>
    <row r="3202" spans="4:15" x14ac:dyDescent="0.3">
      <c r="D3202" s="33"/>
      <c r="E3202" s="127"/>
      <c r="F3202" s="128"/>
      <c r="G3202" s="128"/>
      <c r="H3202" s="129"/>
      <c r="I3202" s="130"/>
      <c r="J3202" s="23"/>
      <c r="K3202" s="23"/>
      <c r="L3202" s="23"/>
      <c r="M3202" s="131"/>
      <c r="N3202" s="131"/>
      <c r="O3202" s="131"/>
    </row>
    <row r="3203" spans="4:15" x14ac:dyDescent="0.3">
      <c r="D3203" s="33"/>
      <c r="E3203" s="127"/>
      <c r="F3203" s="128"/>
      <c r="G3203" s="128"/>
      <c r="H3203" s="129"/>
      <c r="I3203" s="130"/>
      <c r="J3203" s="23"/>
      <c r="K3203" s="23"/>
      <c r="L3203" s="23"/>
      <c r="M3203" s="131"/>
      <c r="N3203" s="131"/>
      <c r="O3203" s="131"/>
    </row>
    <row r="3204" spans="4:15" x14ac:dyDescent="0.3">
      <c r="D3204" s="33"/>
      <c r="E3204" s="127"/>
      <c r="F3204" s="128"/>
      <c r="G3204" s="128"/>
      <c r="H3204" s="129"/>
      <c r="I3204" s="130"/>
      <c r="J3204" s="23"/>
      <c r="K3204" s="23"/>
      <c r="L3204" s="23"/>
      <c r="M3204" s="131"/>
      <c r="N3204" s="131"/>
      <c r="O3204" s="131"/>
    </row>
    <row r="3205" spans="4:15" x14ac:dyDescent="0.3">
      <c r="D3205" s="33"/>
      <c r="E3205" s="127"/>
      <c r="F3205" s="128"/>
      <c r="G3205" s="128"/>
      <c r="H3205" s="129"/>
      <c r="I3205" s="130"/>
      <c r="J3205" s="23"/>
      <c r="K3205" s="23"/>
      <c r="L3205" s="23"/>
      <c r="M3205" s="131"/>
      <c r="N3205" s="131"/>
      <c r="O3205" s="131"/>
    </row>
    <row r="3206" spans="4:15" x14ac:dyDescent="0.3">
      <c r="D3206" s="33"/>
      <c r="E3206" s="127"/>
      <c r="F3206" s="128"/>
      <c r="G3206" s="128"/>
      <c r="H3206" s="129"/>
      <c r="I3206" s="130"/>
      <c r="J3206" s="23"/>
      <c r="K3206" s="23"/>
      <c r="L3206" s="23"/>
      <c r="M3206" s="131"/>
      <c r="N3206" s="131"/>
      <c r="O3206" s="131"/>
    </row>
    <row r="3207" spans="4:15" x14ac:dyDescent="0.3">
      <c r="D3207" s="33"/>
      <c r="E3207" s="127"/>
      <c r="F3207" s="128"/>
      <c r="G3207" s="128"/>
      <c r="H3207" s="129"/>
      <c r="I3207" s="130"/>
      <c r="J3207" s="23"/>
      <c r="K3207" s="23"/>
      <c r="L3207" s="23"/>
      <c r="M3207" s="131"/>
      <c r="N3207" s="131"/>
      <c r="O3207" s="131"/>
    </row>
    <row r="3208" spans="4:15" x14ac:dyDescent="0.3">
      <c r="D3208" s="33"/>
      <c r="E3208" s="127"/>
      <c r="F3208" s="128"/>
      <c r="G3208" s="128"/>
      <c r="H3208" s="129"/>
      <c r="I3208" s="130"/>
      <c r="J3208" s="23"/>
      <c r="K3208" s="23"/>
      <c r="L3208" s="23"/>
      <c r="M3208" s="131"/>
      <c r="N3208" s="131"/>
      <c r="O3208" s="131"/>
    </row>
    <row r="3209" spans="4:15" x14ac:dyDescent="0.3">
      <c r="D3209" s="33"/>
      <c r="E3209" s="127"/>
      <c r="F3209" s="128"/>
      <c r="G3209" s="128"/>
      <c r="H3209" s="129"/>
      <c r="I3209" s="130"/>
      <c r="J3209" s="23"/>
      <c r="K3209" s="23"/>
      <c r="L3209" s="23"/>
      <c r="M3209" s="131"/>
      <c r="N3209" s="131"/>
      <c r="O3209" s="131"/>
    </row>
    <row r="3210" spans="4:15" x14ac:dyDescent="0.3">
      <c r="D3210" s="33"/>
      <c r="E3210" s="127"/>
      <c r="F3210" s="128"/>
      <c r="G3210" s="128"/>
      <c r="H3210" s="129"/>
      <c r="I3210" s="130"/>
      <c r="J3210" s="23"/>
      <c r="K3210" s="23"/>
      <c r="L3210" s="23"/>
      <c r="M3210" s="131"/>
      <c r="N3210" s="131"/>
      <c r="O3210" s="131"/>
    </row>
    <row r="3211" spans="4:15" x14ac:dyDescent="0.3">
      <c r="D3211" s="33"/>
      <c r="E3211" s="127"/>
      <c r="F3211" s="128"/>
      <c r="G3211" s="128"/>
      <c r="H3211" s="129"/>
      <c r="I3211" s="130"/>
      <c r="J3211" s="23"/>
      <c r="K3211" s="23"/>
      <c r="L3211" s="23"/>
      <c r="M3211" s="131"/>
      <c r="N3211" s="131"/>
      <c r="O3211" s="131"/>
    </row>
    <row r="3212" spans="4:15" x14ac:dyDescent="0.3">
      <c r="D3212" s="33"/>
      <c r="E3212" s="127"/>
      <c r="F3212" s="128"/>
      <c r="G3212" s="128"/>
      <c r="H3212" s="129"/>
      <c r="I3212" s="130"/>
      <c r="J3212" s="23"/>
      <c r="K3212" s="23"/>
      <c r="L3212" s="23"/>
      <c r="M3212" s="131"/>
      <c r="N3212" s="131"/>
      <c r="O3212" s="131"/>
    </row>
    <row r="3213" spans="4:15" x14ac:dyDescent="0.3">
      <c r="D3213" s="33"/>
      <c r="E3213" s="127"/>
      <c r="F3213" s="128"/>
      <c r="G3213" s="128"/>
      <c r="H3213" s="129"/>
      <c r="I3213" s="130"/>
      <c r="J3213" s="23"/>
      <c r="K3213" s="23"/>
      <c r="L3213" s="23"/>
      <c r="M3213" s="131"/>
      <c r="N3213" s="131"/>
      <c r="O3213" s="131"/>
    </row>
    <row r="3214" spans="4:15" x14ac:dyDescent="0.3">
      <c r="D3214" s="33"/>
      <c r="E3214" s="127"/>
      <c r="F3214" s="128"/>
      <c r="G3214" s="128"/>
      <c r="H3214" s="129"/>
      <c r="I3214" s="130"/>
      <c r="J3214" s="23"/>
      <c r="K3214" s="23"/>
      <c r="L3214" s="23"/>
      <c r="M3214" s="131"/>
      <c r="N3214" s="131"/>
      <c r="O3214" s="131"/>
    </row>
    <row r="3215" spans="4:15" x14ac:dyDescent="0.3">
      <c r="D3215" s="33"/>
      <c r="E3215" s="127"/>
      <c r="F3215" s="128"/>
      <c r="G3215" s="128"/>
      <c r="H3215" s="129"/>
      <c r="I3215" s="130"/>
      <c r="J3215" s="23"/>
      <c r="K3215" s="23"/>
      <c r="L3215" s="23"/>
      <c r="M3215" s="131"/>
      <c r="N3215" s="131"/>
      <c r="O3215" s="131"/>
    </row>
    <row r="3216" spans="4:15" x14ac:dyDescent="0.3">
      <c r="D3216" s="33"/>
      <c r="E3216" s="127"/>
      <c r="F3216" s="128"/>
      <c r="G3216" s="128"/>
      <c r="H3216" s="129"/>
      <c r="I3216" s="130"/>
      <c r="J3216" s="23"/>
      <c r="K3216" s="23"/>
      <c r="L3216" s="23"/>
      <c r="M3216" s="131"/>
      <c r="N3216" s="131"/>
      <c r="O3216" s="131"/>
    </row>
    <row r="3217" spans="4:15" x14ac:dyDescent="0.3">
      <c r="D3217" s="33"/>
      <c r="E3217" s="127"/>
      <c r="F3217" s="128"/>
      <c r="G3217" s="128"/>
      <c r="H3217" s="129"/>
      <c r="I3217" s="130"/>
      <c r="J3217" s="23"/>
      <c r="K3217" s="23"/>
      <c r="L3217" s="23"/>
      <c r="M3217" s="131"/>
      <c r="N3217" s="131"/>
      <c r="O3217" s="131"/>
    </row>
    <row r="3218" spans="4:15" x14ac:dyDescent="0.3">
      <c r="D3218" s="33"/>
      <c r="E3218" s="127"/>
      <c r="F3218" s="128"/>
      <c r="G3218" s="128"/>
      <c r="H3218" s="129"/>
      <c r="I3218" s="130"/>
      <c r="J3218" s="23"/>
      <c r="K3218" s="23"/>
      <c r="L3218" s="23"/>
      <c r="M3218" s="131"/>
      <c r="N3218" s="131"/>
      <c r="O3218" s="131"/>
    </row>
    <row r="3219" spans="4:15" x14ac:dyDescent="0.3">
      <c r="D3219" s="33"/>
      <c r="E3219" s="127"/>
      <c r="F3219" s="128"/>
      <c r="G3219" s="128"/>
      <c r="H3219" s="129"/>
      <c r="I3219" s="130"/>
      <c r="J3219" s="23"/>
      <c r="K3219" s="23"/>
      <c r="L3219" s="23"/>
      <c r="M3219" s="131"/>
      <c r="N3219" s="131"/>
      <c r="O3219" s="131"/>
    </row>
    <row r="3220" spans="4:15" x14ac:dyDescent="0.3">
      <c r="D3220" s="33"/>
      <c r="E3220" s="127"/>
      <c r="F3220" s="128"/>
      <c r="G3220" s="128"/>
      <c r="H3220" s="129"/>
      <c r="I3220" s="130"/>
      <c r="J3220" s="23"/>
      <c r="K3220" s="23"/>
      <c r="L3220" s="23"/>
      <c r="M3220" s="131"/>
      <c r="N3220" s="131"/>
      <c r="O3220" s="131"/>
    </row>
    <row r="3221" spans="4:15" x14ac:dyDescent="0.3">
      <c r="D3221" s="33"/>
      <c r="E3221" s="127"/>
      <c r="F3221" s="128"/>
      <c r="G3221" s="128"/>
      <c r="H3221" s="129"/>
      <c r="I3221" s="130"/>
      <c r="J3221" s="23"/>
      <c r="K3221" s="23"/>
      <c r="L3221" s="23"/>
      <c r="M3221" s="131"/>
      <c r="N3221" s="131"/>
      <c r="O3221" s="131"/>
    </row>
    <row r="3222" spans="4:15" x14ac:dyDescent="0.3">
      <c r="D3222" s="33"/>
      <c r="E3222" s="127"/>
      <c r="F3222" s="128"/>
      <c r="G3222" s="128"/>
      <c r="H3222" s="129"/>
      <c r="I3222" s="130"/>
      <c r="J3222" s="23"/>
      <c r="K3222" s="23"/>
      <c r="L3222" s="23"/>
      <c r="M3222" s="131"/>
      <c r="N3222" s="131"/>
      <c r="O3222" s="131"/>
    </row>
    <row r="3223" spans="4:15" x14ac:dyDescent="0.3">
      <c r="D3223" s="33"/>
      <c r="E3223" s="127"/>
      <c r="F3223" s="128"/>
      <c r="G3223" s="128"/>
      <c r="H3223" s="129"/>
      <c r="I3223" s="130"/>
      <c r="J3223" s="23"/>
      <c r="K3223" s="23"/>
      <c r="L3223" s="23"/>
      <c r="M3223" s="131"/>
      <c r="N3223" s="131"/>
      <c r="O3223" s="131"/>
    </row>
    <row r="3224" spans="4:15" x14ac:dyDescent="0.3">
      <c r="D3224" s="33"/>
      <c r="E3224" s="127"/>
      <c r="F3224" s="128"/>
      <c r="G3224" s="128"/>
      <c r="H3224" s="129"/>
      <c r="I3224" s="130"/>
      <c r="J3224" s="23"/>
      <c r="K3224" s="23"/>
      <c r="L3224" s="23"/>
      <c r="M3224" s="131"/>
      <c r="N3224" s="131"/>
      <c r="O3224" s="131"/>
    </row>
    <row r="3225" spans="4:15" x14ac:dyDescent="0.3">
      <c r="D3225" s="33"/>
      <c r="E3225" s="127"/>
      <c r="F3225" s="128"/>
      <c r="G3225" s="128"/>
      <c r="H3225" s="129"/>
      <c r="I3225" s="130"/>
      <c r="J3225" s="23"/>
      <c r="K3225" s="23"/>
      <c r="L3225" s="23"/>
      <c r="M3225" s="131"/>
      <c r="N3225" s="131"/>
      <c r="O3225" s="131"/>
    </row>
    <row r="3226" spans="4:15" x14ac:dyDescent="0.3">
      <c r="D3226" s="33"/>
      <c r="E3226" s="127"/>
      <c r="F3226" s="128"/>
      <c r="G3226" s="128"/>
      <c r="H3226" s="129"/>
      <c r="I3226" s="130"/>
      <c r="J3226" s="23"/>
      <c r="K3226" s="23"/>
      <c r="L3226" s="23"/>
      <c r="M3226" s="131"/>
      <c r="N3226" s="131"/>
      <c r="O3226" s="131"/>
    </row>
    <row r="3227" spans="4:15" x14ac:dyDescent="0.3">
      <c r="D3227" s="33"/>
      <c r="E3227" s="127"/>
      <c r="F3227" s="128"/>
      <c r="G3227" s="128"/>
      <c r="H3227" s="129"/>
      <c r="I3227" s="130"/>
      <c r="J3227" s="23"/>
      <c r="K3227" s="23"/>
      <c r="L3227" s="23"/>
      <c r="M3227" s="131"/>
      <c r="N3227" s="131"/>
      <c r="O3227" s="131"/>
    </row>
    <row r="3228" spans="4:15" x14ac:dyDescent="0.3">
      <c r="D3228" s="33"/>
      <c r="E3228" s="127"/>
      <c r="F3228" s="128"/>
      <c r="G3228" s="128"/>
      <c r="H3228" s="129"/>
      <c r="I3228" s="130"/>
      <c r="J3228" s="23"/>
      <c r="K3228" s="23"/>
      <c r="L3228" s="23"/>
      <c r="M3228" s="131"/>
      <c r="N3228" s="131"/>
      <c r="O3228" s="131"/>
    </row>
    <row r="3229" spans="4:15" x14ac:dyDescent="0.3">
      <c r="D3229" s="33"/>
      <c r="E3229" s="127"/>
      <c r="F3229" s="128"/>
      <c r="G3229" s="128"/>
      <c r="H3229" s="129"/>
      <c r="I3229" s="130"/>
      <c r="J3229" s="23"/>
      <c r="K3229" s="23"/>
      <c r="L3229" s="23"/>
      <c r="M3229" s="131"/>
      <c r="N3229" s="131"/>
      <c r="O3229" s="131"/>
    </row>
    <row r="3230" spans="4:15" x14ac:dyDescent="0.3">
      <c r="D3230" s="33"/>
      <c r="E3230" s="127"/>
      <c r="F3230" s="128"/>
      <c r="G3230" s="128"/>
      <c r="H3230" s="129"/>
      <c r="I3230" s="130"/>
      <c r="J3230" s="23"/>
      <c r="K3230" s="23"/>
      <c r="L3230" s="23"/>
      <c r="M3230" s="131"/>
      <c r="N3230" s="131"/>
      <c r="O3230" s="131"/>
    </row>
    <row r="3231" spans="4:15" x14ac:dyDescent="0.3">
      <c r="D3231" s="33"/>
      <c r="E3231" s="127"/>
      <c r="F3231" s="128"/>
      <c r="G3231" s="128"/>
      <c r="H3231" s="129"/>
      <c r="I3231" s="130"/>
      <c r="J3231" s="23"/>
      <c r="K3231" s="23"/>
      <c r="L3231" s="23"/>
      <c r="M3231" s="131"/>
      <c r="N3231" s="131"/>
      <c r="O3231" s="131"/>
    </row>
    <row r="3232" spans="4:15" x14ac:dyDescent="0.3">
      <c r="D3232" s="33"/>
      <c r="E3232" s="127"/>
      <c r="F3232" s="128"/>
      <c r="G3232" s="128"/>
      <c r="H3232" s="129"/>
      <c r="I3232" s="130"/>
      <c r="J3232" s="23"/>
      <c r="K3232" s="23"/>
      <c r="L3232" s="23"/>
      <c r="M3232" s="131"/>
      <c r="N3232" s="131"/>
      <c r="O3232" s="131"/>
    </row>
    <row r="3233" spans="4:15" x14ac:dyDescent="0.3">
      <c r="D3233" s="33"/>
      <c r="E3233" s="127"/>
      <c r="F3233" s="128"/>
      <c r="G3233" s="128"/>
      <c r="H3233" s="129"/>
      <c r="I3233" s="130"/>
      <c r="J3233" s="23"/>
      <c r="K3233" s="23"/>
      <c r="L3233" s="23"/>
      <c r="M3233" s="131"/>
      <c r="N3233" s="131"/>
      <c r="O3233" s="131"/>
    </row>
    <row r="3234" spans="4:15" x14ac:dyDescent="0.3">
      <c r="D3234" s="33"/>
      <c r="E3234" s="127"/>
      <c r="F3234" s="128"/>
      <c r="G3234" s="128"/>
      <c r="H3234" s="129"/>
      <c r="I3234" s="130"/>
      <c r="J3234" s="23"/>
      <c r="K3234" s="23"/>
      <c r="L3234" s="23"/>
      <c r="M3234" s="131"/>
      <c r="N3234" s="131"/>
      <c r="O3234" s="131"/>
    </row>
    <row r="3235" spans="4:15" x14ac:dyDescent="0.3">
      <c r="D3235" s="33"/>
      <c r="E3235" s="127"/>
      <c r="F3235" s="128"/>
      <c r="G3235" s="128"/>
      <c r="H3235" s="129"/>
      <c r="I3235" s="130"/>
      <c r="J3235" s="23"/>
      <c r="K3235" s="23"/>
      <c r="L3235" s="23"/>
      <c r="M3235" s="131"/>
      <c r="N3235" s="131"/>
      <c r="O3235" s="131"/>
    </row>
    <row r="3236" spans="4:15" x14ac:dyDescent="0.3">
      <c r="D3236" s="33"/>
      <c r="E3236" s="127"/>
      <c r="F3236" s="128"/>
      <c r="G3236" s="128"/>
      <c r="H3236" s="129"/>
      <c r="I3236" s="130"/>
      <c r="J3236" s="23"/>
      <c r="K3236" s="23"/>
      <c r="L3236" s="23"/>
      <c r="M3236" s="131"/>
      <c r="N3236" s="131"/>
      <c r="O3236" s="131"/>
    </row>
    <row r="3237" spans="4:15" x14ac:dyDescent="0.3">
      <c r="D3237" s="33"/>
      <c r="E3237" s="127"/>
      <c r="F3237" s="128"/>
      <c r="G3237" s="128"/>
      <c r="H3237" s="129"/>
      <c r="I3237" s="130"/>
      <c r="J3237" s="23"/>
      <c r="K3237" s="23"/>
      <c r="L3237" s="23"/>
      <c r="M3237" s="131"/>
      <c r="N3237" s="131"/>
      <c r="O3237" s="131"/>
    </row>
    <row r="3238" spans="4:15" x14ac:dyDescent="0.3">
      <c r="D3238" s="33"/>
      <c r="E3238" s="127"/>
      <c r="F3238" s="128"/>
      <c r="G3238" s="128"/>
      <c r="H3238" s="129"/>
      <c r="I3238" s="130"/>
      <c r="J3238" s="23"/>
      <c r="K3238" s="23"/>
      <c r="L3238" s="23"/>
      <c r="M3238" s="131"/>
      <c r="N3238" s="131"/>
      <c r="O3238" s="131"/>
    </row>
    <row r="3239" spans="4:15" x14ac:dyDescent="0.3">
      <c r="D3239" s="33"/>
      <c r="E3239" s="127"/>
      <c r="F3239" s="128"/>
      <c r="G3239" s="128"/>
      <c r="H3239" s="129"/>
      <c r="I3239" s="130"/>
      <c r="J3239" s="23"/>
      <c r="K3239" s="23"/>
      <c r="L3239" s="23"/>
      <c r="M3239" s="131"/>
      <c r="N3239" s="131"/>
      <c r="O3239" s="131"/>
    </row>
    <row r="3240" spans="4:15" x14ac:dyDescent="0.3">
      <c r="D3240" s="33"/>
      <c r="E3240" s="127"/>
      <c r="F3240" s="128"/>
      <c r="G3240" s="128"/>
      <c r="H3240" s="129"/>
      <c r="I3240" s="130"/>
      <c r="J3240" s="23"/>
      <c r="K3240" s="23"/>
      <c r="L3240" s="23"/>
      <c r="M3240" s="131"/>
      <c r="N3240" s="131"/>
      <c r="O3240" s="131"/>
    </row>
    <row r="3241" spans="4:15" x14ac:dyDescent="0.3">
      <c r="D3241" s="33"/>
      <c r="E3241" s="127"/>
      <c r="F3241" s="128"/>
      <c r="G3241" s="128"/>
      <c r="H3241" s="129"/>
      <c r="I3241" s="130"/>
      <c r="J3241" s="23"/>
      <c r="K3241" s="23"/>
      <c r="L3241" s="23"/>
      <c r="M3241" s="131"/>
      <c r="N3241" s="131"/>
      <c r="O3241" s="131"/>
    </row>
    <row r="3242" spans="4:15" x14ac:dyDescent="0.3">
      <c r="D3242" s="33"/>
      <c r="E3242" s="127"/>
      <c r="F3242" s="128"/>
      <c r="G3242" s="128"/>
      <c r="H3242" s="129"/>
      <c r="I3242" s="130"/>
      <c r="J3242" s="23"/>
      <c r="K3242" s="23"/>
      <c r="L3242" s="23"/>
      <c r="M3242" s="131"/>
      <c r="N3242" s="131"/>
      <c r="O3242" s="131"/>
    </row>
    <row r="3243" spans="4:15" x14ac:dyDescent="0.3">
      <c r="D3243" s="33"/>
      <c r="E3243" s="127"/>
      <c r="F3243" s="128"/>
      <c r="G3243" s="128"/>
      <c r="H3243" s="129"/>
      <c r="I3243" s="130"/>
      <c r="J3243" s="23"/>
      <c r="K3243" s="23"/>
      <c r="L3243" s="23"/>
      <c r="M3243" s="131"/>
      <c r="N3243" s="131"/>
      <c r="O3243" s="131"/>
    </row>
    <row r="3244" spans="4:15" x14ac:dyDescent="0.3">
      <c r="D3244" s="33"/>
      <c r="E3244" s="127"/>
      <c r="F3244" s="128"/>
      <c r="G3244" s="128"/>
      <c r="H3244" s="129"/>
      <c r="I3244" s="130"/>
      <c r="J3244" s="23"/>
      <c r="K3244" s="23"/>
      <c r="L3244" s="23"/>
      <c r="M3244" s="131"/>
      <c r="N3244" s="131"/>
      <c r="O3244" s="131"/>
    </row>
    <row r="3245" spans="4:15" x14ac:dyDescent="0.3">
      <c r="D3245" s="33"/>
      <c r="E3245" s="127"/>
      <c r="F3245" s="128"/>
      <c r="G3245" s="128"/>
      <c r="H3245" s="129"/>
      <c r="I3245" s="130"/>
      <c r="J3245" s="23"/>
      <c r="K3245" s="23"/>
      <c r="L3245" s="23"/>
      <c r="M3245" s="131"/>
      <c r="N3245" s="131"/>
      <c r="O3245" s="131"/>
    </row>
    <row r="3246" spans="4:15" x14ac:dyDescent="0.3">
      <c r="D3246" s="33"/>
      <c r="E3246" s="127"/>
      <c r="F3246" s="128"/>
      <c r="G3246" s="128"/>
      <c r="H3246" s="129"/>
      <c r="I3246" s="130"/>
      <c r="J3246" s="23"/>
      <c r="K3246" s="23"/>
      <c r="L3246" s="23"/>
      <c r="M3246" s="131"/>
      <c r="N3246" s="131"/>
      <c r="O3246" s="131"/>
    </row>
    <row r="3247" spans="4:15" x14ac:dyDescent="0.3">
      <c r="D3247" s="33"/>
      <c r="E3247" s="127"/>
      <c r="F3247" s="128"/>
      <c r="G3247" s="128"/>
      <c r="H3247" s="129"/>
      <c r="I3247" s="130"/>
      <c r="J3247" s="23"/>
      <c r="K3247" s="23"/>
      <c r="L3247" s="23"/>
      <c r="M3247" s="131"/>
      <c r="N3247" s="131"/>
      <c r="O3247" s="131"/>
    </row>
    <row r="3248" spans="4:15" x14ac:dyDescent="0.3">
      <c r="D3248" s="33"/>
      <c r="E3248" s="127"/>
      <c r="F3248" s="128"/>
      <c r="G3248" s="128"/>
      <c r="H3248" s="129"/>
      <c r="I3248" s="130"/>
      <c r="J3248" s="23"/>
      <c r="K3248" s="23"/>
      <c r="L3248" s="23"/>
      <c r="M3248" s="131"/>
      <c r="N3248" s="131"/>
      <c r="O3248" s="131"/>
    </row>
    <row r="3249" spans="4:15" x14ac:dyDescent="0.3">
      <c r="D3249" s="33"/>
      <c r="E3249" s="127"/>
      <c r="F3249" s="128"/>
      <c r="G3249" s="128"/>
      <c r="H3249" s="129"/>
      <c r="I3249" s="130"/>
      <c r="J3249" s="23"/>
      <c r="K3249" s="23"/>
      <c r="L3249" s="23"/>
      <c r="M3249" s="131"/>
      <c r="N3249" s="131"/>
      <c r="O3249" s="131"/>
    </row>
    <row r="3250" spans="4:15" x14ac:dyDescent="0.3">
      <c r="D3250" s="33"/>
      <c r="E3250" s="127"/>
      <c r="F3250" s="128"/>
      <c r="G3250" s="128"/>
      <c r="H3250" s="129"/>
      <c r="I3250" s="130"/>
      <c r="J3250" s="23"/>
      <c r="K3250" s="23"/>
      <c r="L3250" s="23"/>
      <c r="M3250" s="131"/>
      <c r="N3250" s="131"/>
      <c r="O3250" s="131"/>
    </row>
    <row r="3251" spans="4:15" x14ac:dyDescent="0.3">
      <c r="D3251" s="33"/>
      <c r="E3251" s="127"/>
      <c r="F3251" s="128"/>
      <c r="G3251" s="128"/>
      <c r="H3251" s="129"/>
      <c r="I3251" s="130"/>
      <c r="J3251" s="23"/>
      <c r="K3251" s="23"/>
      <c r="L3251" s="23"/>
      <c r="M3251" s="131"/>
      <c r="N3251" s="131"/>
      <c r="O3251" s="131"/>
    </row>
    <row r="3252" spans="4:15" x14ac:dyDescent="0.3">
      <c r="D3252" s="33"/>
      <c r="E3252" s="127"/>
      <c r="F3252" s="128"/>
      <c r="G3252" s="128"/>
      <c r="H3252" s="129"/>
      <c r="I3252" s="130"/>
      <c r="J3252" s="23"/>
      <c r="K3252" s="23"/>
      <c r="L3252" s="23"/>
      <c r="M3252" s="131"/>
      <c r="N3252" s="131"/>
      <c r="O3252" s="131"/>
    </row>
    <row r="3253" spans="4:15" x14ac:dyDescent="0.3">
      <c r="D3253" s="33"/>
      <c r="E3253" s="127"/>
      <c r="F3253" s="128"/>
      <c r="G3253" s="128"/>
      <c r="H3253" s="129"/>
      <c r="I3253" s="130"/>
      <c r="J3253" s="23"/>
      <c r="K3253" s="23"/>
      <c r="L3253" s="23"/>
      <c r="M3253" s="131"/>
      <c r="N3253" s="131"/>
      <c r="O3253" s="131"/>
    </row>
    <row r="3254" spans="4:15" x14ac:dyDescent="0.3">
      <c r="D3254" s="33"/>
      <c r="E3254" s="127"/>
      <c r="F3254" s="128"/>
      <c r="G3254" s="128"/>
      <c r="H3254" s="129"/>
      <c r="I3254" s="130"/>
      <c r="J3254" s="23"/>
      <c r="K3254" s="23"/>
      <c r="L3254" s="23"/>
      <c r="M3254" s="131"/>
      <c r="N3254" s="131"/>
      <c r="O3254" s="131"/>
    </row>
    <row r="3255" spans="4:15" x14ac:dyDescent="0.3">
      <c r="D3255" s="33"/>
      <c r="E3255" s="127"/>
      <c r="F3255" s="128"/>
      <c r="G3255" s="128"/>
      <c r="H3255" s="129"/>
      <c r="I3255" s="130"/>
      <c r="J3255" s="23"/>
      <c r="K3255" s="23"/>
      <c r="L3255" s="23"/>
      <c r="M3255" s="131"/>
      <c r="N3255" s="131"/>
      <c r="O3255" s="131"/>
    </row>
    <row r="3256" spans="4:15" x14ac:dyDescent="0.3">
      <c r="D3256" s="33"/>
      <c r="E3256" s="127"/>
      <c r="F3256" s="128"/>
      <c r="G3256" s="128"/>
      <c r="H3256" s="129"/>
      <c r="I3256" s="130"/>
      <c r="J3256" s="23"/>
      <c r="K3256" s="23"/>
      <c r="L3256" s="23"/>
      <c r="M3256" s="131"/>
      <c r="N3256" s="131"/>
      <c r="O3256" s="131"/>
    </row>
    <row r="3257" spans="4:15" x14ac:dyDescent="0.3">
      <c r="D3257" s="33"/>
      <c r="E3257" s="127"/>
      <c r="F3257" s="128"/>
      <c r="G3257" s="128"/>
      <c r="H3257" s="129"/>
      <c r="I3257" s="130"/>
      <c r="J3257" s="23"/>
      <c r="K3257" s="23"/>
      <c r="L3257" s="23"/>
      <c r="M3257" s="131"/>
      <c r="N3257" s="131"/>
      <c r="O3257" s="131"/>
    </row>
    <row r="3258" spans="4:15" x14ac:dyDescent="0.3">
      <c r="D3258" s="33"/>
      <c r="E3258" s="127"/>
      <c r="F3258" s="128"/>
      <c r="G3258" s="128"/>
      <c r="H3258" s="129"/>
      <c r="I3258" s="130"/>
      <c r="J3258" s="23"/>
      <c r="K3258" s="23"/>
      <c r="L3258" s="23"/>
      <c r="M3258" s="131"/>
      <c r="N3258" s="131"/>
      <c r="O3258" s="131"/>
    </row>
    <row r="3259" spans="4:15" x14ac:dyDescent="0.3">
      <c r="D3259" s="33"/>
      <c r="E3259" s="127"/>
      <c r="F3259" s="128"/>
      <c r="G3259" s="128"/>
      <c r="H3259" s="129"/>
      <c r="I3259" s="130"/>
      <c r="J3259" s="23"/>
      <c r="K3259" s="23"/>
      <c r="L3259" s="23"/>
      <c r="M3259" s="131"/>
      <c r="N3259" s="131"/>
      <c r="O3259" s="131"/>
    </row>
    <row r="3260" spans="4:15" x14ac:dyDescent="0.3">
      <c r="D3260" s="33"/>
      <c r="E3260" s="127"/>
      <c r="F3260" s="128"/>
      <c r="G3260" s="128"/>
      <c r="H3260" s="129"/>
      <c r="I3260" s="130"/>
      <c r="J3260" s="23"/>
      <c r="K3260" s="23"/>
      <c r="L3260" s="23"/>
      <c r="M3260" s="131"/>
      <c r="N3260" s="131"/>
      <c r="O3260" s="131"/>
    </row>
    <row r="3261" spans="4:15" x14ac:dyDescent="0.3">
      <c r="D3261" s="33"/>
      <c r="E3261" s="127"/>
      <c r="F3261" s="128"/>
      <c r="G3261" s="128"/>
      <c r="H3261" s="129"/>
      <c r="I3261" s="130"/>
      <c r="J3261" s="23"/>
      <c r="K3261" s="23"/>
      <c r="L3261" s="23"/>
      <c r="M3261" s="131"/>
      <c r="N3261" s="131"/>
      <c r="O3261" s="131"/>
    </row>
    <row r="3262" spans="4:15" x14ac:dyDescent="0.3">
      <c r="D3262" s="33"/>
      <c r="E3262" s="127"/>
      <c r="F3262" s="128"/>
      <c r="G3262" s="128"/>
      <c r="H3262" s="129"/>
      <c r="I3262" s="130"/>
      <c r="J3262" s="23"/>
      <c r="K3262" s="23"/>
      <c r="L3262" s="23"/>
      <c r="M3262" s="131"/>
      <c r="N3262" s="131"/>
      <c r="O3262" s="131"/>
    </row>
    <row r="3263" spans="4:15" x14ac:dyDescent="0.3">
      <c r="D3263" s="33"/>
      <c r="E3263" s="127"/>
      <c r="F3263" s="128"/>
      <c r="G3263" s="128"/>
      <c r="H3263" s="129"/>
      <c r="I3263" s="130"/>
      <c r="J3263" s="23"/>
      <c r="K3263" s="23"/>
      <c r="L3263" s="23"/>
      <c r="M3263" s="131"/>
      <c r="N3263" s="131"/>
      <c r="O3263" s="131"/>
    </row>
    <row r="3264" spans="4:15" x14ac:dyDescent="0.3">
      <c r="D3264" s="33"/>
      <c r="E3264" s="127"/>
      <c r="F3264" s="128"/>
      <c r="G3264" s="128"/>
      <c r="H3264" s="129"/>
      <c r="I3264" s="130"/>
      <c r="J3264" s="23"/>
      <c r="K3264" s="23"/>
      <c r="L3264" s="23"/>
      <c r="M3264" s="131"/>
      <c r="N3264" s="131"/>
      <c r="O3264" s="131"/>
    </row>
    <row r="3265" spans="4:15" x14ac:dyDescent="0.3">
      <c r="D3265" s="33"/>
      <c r="E3265" s="127"/>
      <c r="F3265" s="128"/>
      <c r="G3265" s="128"/>
      <c r="H3265" s="129"/>
      <c r="I3265" s="130"/>
      <c r="J3265" s="23"/>
      <c r="K3265" s="23"/>
      <c r="L3265" s="23"/>
      <c r="M3265" s="131"/>
      <c r="N3265" s="131"/>
      <c r="O3265" s="131"/>
    </row>
    <row r="3266" spans="4:15" x14ac:dyDescent="0.3">
      <c r="D3266" s="33"/>
      <c r="E3266" s="127"/>
      <c r="F3266" s="128"/>
      <c r="G3266" s="128"/>
      <c r="H3266" s="129"/>
      <c r="I3266" s="130"/>
      <c r="J3266" s="23"/>
      <c r="K3266" s="23"/>
      <c r="L3266" s="23"/>
      <c r="M3266" s="131"/>
      <c r="N3266" s="131"/>
      <c r="O3266" s="131"/>
    </row>
    <row r="3267" spans="4:15" x14ac:dyDescent="0.3">
      <c r="D3267" s="33"/>
      <c r="E3267" s="127"/>
      <c r="F3267" s="128"/>
      <c r="G3267" s="128"/>
      <c r="H3267" s="129"/>
      <c r="I3267" s="130"/>
      <c r="J3267" s="23"/>
      <c r="K3267" s="23"/>
      <c r="L3267" s="23"/>
      <c r="M3267" s="131"/>
      <c r="N3267" s="131"/>
      <c r="O3267" s="131"/>
    </row>
    <row r="3268" spans="4:15" x14ac:dyDescent="0.3">
      <c r="D3268" s="33"/>
      <c r="E3268" s="127"/>
      <c r="F3268" s="128"/>
      <c r="G3268" s="128"/>
      <c r="H3268" s="129"/>
      <c r="I3268" s="130"/>
      <c r="J3268" s="23"/>
      <c r="K3268" s="23"/>
      <c r="L3268" s="23"/>
      <c r="M3268" s="131"/>
      <c r="N3268" s="131"/>
      <c r="O3268" s="131"/>
    </row>
    <row r="3269" spans="4:15" x14ac:dyDescent="0.3">
      <c r="D3269" s="33"/>
      <c r="E3269" s="127"/>
      <c r="F3269" s="128"/>
      <c r="G3269" s="128"/>
      <c r="H3269" s="129"/>
      <c r="I3269" s="130"/>
      <c r="J3269" s="23"/>
      <c r="K3269" s="23"/>
      <c r="L3269" s="23"/>
      <c r="M3269" s="131"/>
      <c r="N3269" s="131"/>
      <c r="O3269" s="131"/>
    </row>
    <row r="3270" spans="4:15" x14ac:dyDescent="0.3">
      <c r="D3270" s="33"/>
      <c r="E3270" s="127"/>
      <c r="F3270" s="128"/>
      <c r="G3270" s="128"/>
      <c r="H3270" s="129"/>
      <c r="I3270" s="130"/>
      <c r="J3270" s="23"/>
      <c r="K3270" s="23"/>
      <c r="L3270" s="23"/>
      <c r="M3270" s="131"/>
      <c r="N3270" s="131"/>
      <c r="O3270" s="131"/>
    </row>
    <row r="3271" spans="4:15" x14ac:dyDescent="0.3">
      <c r="D3271" s="33"/>
      <c r="E3271" s="127"/>
      <c r="F3271" s="128"/>
      <c r="G3271" s="128"/>
      <c r="H3271" s="129"/>
      <c r="I3271" s="130"/>
      <c r="J3271" s="23"/>
      <c r="K3271" s="23"/>
      <c r="L3271" s="23"/>
      <c r="M3271" s="131"/>
      <c r="N3271" s="131"/>
      <c r="O3271" s="131"/>
    </row>
    <row r="3272" spans="4:15" x14ac:dyDescent="0.3">
      <c r="D3272" s="33"/>
      <c r="E3272" s="127"/>
      <c r="F3272" s="128"/>
      <c r="G3272" s="128"/>
      <c r="H3272" s="129"/>
      <c r="I3272" s="130"/>
      <c r="J3272" s="23"/>
      <c r="K3272" s="23"/>
      <c r="L3272" s="23"/>
      <c r="M3272" s="131"/>
      <c r="N3272" s="131"/>
      <c r="O3272" s="131"/>
    </row>
    <row r="3273" spans="4:15" x14ac:dyDescent="0.3">
      <c r="D3273" s="33"/>
      <c r="E3273" s="127"/>
      <c r="F3273" s="128"/>
      <c r="G3273" s="128"/>
      <c r="H3273" s="129"/>
      <c r="I3273" s="130"/>
      <c r="J3273" s="23"/>
      <c r="K3273" s="23"/>
      <c r="L3273" s="23"/>
      <c r="M3273" s="131"/>
      <c r="N3273" s="131"/>
      <c r="O3273" s="131"/>
    </row>
    <row r="3274" spans="4:15" x14ac:dyDescent="0.3">
      <c r="D3274" s="33"/>
      <c r="E3274" s="127"/>
      <c r="F3274" s="128"/>
      <c r="G3274" s="128"/>
      <c r="H3274" s="129"/>
      <c r="I3274" s="130"/>
      <c r="J3274" s="23"/>
      <c r="K3274" s="23"/>
      <c r="L3274" s="23"/>
      <c r="M3274" s="131"/>
      <c r="N3274" s="131"/>
      <c r="O3274" s="131"/>
    </row>
    <row r="3275" spans="4:15" x14ac:dyDescent="0.3">
      <c r="D3275" s="33"/>
      <c r="E3275" s="127"/>
      <c r="F3275" s="128"/>
      <c r="G3275" s="128"/>
      <c r="H3275" s="129"/>
      <c r="I3275" s="130"/>
      <c r="J3275" s="23"/>
      <c r="K3275" s="23"/>
      <c r="L3275" s="23"/>
      <c r="M3275" s="131"/>
      <c r="N3275" s="131"/>
      <c r="O3275" s="131"/>
    </row>
    <row r="3276" spans="4:15" x14ac:dyDescent="0.3">
      <c r="D3276" s="33"/>
      <c r="E3276" s="127"/>
      <c r="F3276" s="128"/>
      <c r="G3276" s="128"/>
      <c r="H3276" s="129"/>
      <c r="I3276" s="130"/>
      <c r="J3276" s="23"/>
      <c r="K3276" s="23"/>
      <c r="L3276" s="23"/>
      <c r="M3276" s="131"/>
      <c r="N3276" s="131"/>
      <c r="O3276" s="131"/>
    </row>
    <row r="3277" spans="4:15" x14ac:dyDescent="0.3">
      <c r="D3277" s="33"/>
      <c r="E3277" s="127"/>
      <c r="F3277" s="128"/>
      <c r="G3277" s="128"/>
      <c r="H3277" s="129"/>
      <c r="I3277" s="130"/>
      <c r="J3277" s="23"/>
      <c r="K3277" s="23"/>
      <c r="L3277" s="23"/>
      <c r="M3277" s="131"/>
      <c r="N3277" s="131"/>
      <c r="O3277" s="131"/>
    </row>
    <row r="3278" spans="4:15" x14ac:dyDescent="0.3">
      <c r="D3278" s="33"/>
      <c r="E3278" s="127"/>
      <c r="F3278" s="128"/>
      <c r="G3278" s="128"/>
      <c r="H3278" s="129"/>
      <c r="I3278" s="130"/>
      <c r="J3278" s="23"/>
      <c r="K3278" s="23"/>
      <c r="L3278" s="23"/>
      <c r="M3278" s="131"/>
      <c r="N3278" s="131"/>
      <c r="O3278" s="131"/>
    </row>
    <row r="3279" spans="4:15" x14ac:dyDescent="0.3">
      <c r="D3279" s="33"/>
      <c r="E3279" s="127"/>
      <c r="F3279" s="128"/>
      <c r="G3279" s="128"/>
      <c r="H3279" s="129"/>
      <c r="I3279" s="130"/>
      <c r="J3279" s="23"/>
      <c r="K3279" s="23"/>
      <c r="L3279" s="23"/>
      <c r="M3279" s="131"/>
      <c r="N3279" s="131"/>
      <c r="O3279" s="131"/>
    </row>
    <row r="3280" spans="4:15" x14ac:dyDescent="0.3">
      <c r="D3280" s="33"/>
      <c r="E3280" s="127"/>
      <c r="F3280" s="128"/>
      <c r="G3280" s="128"/>
      <c r="H3280" s="129"/>
      <c r="I3280" s="130"/>
      <c r="J3280" s="23"/>
      <c r="K3280" s="23"/>
      <c r="L3280" s="23"/>
      <c r="M3280" s="131"/>
      <c r="N3280" s="131"/>
      <c r="O3280" s="131"/>
    </row>
    <row r="3281" spans="4:15" x14ac:dyDescent="0.3">
      <c r="D3281" s="33"/>
      <c r="E3281" s="127"/>
      <c r="F3281" s="128"/>
      <c r="G3281" s="128"/>
      <c r="H3281" s="129"/>
      <c r="I3281" s="130"/>
      <c r="J3281" s="23"/>
      <c r="K3281" s="23"/>
      <c r="L3281" s="23"/>
      <c r="M3281" s="131"/>
      <c r="N3281" s="131"/>
      <c r="O3281" s="131"/>
    </row>
    <row r="3282" spans="4:15" x14ac:dyDescent="0.3">
      <c r="D3282" s="33"/>
      <c r="E3282" s="127"/>
      <c r="F3282" s="128"/>
      <c r="G3282" s="128"/>
      <c r="H3282" s="129"/>
      <c r="I3282" s="130"/>
      <c r="J3282" s="23"/>
      <c r="K3282" s="23"/>
      <c r="L3282" s="23"/>
      <c r="M3282" s="131"/>
      <c r="N3282" s="131"/>
      <c r="O3282" s="131"/>
    </row>
    <row r="3283" spans="4:15" x14ac:dyDescent="0.3">
      <c r="D3283" s="33"/>
      <c r="E3283" s="127"/>
      <c r="F3283" s="128"/>
      <c r="G3283" s="128"/>
      <c r="H3283" s="129"/>
      <c r="I3283" s="130"/>
      <c r="J3283" s="23"/>
      <c r="K3283" s="23"/>
      <c r="L3283" s="23"/>
      <c r="M3283" s="131"/>
      <c r="N3283" s="131"/>
      <c r="O3283" s="131"/>
    </row>
    <row r="3284" spans="4:15" x14ac:dyDescent="0.3">
      <c r="D3284" s="33"/>
      <c r="E3284" s="127"/>
      <c r="F3284" s="128"/>
      <c r="G3284" s="128"/>
      <c r="H3284" s="129"/>
      <c r="I3284" s="130"/>
      <c r="J3284" s="23"/>
      <c r="K3284" s="23"/>
      <c r="L3284" s="23"/>
      <c r="M3284" s="131"/>
      <c r="N3284" s="131"/>
      <c r="O3284" s="131"/>
    </row>
    <row r="3285" spans="4:15" x14ac:dyDescent="0.3">
      <c r="D3285" s="33"/>
      <c r="E3285" s="127"/>
      <c r="F3285" s="128"/>
      <c r="G3285" s="128"/>
      <c r="H3285" s="129"/>
      <c r="I3285" s="130"/>
      <c r="J3285" s="23"/>
      <c r="K3285" s="23"/>
      <c r="L3285" s="23"/>
      <c r="M3285" s="131"/>
      <c r="N3285" s="131"/>
      <c r="O3285" s="131"/>
    </row>
    <row r="3286" spans="4:15" x14ac:dyDescent="0.3">
      <c r="D3286" s="33"/>
      <c r="E3286" s="127"/>
      <c r="F3286" s="128"/>
      <c r="G3286" s="128"/>
      <c r="H3286" s="129"/>
      <c r="I3286" s="130"/>
      <c r="J3286" s="23"/>
      <c r="K3286" s="23"/>
      <c r="L3286" s="23"/>
      <c r="M3286" s="131"/>
      <c r="N3286" s="131"/>
      <c r="O3286" s="131"/>
    </row>
    <row r="3287" spans="4:15" x14ac:dyDescent="0.3">
      <c r="D3287" s="33"/>
      <c r="E3287" s="127"/>
      <c r="F3287" s="128"/>
      <c r="G3287" s="128"/>
      <c r="H3287" s="129"/>
      <c r="I3287" s="130"/>
      <c r="J3287" s="23"/>
      <c r="K3287" s="23"/>
      <c r="L3287" s="23"/>
      <c r="M3287" s="131"/>
      <c r="N3287" s="131"/>
      <c r="O3287" s="131"/>
    </row>
    <row r="3288" spans="4:15" x14ac:dyDescent="0.3">
      <c r="D3288" s="33"/>
      <c r="E3288" s="127"/>
      <c r="F3288" s="128"/>
      <c r="G3288" s="128"/>
      <c r="H3288" s="129"/>
      <c r="I3288" s="130"/>
      <c r="J3288" s="23"/>
      <c r="K3288" s="23"/>
      <c r="L3288" s="23"/>
      <c r="M3288" s="131"/>
      <c r="N3288" s="131"/>
      <c r="O3288" s="131"/>
    </row>
    <row r="3289" spans="4:15" x14ac:dyDescent="0.3">
      <c r="D3289" s="33"/>
      <c r="E3289" s="127"/>
      <c r="F3289" s="128"/>
      <c r="G3289" s="128"/>
      <c r="H3289" s="129"/>
      <c r="I3289" s="130"/>
      <c r="J3289" s="23"/>
      <c r="K3289" s="23"/>
      <c r="L3289" s="23"/>
      <c r="M3289" s="131"/>
      <c r="N3289" s="131"/>
      <c r="O3289" s="131"/>
    </row>
    <row r="3290" spans="4:15" x14ac:dyDescent="0.3">
      <c r="D3290" s="33"/>
      <c r="E3290" s="127"/>
      <c r="F3290" s="128"/>
      <c r="G3290" s="128"/>
      <c r="H3290" s="129"/>
      <c r="I3290" s="130"/>
      <c r="J3290" s="23"/>
      <c r="K3290" s="23"/>
      <c r="L3290" s="23"/>
      <c r="M3290" s="131"/>
      <c r="N3290" s="131"/>
      <c r="O3290" s="131"/>
    </row>
    <row r="3291" spans="4:15" x14ac:dyDescent="0.3">
      <c r="D3291" s="33"/>
      <c r="E3291" s="127"/>
      <c r="F3291" s="128"/>
      <c r="G3291" s="128"/>
      <c r="H3291" s="129"/>
      <c r="I3291" s="130"/>
      <c r="J3291" s="23"/>
      <c r="K3291" s="23"/>
      <c r="L3291" s="23"/>
      <c r="M3291" s="131"/>
      <c r="N3291" s="131"/>
      <c r="O3291" s="131"/>
    </row>
    <row r="3292" spans="4:15" x14ac:dyDescent="0.3">
      <c r="D3292" s="33"/>
      <c r="E3292" s="127"/>
      <c r="F3292" s="128"/>
      <c r="G3292" s="128"/>
      <c r="H3292" s="129"/>
      <c r="I3292" s="130"/>
      <c r="J3292" s="23"/>
      <c r="K3292" s="23"/>
      <c r="L3292" s="23"/>
      <c r="M3292" s="131"/>
      <c r="N3292" s="131"/>
      <c r="O3292" s="131"/>
    </row>
    <row r="3293" spans="4:15" x14ac:dyDescent="0.3">
      <c r="D3293" s="33"/>
      <c r="E3293" s="127"/>
      <c r="F3293" s="128"/>
      <c r="G3293" s="128"/>
      <c r="H3293" s="129"/>
      <c r="I3293" s="130"/>
      <c r="J3293" s="23"/>
      <c r="K3293" s="23"/>
      <c r="L3293" s="23"/>
      <c r="M3293" s="131"/>
      <c r="N3293" s="131"/>
      <c r="O3293" s="131"/>
    </row>
    <row r="3294" spans="4:15" x14ac:dyDescent="0.3">
      <c r="D3294" s="33"/>
      <c r="E3294" s="127"/>
      <c r="F3294" s="128"/>
      <c r="G3294" s="128"/>
      <c r="H3294" s="129"/>
      <c r="I3294" s="130"/>
      <c r="J3294" s="23"/>
      <c r="K3294" s="23"/>
      <c r="L3294" s="23"/>
      <c r="M3294" s="131"/>
      <c r="N3294" s="131"/>
      <c r="O3294" s="131"/>
    </row>
    <row r="3295" spans="4:15" x14ac:dyDescent="0.3">
      <c r="D3295" s="33"/>
      <c r="E3295" s="127"/>
      <c r="F3295" s="128"/>
      <c r="G3295" s="128"/>
      <c r="H3295" s="129"/>
      <c r="I3295" s="130"/>
      <c r="J3295" s="23"/>
      <c r="K3295" s="23"/>
      <c r="L3295" s="23"/>
      <c r="M3295" s="131"/>
      <c r="N3295" s="131"/>
      <c r="O3295" s="131"/>
    </row>
    <row r="3296" spans="4:15" x14ac:dyDescent="0.3">
      <c r="D3296" s="33"/>
      <c r="E3296" s="127"/>
      <c r="F3296" s="128"/>
      <c r="G3296" s="128"/>
      <c r="H3296" s="129"/>
      <c r="I3296" s="130"/>
      <c r="J3296" s="23"/>
      <c r="K3296" s="23"/>
      <c r="L3296" s="23"/>
      <c r="M3296" s="131"/>
      <c r="N3296" s="131"/>
      <c r="O3296" s="131"/>
    </row>
    <row r="3297" spans="4:15" x14ac:dyDescent="0.3">
      <c r="D3297" s="33"/>
      <c r="E3297" s="127"/>
      <c r="F3297" s="128"/>
      <c r="G3297" s="128"/>
      <c r="H3297" s="129"/>
      <c r="I3297" s="130"/>
      <c r="J3297" s="23"/>
      <c r="K3297" s="23"/>
      <c r="L3297" s="23"/>
      <c r="M3297" s="131"/>
      <c r="N3297" s="131"/>
      <c r="O3297" s="131"/>
    </row>
    <row r="3298" spans="4:15" x14ac:dyDescent="0.3">
      <c r="D3298" s="33"/>
      <c r="E3298" s="127"/>
      <c r="F3298" s="128"/>
      <c r="G3298" s="128"/>
      <c r="H3298" s="129"/>
      <c r="I3298" s="130"/>
      <c r="J3298" s="23"/>
      <c r="K3298" s="23"/>
      <c r="L3298" s="23"/>
      <c r="M3298" s="131"/>
      <c r="N3298" s="131"/>
      <c r="O3298" s="131"/>
    </row>
    <row r="3299" spans="4:15" x14ac:dyDescent="0.3">
      <c r="D3299" s="33"/>
      <c r="E3299" s="127"/>
      <c r="F3299" s="128"/>
      <c r="G3299" s="128"/>
      <c r="H3299" s="129"/>
      <c r="I3299" s="130"/>
      <c r="J3299" s="23"/>
      <c r="K3299" s="23"/>
      <c r="L3299" s="23"/>
      <c r="M3299" s="131"/>
      <c r="N3299" s="131"/>
      <c r="O3299" s="131"/>
    </row>
    <row r="3300" spans="4:15" x14ac:dyDescent="0.3">
      <c r="D3300" s="33"/>
      <c r="E3300" s="127"/>
      <c r="F3300" s="128"/>
      <c r="G3300" s="128"/>
      <c r="H3300" s="129"/>
      <c r="I3300" s="130"/>
      <c r="J3300" s="23"/>
      <c r="K3300" s="23"/>
      <c r="L3300" s="23"/>
      <c r="M3300" s="131"/>
      <c r="N3300" s="131"/>
      <c r="O3300" s="131"/>
    </row>
    <row r="3301" spans="4:15" x14ac:dyDescent="0.3">
      <c r="D3301" s="33"/>
      <c r="E3301" s="127"/>
      <c r="F3301" s="128"/>
      <c r="G3301" s="128"/>
      <c r="H3301" s="129"/>
      <c r="I3301" s="130"/>
      <c r="J3301" s="23"/>
      <c r="K3301" s="23"/>
      <c r="L3301" s="23"/>
      <c r="M3301" s="131"/>
      <c r="N3301" s="131"/>
      <c r="O3301" s="131"/>
    </row>
    <row r="3302" spans="4:15" x14ac:dyDescent="0.3">
      <c r="D3302" s="33"/>
      <c r="E3302" s="127"/>
      <c r="F3302" s="128"/>
      <c r="G3302" s="128"/>
      <c r="H3302" s="129"/>
      <c r="I3302" s="130"/>
      <c r="J3302" s="23"/>
      <c r="K3302" s="23"/>
      <c r="L3302" s="23"/>
      <c r="M3302" s="131"/>
      <c r="N3302" s="131"/>
      <c r="O3302" s="131"/>
    </row>
    <row r="3303" spans="4:15" x14ac:dyDescent="0.3">
      <c r="D3303" s="33"/>
      <c r="E3303" s="127"/>
      <c r="F3303" s="128"/>
      <c r="G3303" s="128"/>
      <c r="H3303" s="129"/>
      <c r="I3303" s="130"/>
      <c r="J3303" s="23"/>
      <c r="K3303" s="23"/>
      <c r="L3303" s="23"/>
      <c r="M3303" s="131"/>
      <c r="N3303" s="131"/>
      <c r="O3303" s="131"/>
    </row>
    <row r="3304" spans="4:15" x14ac:dyDescent="0.3">
      <c r="D3304" s="33"/>
      <c r="E3304" s="127"/>
      <c r="F3304" s="128"/>
      <c r="G3304" s="128"/>
      <c r="H3304" s="129"/>
      <c r="I3304" s="130"/>
      <c r="J3304" s="23"/>
      <c r="K3304" s="23"/>
      <c r="L3304" s="23"/>
      <c r="M3304" s="131"/>
      <c r="N3304" s="131"/>
      <c r="O3304" s="131"/>
    </row>
    <row r="3305" spans="4:15" x14ac:dyDescent="0.3">
      <c r="D3305" s="33"/>
      <c r="E3305" s="127"/>
      <c r="F3305" s="128"/>
      <c r="G3305" s="128"/>
      <c r="H3305" s="129"/>
      <c r="I3305" s="130"/>
      <c r="J3305" s="23"/>
      <c r="K3305" s="23"/>
      <c r="L3305" s="23"/>
      <c r="M3305" s="131"/>
      <c r="N3305" s="131"/>
      <c r="O3305" s="131"/>
    </row>
    <row r="3306" spans="4:15" x14ac:dyDescent="0.3">
      <c r="D3306" s="33"/>
      <c r="E3306" s="127"/>
      <c r="F3306" s="128"/>
      <c r="G3306" s="128"/>
      <c r="H3306" s="129"/>
      <c r="I3306" s="130"/>
      <c r="J3306" s="23"/>
      <c r="K3306" s="23"/>
      <c r="L3306" s="23"/>
      <c r="M3306" s="131"/>
      <c r="N3306" s="131"/>
      <c r="O3306" s="131"/>
    </row>
    <row r="3307" spans="4:15" x14ac:dyDescent="0.3">
      <c r="D3307" s="33"/>
      <c r="E3307" s="127"/>
      <c r="F3307" s="128"/>
      <c r="G3307" s="128"/>
      <c r="H3307" s="129"/>
      <c r="I3307" s="130"/>
      <c r="J3307" s="23"/>
      <c r="K3307" s="23"/>
      <c r="L3307" s="23"/>
      <c r="M3307" s="131"/>
      <c r="N3307" s="131"/>
      <c r="O3307" s="131"/>
    </row>
    <row r="3308" spans="4:15" x14ac:dyDescent="0.3">
      <c r="D3308" s="33"/>
      <c r="E3308" s="127"/>
      <c r="F3308" s="128"/>
      <c r="G3308" s="128"/>
      <c r="H3308" s="129"/>
      <c r="I3308" s="130"/>
      <c r="J3308" s="23"/>
      <c r="K3308" s="23"/>
      <c r="L3308" s="23"/>
      <c r="M3308" s="131"/>
      <c r="N3308" s="131"/>
      <c r="O3308" s="131"/>
    </row>
    <row r="3309" spans="4:15" x14ac:dyDescent="0.3">
      <c r="D3309" s="33"/>
      <c r="E3309" s="127"/>
      <c r="F3309" s="128"/>
      <c r="G3309" s="128"/>
      <c r="H3309" s="129"/>
      <c r="I3309" s="130"/>
      <c r="J3309" s="23"/>
      <c r="K3309" s="23"/>
      <c r="L3309" s="23"/>
      <c r="M3309" s="131"/>
      <c r="N3309" s="131"/>
      <c r="O3309" s="131"/>
    </row>
    <row r="3310" spans="4:15" x14ac:dyDescent="0.3">
      <c r="D3310" s="33"/>
      <c r="E3310" s="127"/>
      <c r="F3310" s="128"/>
      <c r="G3310" s="128"/>
      <c r="H3310" s="129"/>
      <c r="I3310" s="130"/>
      <c r="J3310" s="23"/>
      <c r="K3310" s="23"/>
      <c r="L3310" s="23"/>
      <c r="M3310" s="131"/>
      <c r="N3310" s="131"/>
      <c r="O3310" s="131"/>
    </row>
    <row r="3311" spans="4:15" x14ac:dyDescent="0.3">
      <c r="D3311" s="33"/>
      <c r="E3311" s="127"/>
      <c r="F3311" s="128"/>
      <c r="G3311" s="128"/>
      <c r="H3311" s="129"/>
      <c r="I3311" s="130"/>
      <c r="J3311" s="23"/>
      <c r="K3311" s="23"/>
      <c r="L3311" s="23"/>
      <c r="M3311" s="131"/>
      <c r="N3311" s="131"/>
      <c r="O3311" s="131"/>
    </row>
    <row r="3312" spans="4:15" x14ac:dyDescent="0.3">
      <c r="D3312" s="33"/>
      <c r="E3312" s="127"/>
      <c r="F3312" s="128"/>
      <c r="G3312" s="128"/>
      <c r="H3312" s="129"/>
      <c r="I3312" s="130"/>
      <c r="J3312" s="23"/>
      <c r="K3312" s="23"/>
      <c r="L3312" s="23"/>
      <c r="M3312" s="131"/>
      <c r="N3312" s="131"/>
      <c r="O3312" s="131"/>
    </row>
    <row r="3313" spans="4:15" x14ac:dyDescent="0.3">
      <c r="D3313" s="33"/>
      <c r="E3313" s="127"/>
      <c r="F3313" s="128"/>
      <c r="G3313" s="128"/>
      <c r="H3313" s="129"/>
      <c r="I3313" s="130"/>
      <c r="J3313" s="23"/>
      <c r="K3313" s="23"/>
      <c r="L3313" s="23"/>
      <c r="M3313" s="131"/>
      <c r="N3313" s="131"/>
      <c r="O3313" s="131"/>
    </row>
    <row r="3314" spans="4:15" x14ac:dyDescent="0.3">
      <c r="D3314" s="33"/>
      <c r="E3314" s="127"/>
      <c r="F3314" s="128"/>
      <c r="G3314" s="128"/>
      <c r="H3314" s="129"/>
      <c r="I3314" s="130"/>
      <c r="J3314" s="23"/>
      <c r="K3314" s="23"/>
      <c r="L3314" s="23"/>
      <c r="M3314" s="131"/>
      <c r="N3314" s="131"/>
      <c r="O3314" s="131"/>
    </row>
    <row r="3315" spans="4:15" x14ac:dyDescent="0.3">
      <c r="D3315" s="33"/>
      <c r="E3315" s="127"/>
      <c r="F3315" s="128"/>
      <c r="G3315" s="128"/>
      <c r="H3315" s="129"/>
      <c r="I3315" s="130"/>
      <c r="J3315" s="23"/>
      <c r="K3315" s="23"/>
      <c r="L3315" s="23"/>
      <c r="M3315" s="131"/>
      <c r="N3315" s="131"/>
      <c r="O3315" s="131"/>
    </row>
    <row r="3316" spans="4:15" x14ac:dyDescent="0.3">
      <c r="D3316" s="33"/>
      <c r="E3316" s="127"/>
      <c r="F3316" s="128"/>
      <c r="G3316" s="128"/>
      <c r="H3316" s="129"/>
      <c r="I3316" s="130"/>
      <c r="J3316" s="23"/>
      <c r="K3316" s="23"/>
      <c r="L3316" s="23"/>
      <c r="M3316" s="131"/>
      <c r="N3316" s="131"/>
      <c r="O3316" s="131"/>
    </row>
    <row r="3317" spans="4:15" x14ac:dyDescent="0.3">
      <c r="D3317" s="33"/>
      <c r="E3317" s="127"/>
      <c r="F3317" s="128"/>
      <c r="G3317" s="128"/>
      <c r="H3317" s="129"/>
      <c r="I3317" s="130"/>
      <c r="J3317" s="23"/>
      <c r="K3317" s="23"/>
      <c r="L3317" s="23"/>
      <c r="M3317" s="131"/>
      <c r="N3317" s="131"/>
      <c r="O3317" s="131"/>
    </row>
    <row r="3318" spans="4:15" x14ac:dyDescent="0.3">
      <c r="D3318" s="33"/>
      <c r="E3318" s="127"/>
      <c r="F3318" s="128"/>
      <c r="G3318" s="128"/>
      <c r="H3318" s="129"/>
      <c r="I3318" s="130"/>
      <c r="J3318" s="23"/>
      <c r="K3318" s="23"/>
      <c r="L3318" s="23"/>
      <c r="M3318" s="131"/>
      <c r="N3318" s="131"/>
      <c r="O3318" s="131"/>
    </row>
    <row r="3319" spans="4:15" x14ac:dyDescent="0.3">
      <c r="D3319" s="33"/>
      <c r="E3319" s="127"/>
      <c r="F3319" s="128"/>
      <c r="G3319" s="128"/>
      <c r="H3319" s="129"/>
      <c r="I3319" s="130"/>
      <c r="J3319" s="23"/>
      <c r="K3319" s="23"/>
      <c r="L3319" s="23"/>
      <c r="M3319" s="131"/>
      <c r="N3319" s="131"/>
      <c r="O3319" s="131"/>
    </row>
    <row r="3320" spans="4:15" x14ac:dyDescent="0.3">
      <c r="D3320" s="33"/>
      <c r="E3320" s="127"/>
      <c r="F3320" s="128"/>
      <c r="G3320" s="128"/>
      <c r="H3320" s="129"/>
      <c r="I3320" s="130"/>
      <c r="J3320" s="23"/>
      <c r="K3320" s="23"/>
      <c r="L3320" s="23"/>
      <c r="M3320" s="131"/>
      <c r="N3320" s="131"/>
      <c r="O3320" s="131"/>
    </row>
    <row r="3321" spans="4:15" x14ac:dyDescent="0.3">
      <c r="D3321" s="33"/>
      <c r="E3321" s="127"/>
      <c r="F3321" s="128"/>
      <c r="G3321" s="128"/>
      <c r="H3321" s="129"/>
      <c r="I3321" s="130"/>
      <c r="J3321" s="23"/>
      <c r="K3321" s="23"/>
      <c r="L3321" s="23"/>
      <c r="M3321" s="131"/>
      <c r="N3321" s="131"/>
      <c r="O3321" s="131"/>
    </row>
    <row r="3322" spans="4:15" x14ac:dyDescent="0.3">
      <c r="D3322" s="33"/>
      <c r="E3322" s="127"/>
      <c r="F3322" s="128"/>
      <c r="G3322" s="128"/>
      <c r="H3322" s="129"/>
      <c r="I3322" s="130"/>
      <c r="J3322" s="23"/>
      <c r="K3322" s="23"/>
      <c r="L3322" s="23"/>
      <c r="M3322" s="131"/>
      <c r="N3322" s="131"/>
      <c r="O3322" s="131"/>
    </row>
    <row r="3323" spans="4:15" x14ac:dyDescent="0.3">
      <c r="D3323" s="33"/>
      <c r="E3323" s="127"/>
      <c r="F3323" s="128"/>
      <c r="G3323" s="128"/>
      <c r="H3323" s="129"/>
      <c r="I3323" s="130"/>
      <c r="J3323" s="23"/>
      <c r="K3323" s="23"/>
      <c r="L3323" s="23"/>
      <c r="M3323" s="131"/>
      <c r="N3323" s="131"/>
      <c r="O3323" s="131"/>
    </row>
    <row r="3324" spans="4:15" x14ac:dyDescent="0.3">
      <c r="D3324" s="33"/>
      <c r="E3324" s="127"/>
      <c r="F3324" s="128"/>
      <c r="G3324" s="128"/>
      <c r="H3324" s="129"/>
      <c r="I3324" s="130"/>
      <c r="J3324" s="23"/>
      <c r="K3324" s="23"/>
      <c r="L3324" s="23"/>
      <c r="M3324" s="131"/>
      <c r="N3324" s="131"/>
      <c r="O3324" s="131"/>
    </row>
    <row r="3325" spans="4:15" x14ac:dyDescent="0.3">
      <c r="D3325" s="33"/>
      <c r="E3325" s="127"/>
      <c r="F3325" s="128"/>
      <c r="G3325" s="128"/>
      <c r="H3325" s="129"/>
      <c r="I3325" s="130"/>
      <c r="J3325" s="23"/>
      <c r="K3325" s="23"/>
      <c r="L3325" s="23"/>
      <c r="M3325" s="131"/>
      <c r="N3325" s="131"/>
      <c r="O3325" s="131"/>
    </row>
    <row r="3326" spans="4:15" x14ac:dyDescent="0.3">
      <c r="D3326" s="33"/>
      <c r="E3326" s="127"/>
      <c r="F3326" s="128"/>
      <c r="G3326" s="128"/>
      <c r="H3326" s="129"/>
      <c r="I3326" s="130"/>
      <c r="J3326" s="23"/>
      <c r="K3326" s="23"/>
      <c r="L3326" s="23"/>
      <c r="M3326" s="131"/>
      <c r="N3326" s="131"/>
      <c r="O3326" s="131"/>
    </row>
    <row r="3327" spans="4:15" x14ac:dyDescent="0.3">
      <c r="D3327" s="33"/>
      <c r="E3327" s="127"/>
      <c r="F3327" s="128"/>
      <c r="G3327" s="128"/>
      <c r="H3327" s="129"/>
      <c r="I3327" s="130"/>
      <c r="J3327" s="23"/>
      <c r="K3327" s="23"/>
      <c r="L3327" s="23"/>
      <c r="M3327" s="131"/>
      <c r="N3327" s="131"/>
      <c r="O3327" s="131"/>
    </row>
    <row r="3328" spans="4:15" x14ac:dyDescent="0.3">
      <c r="D3328" s="33"/>
      <c r="E3328" s="127"/>
      <c r="F3328" s="128"/>
      <c r="G3328" s="128"/>
      <c r="H3328" s="129"/>
      <c r="I3328" s="130"/>
      <c r="J3328" s="23"/>
      <c r="K3328" s="23"/>
      <c r="L3328" s="23"/>
      <c r="M3328" s="131"/>
      <c r="N3328" s="131"/>
      <c r="O3328" s="131"/>
    </row>
    <row r="3329" spans="4:15" x14ac:dyDescent="0.3">
      <c r="D3329" s="33"/>
      <c r="E3329" s="127"/>
      <c r="F3329" s="128"/>
      <c r="G3329" s="128"/>
      <c r="H3329" s="129"/>
      <c r="I3329" s="130"/>
      <c r="J3329" s="23"/>
      <c r="K3329" s="23"/>
      <c r="L3329" s="23"/>
      <c r="M3329" s="131"/>
      <c r="N3329" s="131"/>
      <c r="O3329" s="131"/>
    </row>
    <row r="3330" spans="4:15" x14ac:dyDescent="0.3">
      <c r="D3330" s="33"/>
      <c r="E3330" s="127"/>
      <c r="F3330" s="128"/>
      <c r="G3330" s="128"/>
      <c r="H3330" s="129"/>
      <c r="I3330" s="130"/>
      <c r="J3330" s="23"/>
      <c r="K3330" s="23"/>
      <c r="L3330" s="23"/>
      <c r="M3330" s="131"/>
      <c r="N3330" s="131"/>
      <c r="O3330" s="131"/>
    </row>
    <row r="3331" spans="4:15" x14ac:dyDescent="0.3">
      <c r="D3331" s="33"/>
      <c r="E3331" s="127"/>
      <c r="F3331" s="128"/>
      <c r="G3331" s="128"/>
      <c r="H3331" s="129"/>
      <c r="I3331" s="130"/>
      <c r="J3331" s="23"/>
      <c r="K3331" s="23"/>
      <c r="L3331" s="23"/>
      <c r="M3331" s="131"/>
      <c r="N3331" s="131"/>
      <c r="O3331" s="131"/>
    </row>
    <row r="3332" spans="4:15" x14ac:dyDescent="0.3">
      <c r="D3332" s="33"/>
      <c r="E3332" s="127"/>
      <c r="F3332" s="128"/>
      <c r="G3332" s="128"/>
      <c r="H3332" s="129"/>
      <c r="I3332" s="130"/>
      <c r="J3332" s="23"/>
      <c r="K3332" s="23"/>
      <c r="L3332" s="23"/>
      <c r="M3332" s="131"/>
      <c r="N3332" s="131"/>
      <c r="O3332" s="131"/>
    </row>
    <row r="3333" spans="4:15" x14ac:dyDescent="0.3">
      <c r="D3333" s="33"/>
      <c r="E3333" s="127"/>
      <c r="F3333" s="128"/>
      <c r="G3333" s="128"/>
      <c r="H3333" s="129"/>
      <c r="I3333" s="130"/>
      <c r="J3333" s="23"/>
      <c r="K3333" s="23"/>
      <c r="L3333" s="23"/>
      <c r="M3333" s="131"/>
      <c r="N3333" s="131"/>
      <c r="O3333" s="131"/>
    </row>
    <row r="3334" spans="4:15" x14ac:dyDescent="0.3">
      <c r="D3334" s="33"/>
      <c r="E3334" s="127"/>
      <c r="F3334" s="128"/>
      <c r="G3334" s="128"/>
      <c r="H3334" s="129"/>
      <c r="I3334" s="130"/>
      <c r="J3334" s="23"/>
      <c r="K3334" s="23"/>
      <c r="L3334" s="23"/>
      <c r="M3334" s="131"/>
      <c r="N3334" s="131"/>
      <c r="O3334" s="131"/>
    </row>
    <row r="3335" spans="4:15" x14ac:dyDescent="0.3">
      <c r="D3335" s="33"/>
      <c r="E3335" s="127"/>
      <c r="F3335" s="128"/>
      <c r="G3335" s="128"/>
      <c r="H3335" s="129"/>
      <c r="I3335" s="130"/>
      <c r="J3335" s="23"/>
      <c r="K3335" s="23"/>
      <c r="L3335" s="23"/>
      <c r="M3335" s="131"/>
      <c r="N3335" s="131"/>
      <c r="O3335" s="131"/>
    </row>
    <row r="3336" spans="4:15" x14ac:dyDescent="0.3">
      <c r="D3336" s="33"/>
      <c r="E3336" s="127"/>
      <c r="F3336" s="128"/>
      <c r="G3336" s="128"/>
      <c r="H3336" s="129"/>
      <c r="I3336" s="130"/>
      <c r="J3336" s="23"/>
      <c r="K3336" s="23"/>
      <c r="L3336" s="23"/>
      <c r="M3336" s="131"/>
      <c r="N3336" s="131"/>
      <c r="O3336" s="131"/>
    </row>
    <row r="3337" spans="4:15" x14ac:dyDescent="0.3">
      <c r="D3337" s="33"/>
      <c r="E3337" s="127"/>
      <c r="F3337" s="128"/>
      <c r="G3337" s="128"/>
      <c r="H3337" s="129"/>
      <c r="I3337" s="130"/>
      <c r="J3337" s="23"/>
      <c r="K3337" s="23"/>
      <c r="L3337" s="23"/>
      <c r="M3337" s="131"/>
      <c r="N3337" s="131"/>
      <c r="O3337" s="131"/>
    </row>
    <row r="3338" spans="4:15" x14ac:dyDescent="0.3">
      <c r="D3338" s="33"/>
      <c r="E3338" s="127"/>
      <c r="F3338" s="128"/>
      <c r="G3338" s="128"/>
      <c r="H3338" s="129"/>
      <c r="I3338" s="130"/>
      <c r="J3338" s="23"/>
      <c r="K3338" s="23"/>
      <c r="L3338" s="23"/>
      <c r="M3338" s="131"/>
      <c r="N3338" s="131"/>
      <c r="O3338" s="131"/>
    </row>
    <row r="3339" spans="4:15" x14ac:dyDescent="0.3">
      <c r="D3339" s="33"/>
      <c r="E3339" s="127"/>
      <c r="F3339" s="128"/>
      <c r="G3339" s="128"/>
      <c r="H3339" s="129"/>
      <c r="I3339" s="130"/>
      <c r="J3339" s="23"/>
      <c r="K3339" s="23"/>
      <c r="L3339" s="23"/>
      <c r="M3339" s="131"/>
      <c r="N3339" s="131"/>
      <c r="O3339" s="131"/>
    </row>
    <row r="3340" spans="4:15" x14ac:dyDescent="0.3">
      <c r="D3340" s="33"/>
      <c r="E3340" s="127"/>
      <c r="F3340" s="128"/>
      <c r="G3340" s="128"/>
      <c r="H3340" s="129"/>
      <c r="I3340" s="130"/>
      <c r="J3340" s="23"/>
      <c r="K3340" s="23"/>
      <c r="L3340" s="23"/>
      <c r="M3340" s="131"/>
      <c r="N3340" s="131"/>
      <c r="O3340" s="131"/>
    </row>
    <row r="3341" spans="4:15" x14ac:dyDescent="0.3">
      <c r="D3341" s="33"/>
      <c r="E3341" s="127"/>
      <c r="F3341" s="128"/>
      <c r="G3341" s="128"/>
      <c r="H3341" s="129"/>
      <c r="I3341" s="130"/>
      <c r="J3341" s="23"/>
      <c r="K3341" s="23"/>
      <c r="L3341" s="23"/>
      <c r="M3341" s="131"/>
      <c r="N3341" s="131"/>
      <c r="O3341" s="131"/>
    </row>
    <row r="3342" spans="4:15" x14ac:dyDescent="0.3">
      <c r="D3342" s="33"/>
      <c r="E3342" s="127"/>
      <c r="F3342" s="128"/>
      <c r="G3342" s="128"/>
      <c r="H3342" s="129"/>
      <c r="I3342" s="130"/>
      <c r="J3342" s="23"/>
      <c r="K3342" s="23"/>
      <c r="L3342" s="23"/>
      <c r="M3342" s="131"/>
      <c r="N3342" s="131"/>
      <c r="O3342" s="131"/>
    </row>
    <row r="3343" spans="4:15" x14ac:dyDescent="0.3">
      <c r="D3343" s="33"/>
      <c r="E3343" s="127"/>
      <c r="F3343" s="128"/>
      <c r="G3343" s="128"/>
      <c r="H3343" s="129"/>
      <c r="I3343" s="130"/>
      <c r="J3343" s="23"/>
      <c r="K3343" s="23"/>
      <c r="L3343" s="23"/>
      <c r="M3343" s="131"/>
      <c r="N3343" s="131"/>
      <c r="O3343" s="131"/>
    </row>
    <row r="3344" spans="4:15" x14ac:dyDescent="0.3">
      <c r="D3344" s="33"/>
      <c r="E3344" s="127"/>
      <c r="F3344" s="128"/>
      <c r="G3344" s="128"/>
      <c r="H3344" s="129"/>
      <c r="I3344" s="130"/>
      <c r="J3344" s="23"/>
      <c r="K3344" s="23"/>
      <c r="L3344" s="23"/>
      <c r="M3344" s="131"/>
      <c r="N3344" s="131"/>
      <c r="O3344" s="131"/>
    </row>
    <row r="3345" spans="4:15" x14ac:dyDescent="0.3">
      <c r="D3345" s="33"/>
      <c r="E3345" s="127"/>
      <c r="F3345" s="128"/>
      <c r="G3345" s="128"/>
      <c r="H3345" s="129"/>
      <c r="I3345" s="130"/>
      <c r="J3345" s="23"/>
      <c r="K3345" s="23"/>
      <c r="L3345" s="23"/>
      <c r="M3345" s="131"/>
      <c r="N3345" s="131"/>
      <c r="O3345" s="131"/>
    </row>
    <row r="3346" spans="4:15" x14ac:dyDescent="0.3">
      <c r="D3346" s="33"/>
      <c r="E3346" s="127"/>
      <c r="F3346" s="128"/>
      <c r="G3346" s="128"/>
      <c r="H3346" s="129"/>
      <c r="I3346" s="130"/>
      <c r="J3346" s="23"/>
      <c r="K3346" s="23"/>
      <c r="L3346" s="23"/>
      <c r="M3346" s="131"/>
      <c r="N3346" s="131"/>
      <c r="O3346" s="131"/>
    </row>
    <row r="3347" spans="4:15" x14ac:dyDescent="0.3">
      <c r="D3347" s="33"/>
      <c r="E3347" s="127"/>
      <c r="F3347" s="128"/>
      <c r="G3347" s="128"/>
      <c r="H3347" s="129"/>
      <c r="I3347" s="130"/>
      <c r="J3347" s="23"/>
      <c r="K3347" s="23"/>
      <c r="L3347" s="23"/>
      <c r="M3347" s="131"/>
      <c r="N3347" s="131"/>
      <c r="O3347" s="131"/>
    </row>
    <row r="3348" spans="4:15" x14ac:dyDescent="0.3">
      <c r="D3348" s="33"/>
      <c r="E3348" s="127"/>
      <c r="F3348" s="128"/>
      <c r="G3348" s="128"/>
      <c r="H3348" s="129"/>
      <c r="I3348" s="130"/>
      <c r="J3348" s="23"/>
      <c r="K3348" s="23"/>
      <c r="L3348" s="23"/>
      <c r="M3348" s="131"/>
      <c r="N3348" s="131"/>
      <c r="O3348" s="131"/>
    </row>
    <row r="3349" spans="4:15" x14ac:dyDescent="0.3">
      <c r="D3349" s="33"/>
      <c r="E3349" s="127"/>
      <c r="F3349" s="128"/>
      <c r="G3349" s="128"/>
      <c r="H3349" s="129"/>
      <c r="I3349" s="130"/>
      <c r="J3349" s="23"/>
      <c r="K3349" s="23"/>
      <c r="L3349" s="23"/>
      <c r="M3349" s="131"/>
      <c r="N3349" s="131"/>
      <c r="O3349" s="131"/>
    </row>
    <row r="3350" spans="4:15" x14ac:dyDescent="0.3">
      <c r="D3350" s="33"/>
      <c r="E3350" s="127"/>
      <c r="F3350" s="128"/>
      <c r="G3350" s="128"/>
      <c r="H3350" s="129"/>
      <c r="I3350" s="130"/>
      <c r="J3350" s="23"/>
      <c r="K3350" s="23"/>
      <c r="L3350" s="23"/>
      <c r="M3350" s="131"/>
      <c r="N3350" s="131"/>
      <c r="O3350" s="131"/>
    </row>
    <row r="3351" spans="4:15" x14ac:dyDescent="0.3">
      <c r="D3351" s="33"/>
      <c r="E3351" s="127"/>
      <c r="F3351" s="128"/>
      <c r="G3351" s="128"/>
      <c r="H3351" s="129"/>
      <c r="I3351" s="130"/>
      <c r="J3351" s="23"/>
      <c r="K3351" s="23"/>
      <c r="L3351" s="23"/>
      <c r="M3351" s="131"/>
      <c r="N3351" s="131"/>
      <c r="O3351" s="131"/>
    </row>
    <row r="3352" spans="4:15" x14ac:dyDescent="0.3">
      <c r="D3352" s="33"/>
      <c r="E3352" s="127"/>
      <c r="F3352" s="128"/>
      <c r="G3352" s="128"/>
      <c r="H3352" s="129"/>
      <c r="I3352" s="130"/>
      <c r="J3352" s="23"/>
      <c r="K3352" s="23"/>
      <c r="L3352" s="23"/>
      <c r="M3352" s="131"/>
      <c r="N3352" s="131"/>
      <c r="O3352" s="131"/>
    </row>
    <row r="3353" spans="4:15" x14ac:dyDescent="0.3">
      <c r="D3353" s="33"/>
      <c r="E3353" s="127"/>
      <c r="F3353" s="128"/>
      <c r="G3353" s="128"/>
      <c r="H3353" s="129"/>
      <c r="I3353" s="130"/>
      <c r="J3353" s="23"/>
      <c r="K3353" s="23"/>
      <c r="L3353" s="23"/>
      <c r="M3353" s="131"/>
      <c r="N3353" s="131"/>
      <c r="O3353" s="131"/>
    </row>
    <row r="3354" spans="4:15" x14ac:dyDescent="0.3">
      <c r="D3354" s="33"/>
      <c r="E3354" s="127"/>
      <c r="F3354" s="128"/>
      <c r="G3354" s="128"/>
      <c r="H3354" s="129"/>
      <c r="I3354" s="130"/>
      <c r="J3354" s="23"/>
      <c r="K3354" s="23"/>
      <c r="L3354" s="23"/>
      <c r="M3354" s="131"/>
      <c r="N3354" s="131"/>
      <c r="O3354" s="131"/>
    </row>
    <row r="3355" spans="4:15" x14ac:dyDescent="0.3">
      <c r="D3355" s="33"/>
      <c r="E3355" s="127"/>
      <c r="F3355" s="128"/>
      <c r="G3355" s="128"/>
      <c r="H3355" s="129"/>
      <c r="I3355" s="130"/>
      <c r="J3355" s="23"/>
      <c r="K3355" s="23"/>
      <c r="L3355" s="23"/>
      <c r="M3355" s="131"/>
      <c r="N3355" s="131"/>
      <c r="O3355" s="131"/>
    </row>
    <row r="3356" spans="4:15" x14ac:dyDescent="0.3">
      <c r="D3356" s="33"/>
      <c r="E3356" s="127"/>
      <c r="F3356" s="128"/>
      <c r="G3356" s="128"/>
      <c r="H3356" s="129"/>
      <c r="I3356" s="130"/>
      <c r="J3356" s="23"/>
      <c r="K3356" s="23"/>
      <c r="L3356" s="23"/>
      <c r="M3356" s="131"/>
      <c r="N3356" s="131"/>
      <c r="O3356" s="131"/>
    </row>
    <row r="3357" spans="4:15" x14ac:dyDescent="0.3">
      <c r="D3357" s="33"/>
      <c r="E3357" s="127"/>
      <c r="F3357" s="128"/>
      <c r="G3357" s="128"/>
      <c r="H3357" s="129"/>
      <c r="I3357" s="130"/>
      <c r="J3357" s="23"/>
      <c r="K3357" s="23"/>
      <c r="L3357" s="23"/>
      <c r="M3357" s="131"/>
      <c r="N3357" s="131"/>
      <c r="O3357" s="131"/>
    </row>
    <row r="3358" spans="4:15" x14ac:dyDescent="0.3">
      <c r="D3358" s="33"/>
      <c r="E3358" s="127"/>
      <c r="F3358" s="128"/>
      <c r="G3358" s="128"/>
      <c r="H3358" s="129"/>
      <c r="I3358" s="130"/>
      <c r="J3358" s="23"/>
      <c r="K3358" s="23"/>
      <c r="L3358" s="23"/>
      <c r="M3358" s="131"/>
      <c r="N3358" s="131"/>
      <c r="O3358" s="131"/>
    </row>
    <row r="3359" spans="4:15" x14ac:dyDescent="0.3">
      <c r="D3359" s="33"/>
      <c r="E3359" s="127"/>
      <c r="F3359" s="128"/>
      <c r="G3359" s="128"/>
      <c r="H3359" s="129"/>
      <c r="I3359" s="130"/>
      <c r="J3359" s="23"/>
      <c r="K3359" s="23"/>
      <c r="L3359" s="23"/>
      <c r="M3359" s="131"/>
      <c r="N3359" s="131"/>
      <c r="O3359" s="131"/>
    </row>
    <row r="3360" spans="4:15" x14ac:dyDescent="0.3">
      <c r="D3360" s="33"/>
      <c r="E3360" s="127"/>
      <c r="F3360" s="128"/>
      <c r="G3360" s="128"/>
      <c r="H3360" s="129"/>
      <c r="I3360" s="130"/>
      <c r="J3360" s="23"/>
      <c r="K3360" s="23"/>
      <c r="L3360" s="23"/>
      <c r="M3360" s="131"/>
      <c r="N3360" s="131"/>
      <c r="O3360" s="131"/>
    </row>
    <row r="3361" spans="4:15" x14ac:dyDescent="0.3">
      <c r="D3361" s="33"/>
      <c r="E3361" s="127"/>
      <c r="F3361" s="128"/>
      <c r="G3361" s="128"/>
      <c r="H3361" s="129"/>
      <c r="I3361" s="130"/>
      <c r="J3361" s="23"/>
      <c r="K3361" s="23"/>
      <c r="L3361" s="23"/>
      <c r="M3361" s="131"/>
      <c r="N3361" s="131"/>
      <c r="O3361" s="131"/>
    </row>
    <row r="3362" spans="4:15" x14ac:dyDescent="0.3">
      <c r="D3362" s="33"/>
      <c r="E3362" s="127"/>
      <c r="F3362" s="128"/>
      <c r="G3362" s="128"/>
      <c r="H3362" s="129"/>
      <c r="I3362" s="130"/>
      <c r="J3362" s="23"/>
      <c r="K3362" s="23"/>
      <c r="L3362" s="23"/>
      <c r="M3362" s="131"/>
      <c r="N3362" s="131"/>
      <c r="O3362" s="131"/>
    </row>
    <row r="3363" spans="4:15" x14ac:dyDescent="0.3">
      <c r="D3363" s="33"/>
      <c r="E3363" s="127"/>
      <c r="F3363" s="128"/>
      <c r="G3363" s="128"/>
      <c r="H3363" s="129"/>
      <c r="I3363" s="130"/>
      <c r="J3363" s="23"/>
      <c r="K3363" s="23"/>
      <c r="L3363" s="23"/>
      <c r="M3363" s="131"/>
      <c r="N3363" s="131"/>
      <c r="O3363" s="131"/>
    </row>
    <row r="3364" spans="4:15" x14ac:dyDescent="0.3">
      <c r="D3364" s="33"/>
      <c r="E3364" s="127"/>
      <c r="F3364" s="128"/>
      <c r="G3364" s="128"/>
      <c r="H3364" s="129"/>
      <c r="I3364" s="130"/>
      <c r="J3364" s="23"/>
      <c r="K3364" s="23"/>
      <c r="L3364" s="23"/>
      <c r="M3364" s="131"/>
      <c r="N3364" s="131"/>
      <c r="O3364" s="131"/>
    </row>
    <row r="3365" spans="4:15" x14ac:dyDescent="0.3">
      <c r="D3365" s="33"/>
      <c r="E3365" s="127"/>
      <c r="F3365" s="128"/>
      <c r="G3365" s="128"/>
      <c r="H3365" s="129"/>
      <c r="I3365" s="130"/>
      <c r="J3365" s="23"/>
      <c r="K3365" s="23"/>
      <c r="L3365" s="23"/>
      <c r="M3365" s="131"/>
      <c r="N3365" s="131"/>
      <c r="O3365" s="131"/>
    </row>
    <row r="3366" spans="4:15" x14ac:dyDescent="0.3">
      <c r="D3366" s="33"/>
      <c r="E3366" s="127"/>
      <c r="F3366" s="128"/>
      <c r="G3366" s="128"/>
      <c r="H3366" s="129"/>
      <c r="I3366" s="130"/>
      <c r="J3366" s="23"/>
      <c r="K3366" s="23"/>
      <c r="L3366" s="23"/>
      <c r="M3366" s="131"/>
      <c r="N3366" s="131"/>
      <c r="O3366" s="131"/>
    </row>
    <row r="3367" spans="4:15" x14ac:dyDescent="0.3">
      <c r="D3367" s="33"/>
      <c r="E3367" s="127"/>
      <c r="F3367" s="128"/>
      <c r="G3367" s="128"/>
      <c r="H3367" s="129"/>
      <c r="I3367" s="130"/>
      <c r="J3367" s="23"/>
      <c r="K3367" s="23"/>
      <c r="L3367" s="23"/>
      <c r="M3367" s="131"/>
      <c r="N3367" s="131"/>
      <c r="O3367" s="131"/>
    </row>
    <row r="3368" spans="4:15" x14ac:dyDescent="0.3">
      <c r="D3368" s="33"/>
      <c r="E3368" s="127"/>
      <c r="F3368" s="128"/>
      <c r="G3368" s="128"/>
      <c r="H3368" s="129"/>
      <c r="I3368" s="130"/>
      <c r="J3368" s="23"/>
      <c r="K3368" s="23"/>
      <c r="L3368" s="23"/>
      <c r="M3368" s="131"/>
      <c r="N3368" s="131"/>
      <c r="O3368" s="131"/>
    </row>
    <row r="3369" spans="4:15" x14ac:dyDescent="0.3">
      <c r="D3369" s="33"/>
      <c r="E3369" s="127"/>
      <c r="F3369" s="128"/>
      <c r="G3369" s="128"/>
      <c r="H3369" s="129"/>
      <c r="I3369" s="130"/>
      <c r="J3369" s="23"/>
      <c r="K3369" s="23"/>
      <c r="L3369" s="23"/>
      <c r="M3369" s="131"/>
      <c r="N3369" s="131"/>
      <c r="O3369" s="131"/>
    </row>
    <row r="3370" spans="4:15" x14ac:dyDescent="0.3">
      <c r="D3370" s="33"/>
      <c r="E3370" s="127"/>
      <c r="F3370" s="128"/>
      <c r="G3370" s="128"/>
      <c r="H3370" s="129"/>
      <c r="I3370" s="130"/>
      <c r="J3370" s="23"/>
      <c r="K3370" s="23"/>
      <c r="L3370" s="23"/>
      <c r="M3370" s="131"/>
      <c r="N3370" s="131"/>
      <c r="O3370" s="131"/>
    </row>
    <row r="3371" spans="4:15" x14ac:dyDescent="0.3">
      <c r="D3371" s="33"/>
      <c r="E3371" s="127"/>
      <c r="F3371" s="128"/>
      <c r="G3371" s="128"/>
      <c r="H3371" s="129"/>
      <c r="I3371" s="130"/>
      <c r="J3371" s="23"/>
      <c r="K3371" s="23"/>
      <c r="L3371" s="23"/>
      <c r="M3371" s="131"/>
      <c r="N3371" s="131"/>
      <c r="O3371" s="131"/>
    </row>
    <row r="3372" spans="4:15" x14ac:dyDescent="0.3">
      <c r="D3372" s="33"/>
      <c r="E3372" s="127"/>
      <c r="F3372" s="128"/>
      <c r="G3372" s="128"/>
      <c r="H3372" s="129"/>
      <c r="I3372" s="130"/>
      <c r="J3372" s="23"/>
      <c r="K3372" s="23"/>
      <c r="L3372" s="23"/>
      <c r="M3372" s="131"/>
      <c r="N3372" s="131"/>
      <c r="O3372" s="131"/>
    </row>
    <row r="3373" spans="4:15" x14ac:dyDescent="0.3">
      <c r="D3373" s="33"/>
      <c r="E3373" s="127"/>
      <c r="F3373" s="128"/>
      <c r="G3373" s="128"/>
      <c r="H3373" s="129"/>
      <c r="I3373" s="130"/>
      <c r="J3373" s="23"/>
      <c r="K3373" s="23"/>
      <c r="L3373" s="23"/>
      <c r="M3373" s="131"/>
      <c r="N3373" s="131"/>
      <c r="O3373" s="131"/>
    </row>
    <row r="3374" spans="4:15" x14ac:dyDescent="0.3">
      <c r="D3374" s="33"/>
      <c r="E3374" s="127"/>
      <c r="F3374" s="128"/>
      <c r="G3374" s="128"/>
      <c r="H3374" s="129"/>
      <c r="I3374" s="130"/>
      <c r="J3374" s="23"/>
      <c r="K3374" s="23"/>
      <c r="L3374" s="23"/>
      <c r="M3374" s="131"/>
      <c r="N3374" s="131"/>
      <c r="O3374" s="131"/>
    </row>
    <row r="3375" spans="4:15" x14ac:dyDescent="0.3">
      <c r="D3375" s="33"/>
      <c r="E3375" s="127"/>
      <c r="F3375" s="128"/>
      <c r="G3375" s="128"/>
      <c r="H3375" s="129"/>
      <c r="I3375" s="130"/>
      <c r="J3375" s="23"/>
      <c r="K3375" s="23"/>
      <c r="L3375" s="23"/>
      <c r="M3375" s="131"/>
      <c r="N3375" s="131"/>
      <c r="O3375" s="131"/>
    </row>
    <row r="3376" spans="4:15" x14ac:dyDescent="0.3">
      <c r="D3376" s="33"/>
      <c r="E3376" s="127"/>
      <c r="F3376" s="128"/>
      <c r="G3376" s="128"/>
      <c r="H3376" s="129"/>
      <c r="I3376" s="130"/>
      <c r="J3376" s="23"/>
      <c r="K3376" s="23"/>
      <c r="L3376" s="23"/>
      <c r="M3376" s="131"/>
      <c r="N3376" s="131"/>
      <c r="O3376" s="131"/>
    </row>
    <row r="3377" spans="4:15" x14ac:dyDescent="0.3">
      <c r="D3377" s="33"/>
      <c r="E3377" s="127"/>
      <c r="F3377" s="128"/>
      <c r="G3377" s="128"/>
      <c r="H3377" s="129"/>
      <c r="I3377" s="130"/>
      <c r="J3377" s="23"/>
      <c r="K3377" s="23"/>
      <c r="L3377" s="23"/>
      <c r="M3377" s="131"/>
      <c r="N3377" s="131"/>
      <c r="O3377" s="131"/>
    </row>
    <row r="3378" spans="4:15" x14ac:dyDescent="0.3">
      <c r="D3378" s="33"/>
      <c r="E3378" s="127"/>
      <c r="F3378" s="128"/>
      <c r="G3378" s="128"/>
      <c r="H3378" s="129"/>
      <c r="I3378" s="130"/>
      <c r="J3378" s="23"/>
      <c r="K3378" s="23"/>
      <c r="L3378" s="23"/>
      <c r="M3378" s="131"/>
      <c r="N3378" s="131"/>
      <c r="O3378" s="131"/>
    </row>
    <row r="3379" spans="4:15" x14ac:dyDescent="0.3">
      <c r="D3379" s="33"/>
      <c r="E3379" s="127"/>
      <c r="F3379" s="128"/>
      <c r="G3379" s="128"/>
      <c r="H3379" s="129"/>
      <c r="I3379" s="130"/>
      <c r="J3379" s="23"/>
      <c r="K3379" s="23"/>
      <c r="L3379" s="23"/>
      <c r="M3379" s="131"/>
      <c r="N3379" s="131"/>
      <c r="O3379" s="131"/>
    </row>
    <row r="3380" spans="4:15" x14ac:dyDescent="0.3">
      <c r="D3380" s="33"/>
      <c r="E3380" s="127"/>
      <c r="F3380" s="128"/>
      <c r="G3380" s="128"/>
      <c r="H3380" s="129"/>
      <c r="I3380" s="130"/>
      <c r="J3380" s="23"/>
      <c r="K3380" s="23"/>
      <c r="L3380" s="23"/>
      <c r="M3380" s="131"/>
      <c r="N3380" s="131"/>
      <c r="O3380" s="131"/>
    </row>
    <row r="3381" spans="4:15" x14ac:dyDescent="0.3">
      <c r="D3381" s="33"/>
      <c r="E3381" s="127"/>
      <c r="F3381" s="128"/>
      <c r="G3381" s="128"/>
      <c r="H3381" s="129"/>
      <c r="I3381" s="130"/>
      <c r="J3381" s="23"/>
      <c r="K3381" s="23"/>
      <c r="L3381" s="23"/>
      <c r="M3381" s="131"/>
      <c r="N3381" s="131"/>
      <c r="O3381" s="131"/>
    </row>
    <row r="3382" spans="4:15" x14ac:dyDescent="0.3">
      <c r="D3382" s="33"/>
      <c r="E3382" s="127"/>
      <c r="F3382" s="128"/>
      <c r="G3382" s="128"/>
      <c r="H3382" s="129"/>
      <c r="I3382" s="130"/>
      <c r="J3382" s="23"/>
      <c r="K3382" s="23"/>
      <c r="L3382" s="23"/>
      <c r="M3382" s="131"/>
      <c r="N3382" s="131"/>
      <c r="O3382" s="131"/>
    </row>
    <row r="3383" spans="4:15" x14ac:dyDescent="0.3">
      <c r="D3383" s="33"/>
      <c r="E3383" s="127"/>
      <c r="F3383" s="128"/>
      <c r="G3383" s="128"/>
      <c r="H3383" s="129"/>
      <c r="I3383" s="130"/>
      <c r="J3383" s="23"/>
      <c r="K3383" s="23"/>
      <c r="L3383" s="23"/>
      <c r="M3383" s="131"/>
      <c r="N3383" s="131"/>
      <c r="O3383" s="131"/>
    </row>
    <row r="3384" spans="4:15" x14ac:dyDescent="0.3">
      <c r="D3384" s="33"/>
      <c r="E3384" s="127"/>
      <c r="F3384" s="128"/>
      <c r="G3384" s="128"/>
      <c r="H3384" s="129"/>
      <c r="I3384" s="130"/>
      <c r="J3384" s="23"/>
      <c r="K3384" s="23"/>
      <c r="L3384" s="23"/>
      <c r="M3384" s="131"/>
      <c r="N3384" s="131"/>
      <c r="O3384" s="131"/>
    </row>
    <row r="3385" spans="4:15" x14ac:dyDescent="0.3">
      <c r="D3385" s="33"/>
      <c r="E3385" s="127"/>
      <c r="F3385" s="128"/>
      <c r="G3385" s="128"/>
      <c r="H3385" s="129"/>
      <c r="I3385" s="130"/>
      <c r="J3385" s="23"/>
      <c r="K3385" s="23"/>
      <c r="L3385" s="23"/>
      <c r="M3385" s="131"/>
      <c r="N3385" s="131"/>
      <c r="O3385" s="131"/>
    </row>
    <row r="3386" spans="4:15" x14ac:dyDescent="0.3">
      <c r="D3386" s="33"/>
      <c r="E3386" s="127"/>
      <c r="F3386" s="128"/>
      <c r="G3386" s="128"/>
      <c r="H3386" s="129"/>
      <c r="I3386" s="130"/>
      <c r="J3386" s="23"/>
      <c r="K3386" s="23"/>
      <c r="L3386" s="23"/>
      <c r="M3386" s="131"/>
      <c r="N3386" s="131"/>
      <c r="O3386" s="131"/>
    </row>
    <row r="3387" spans="4:15" x14ac:dyDescent="0.3">
      <c r="D3387" s="33"/>
      <c r="E3387" s="127"/>
      <c r="F3387" s="128"/>
      <c r="G3387" s="128"/>
      <c r="H3387" s="129"/>
      <c r="I3387" s="130"/>
      <c r="J3387" s="23"/>
      <c r="K3387" s="23"/>
      <c r="L3387" s="23"/>
      <c r="M3387" s="131"/>
      <c r="N3387" s="131"/>
      <c r="O3387" s="131"/>
    </row>
    <row r="3388" spans="4:15" x14ac:dyDescent="0.3">
      <c r="D3388" s="33"/>
      <c r="E3388" s="127"/>
      <c r="F3388" s="128"/>
      <c r="G3388" s="128"/>
      <c r="H3388" s="129"/>
      <c r="I3388" s="130"/>
      <c r="J3388" s="23"/>
      <c r="K3388" s="23"/>
      <c r="L3388" s="23"/>
      <c r="M3388" s="131"/>
      <c r="N3388" s="131"/>
      <c r="O3388" s="131"/>
    </row>
    <row r="3389" spans="4:15" x14ac:dyDescent="0.3">
      <c r="D3389" s="33"/>
      <c r="E3389" s="127"/>
      <c r="F3389" s="128"/>
      <c r="G3389" s="128"/>
      <c r="H3389" s="129"/>
      <c r="I3389" s="130"/>
      <c r="J3389" s="23"/>
      <c r="K3389" s="23"/>
      <c r="L3389" s="23"/>
      <c r="M3389" s="131"/>
      <c r="N3389" s="131"/>
      <c r="O3389" s="131"/>
    </row>
    <row r="3390" spans="4:15" x14ac:dyDescent="0.3">
      <c r="D3390" s="33"/>
      <c r="E3390" s="127"/>
      <c r="F3390" s="128"/>
      <c r="G3390" s="128"/>
      <c r="H3390" s="129"/>
      <c r="I3390" s="130"/>
      <c r="J3390" s="23"/>
      <c r="K3390" s="23"/>
      <c r="L3390" s="23"/>
      <c r="M3390" s="131"/>
      <c r="N3390" s="131"/>
      <c r="O3390" s="131"/>
    </row>
    <row r="3391" spans="4:15" x14ac:dyDescent="0.3">
      <c r="D3391" s="33"/>
      <c r="E3391" s="127"/>
      <c r="F3391" s="128"/>
      <c r="G3391" s="128"/>
      <c r="H3391" s="129"/>
      <c r="I3391" s="130"/>
      <c r="J3391" s="23"/>
      <c r="K3391" s="23"/>
      <c r="L3391" s="23"/>
      <c r="M3391" s="131"/>
      <c r="N3391" s="131"/>
      <c r="O3391" s="131"/>
    </row>
    <row r="3392" spans="4:15" x14ac:dyDescent="0.3">
      <c r="D3392" s="33"/>
      <c r="E3392" s="127"/>
      <c r="F3392" s="128"/>
      <c r="G3392" s="128"/>
      <c r="H3392" s="129"/>
      <c r="I3392" s="130"/>
      <c r="J3392" s="23"/>
      <c r="K3392" s="23"/>
      <c r="L3392" s="23"/>
      <c r="M3392" s="131"/>
      <c r="N3392" s="131"/>
      <c r="O3392" s="131"/>
    </row>
    <row r="3393" spans="4:15" x14ac:dyDescent="0.3">
      <c r="D3393" s="33"/>
      <c r="E3393" s="127"/>
      <c r="F3393" s="128"/>
      <c r="G3393" s="128"/>
      <c r="H3393" s="129"/>
      <c r="I3393" s="130"/>
      <c r="J3393" s="23"/>
      <c r="K3393" s="23"/>
      <c r="L3393" s="23"/>
      <c r="M3393" s="131"/>
      <c r="N3393" s="131"/>
      <c r="O3393" s="131"/>
    </row>
    <row r="3394" spans="4:15" x14ac:dyDescent="0.3">
      <c r="D3394" s="33"/>
      <c r="E3394" s="127"/>
      <c r="F3394" s="128"/>
      <c r="G3394" s="128"/>
      <c r="H3394" s="129"/>
      <c r="I3394" s="130"/>
      <c r="J3394" s="23"/>
      <c r="K3394" s="23"/>
      <c r="L3394" s="23"/>
      <c r="M3394" s="131"/>
      <c r="N3394" s="131"/>
      <c r="O3394" s="131"/>
    </row>
    <row r="3395" spans="4:15" x14ac:dyDescent="0.3">
      <c r="D3395" s="33"/>
      <c r="E3395" s="127"/>
      <c r="F3395" s="128"/>
      <c r="G3395" s="128"/>
      <c r="H3395" s="129"/>
      <c r="I3395" s="130"/>
      <c r="J3395" s="23"/>
      <c r="K3395" s="23"/>
      <c r="L3395" s="23"/>
      <c r="M3395" s="131"/>
      <c r="N3395" s="131"/>
      <c r="O3395" s="131"/>
    </row>
    <row r="3396" spans="4:15" x14ac:dyDescent="0.3">
      <c r="D3396" s="33"/>
      <c r="E3396" s="127"/>
      <c r="F3396" s="128"/>
      <c r="G3396" s="128"/>
      <c r="H3396" s="129"/>
      <c r="I3396" s="130"/>
      <c r="J3396" s="23"/>
      <c r="K3396" s="23"/>
      <c r="L3396" s="23"/>
      <c r="M3396" s="131"/>
      <c r="N3396" s="131"/>
      <c r="O3396" s="131"/>
    </row>
    <row r="3397" spans="4:15" x14ac:dyDescent="0.3">
      <c r="D3397" s="33"/>
      <c r="E3397" s="127"/>
      <c r="F3397" s="128"/>
      <c r="G3397" s="128"/>
      <c r="H3397" s="129"/>
      <c r="I3397" s="130"/>
      <c r="J3397" s="23"/>
      <c r="K3397" s="23"/>
      <c r="L3397" s="23"/>
      <c r="M3397" s="131"/>
      <c r="N3397" s="131"/>
      <c r="O3397" s="131"/>
    </row>
    <row r="3398" spans="4:15" x14ac:dyDescent="0.3">
      <c r="D3398" s="33"/>
      <c r="E3398" s="127"/>
      <c r="F3398" s="128"/>
      <c r="G3398" s="128"/>
      <c r="H3398" s="129"/>
      <c r="I3398" s="130"/>
      <c r="J3398" s="23"/>
      <c r="K3398" s="23"/>
      <c r="L3398" s="23"/>
      <c r="M3398" s="131"/>
      <c r="N3398" s="131"/>
      <c r="O3398" s="131"/>
    </row>
    <row r="3399" spans="4:15" x14ac:dyDescent="0.3">
      <c r="D3399" s="33"/>
      <c r="E3399" s="127"/>
      <c r="F3399" s="128"/>
      <c r="G3399" s="128"/>
      <c r="H3399" s="129"/>
      <c r="I3399" s="130"/>
      <c r="J3399" s="23"/>
      <c r="K3399" s="23"/>
      <c r="L3399" s="23"/>
      <c r="M3399" s="131"/>
      <c r="N3399" s="131"/>
      <c r="O3399" s="131"/>
    </row>
    <row r="3400" spans="4:15" x14ac:dyDescent="0.3">
      <c r="D3400" s="33"/>
      <c r="E3400" s="127"/>
      <c r="F3400" s="128"/>
      <c r="G3400" s="128"/>
      <c r="H3400" s="129"/>
      <c r="I3400" s="130"/>
      <c r="J3400" s="23"/>
      <c r="K3400" s="23"/>
      <c r="L3400" s="23"/>
      <c r="M3400" s="131"/>
      <c r="N3400" s="131"/>
      <c r="O3400" s="131"/>
    </row>
    <row r="3401" spans="4:15" x14ac:dyDescent="0.3">
      <c r="D3401" s="33"/>
      <c r="E3401" s="127"/>
      <c r="F3401" s="128"/>
      <c r="G3401" s="128"/>
      <c r="H3401" s="129"/>
      <c r="I3401" s="130"/>
      <c r="J3401" s="23"/>
      <c r="K3401" s="23"/>
      <c r="L3401" s="23"/>
      <c r="M3401" s="131"/>
      <c r="N3401" s="131"/>
      <c r="O3401" s="131"/>
    </row>
    <row r="3402" spans="4:15" x14ac:dyDescent="0.3">
      <c r="D3402" s="33"/>
      <c r="E3402" s="127"/>
      <c r="F3402" s="128"/>
      <c r="G3402" s="128"/>
      <c r="H3402" s="129"/>
      <c r="I3402" s="130"/>
      <c r="J3402" s="23"/>
      <c r="K3402" s="23"/>
      <c r="L3402" s="23"/>
      <c r="M3402" s="131"/>
      <c r="N3402" s="131"/>
      <c r="O3402" s="131"/>
    </row>
    <row r="3403" spans="4:15" x14ac:dyDescent="0.3">
      <c r="D3403" s="33"/>
      <c r="E3403" s="127"/>
      <c r="F3403" s="128"/>
      <c r="G3403" s="128"/>
      <c r="H3403" s="129"/>
      <c r="I3403" s="130"/>
      <c r="J3403" s="23"/>
      <c r="K3403" s="23"/>
      <c r="L3403" s="23"/>
      <c r="M3403" s="131"/>
      <c r="N3403" s="131"/>
      <c r="O3403" s="131"/>
    </row>
    <row r="3404" spans="4:15" x14ac:dyDescent="0.3">
      <c r="D3404" s="33"/>
      <c r="E3404" s="127"/>
      <c r="F3404" s="128"/>
      <c r="G3404" s="128"/>
      <c r="H3404" s="129"/>
      <c r="I3404" s="130"/>
      <c r="J3404" s="23"/>
      <c r="K3404" s="23"/>
      <c r="L3404" s="23"/>
      <c r="M3404" s="131"/>
      <c r="N3404" s="131"/>
      <c r="O3404" s="131"/>
    </row>
    <row r="3405" spans="4:15" x14ac:dyDescent="0.3">
      <c r="D3405" s="33"/>
      <c r="E3405" s="127"/>
      <c r="F3405" s="128"/>
      <c r="G3405" s="128"/>
      <c r="H3405" s="129"/>
      <c r="I3405" s="130"/>
      <c r="J3405" s="23"/>
      <c r="K3405" s="23"/>
      <c r="L3405" s="23"/>
      <c r="M3405" s="131"/>
      <c r="N3405" s="131"/>
      <c r="O3405" s="131"/>
    </row>
    <row r="3406" spans="4:15" x14ac:dyDescent="0.3">
      <c r="D3406" s="33"/>
      <c r="E3406" s="127"/>
      <c r="F3406" s="128"/>
      <c r="G3406" s="128"/>
      <c r="H3406" s="129"/>
      <c r="I3406" s="130"/>
      <c r="J3406" s="23"/>
      <c r="K3406" s="23"/>
      <c r="L3406" s="23"/>
      <c r="M3406" s="131"/>
      <c r="N3406" s="131"/>
      <c r="O3406" s="131"/>
    </row>
    <row r="3407" spans="4:15" x14ac:dyDescent="0.3">
      <c r="D3407" s="33"/>
      <c r="E3407" s="127"/>
      <c r="F3407" s="128"/>
      <c r="G3407" s="128"/>
      <c r="H3407" s="129"/>
      <c r="I3407" s="130"/>
      <c r="J3407" s="23"/>
      <c r="K3407" s="23"/>
      <c r="L3407" s="23"/>
      <c r="M3407" s="131"/>
      <c r="N3407" s="131"/>
      <c r="O3407" s="131"/>
    </row>
    <row r="3408" spans="4:15" x14ac:dyDescent="0.3">
      <c r="D3408" s="33"/>
      <c r="E3408" s="127"/>
      <c r="F3408" s="128"/>
      <c r="G3408" s="128"/>
      <c r="H3408" s="129"/>
      <c r="I3408" s="130"/>
      <c r="J3408" s="23"/>
      <c r="K3408" s="23"/>
      <c r="L3408" s="23"/>
      <c r="M3408" s="131"/>
      <c r="N3408" s="131"/>
      <c r="O3408" s="131"/>
    </row>
    <row r="3409" spans="4:15" x14ac:dyDescent="0.3">
      <c r="D3409" s="33"/>
      <c r="E3409" s="127"/>
      <c r="F3409" s="128"/>
      <c r="G3409" s="128"/>
      <c r="H3409" s="129"/>
      <c r="I3409" s="130"/>
      <c r="J3409" s="23"/>
      <c r="K3409" s="23"/>
      <c r="L3409" s="23"/>
      <c r="M3409" s="131"/>
      <c r="N3409" s="131"/>
      <c r="O3409" s="131"/>
    </row>
    <row r="3410" spans="4:15" x14ac:dyDescent="0.3">
      <c r="D3410" s="33"/>
      <c r="E3410" s="127"/>
      <c r="F3410" s="128"/>
      <c r="G3410" s="128"/>
      <c r="H3410" s="129"/>
      <c r="I3410" s="130"/>
      <c r="J3410" s="23"/>
      <c r="K3410" s="23"/>
      <c r="L3410" s="23"/>
      <c r="M3410" s="131"/>
      <c r="N3410" s="131"/>
      <c r="O3410" s="131"/>
    </row>
    <row r="3411" spans="4:15" x14ac:dyDescent="0.3">
      <c r="D3411" s="33"/>
      <c r="E3411" s="127"/>
      <c r="F3411" s="128"/>
      <c r="G3411" s="128"/>
      <c r="H3411" s="129"/>
      <c r="I3411" s="130"/>
      <c r="J3411" s="23"/>
      <c r="K3411" s="23"/>
      <c r="L3411" s="23"/>
      <c r="M3411" s="131"/>
      <c r="N3411" s="131"/>
      <c r="O3411" s="131"/>
    </row>
    <row r="3412" spans="4:15" x14ac:dyDescent="0.3">
      <c r="D3412" s="33"/>
      <c r="E3412" s="127"/>
      <c r="F3412" s="128"/>
      <c r="G3412" s="128"/>
      <c r="H3412" s="129"/>
      <c r="I3412" s="130"/>
      <c r="J3412" s="23"/>
      <c r="K3412" s="23"/>
      <c r="L3412" s="23"/>
      <c r="M3412" s="131"/>
      <c r="N3412" s="131"/>
      <c r="O3412" s="131"/>
    </row>
    <row r="3413" spans="4:15" x14ac:dyDescent="0.3">
      <c r="D3413" s="33"/>
      <c r="E3413" s="127"/>
      <c r="F3413" s="128"/>
      <c r="G3413" s="128"/>
      <c r="H3413" s="129"/>
      <c r="I3413" s="130"/>
      <c r="J3413" s="23"/>
      <c r="K3413" s="23"/>
      <c r="L3413" s="23"/>
      <c r="M3413" s="131"/>
      <c r="N3413" s="131"/>
      <c r="O3413" s="131"/>
    </row>
    <row r="3414" spans="4:15" x14ac:dyDescent="0.3">
      <c r="D3414" s="33"/>
      <c r="E3414" s="127"/>
      <c r="F3414" s="128"/>
      <c r="G3414" s="128"/>
      <c r="H3414" s="129"/>
      <c r="I3414" s="130"/>
      <c r="J3414" s="23"/>
      <c r="K3414" s="23"/>
      <c r="L3414" s="23"/>
      <c r="M3414" s="131"/>
      <c r="N3414" s="131"/>
      <c r="O3414" s="131"/>
    </row>
    <row r="3415" spans="4:15" x14ac:dyDescent="0.3">
      <c r="D3415" s="33"/>
      <c r="E3415" s="127"/>
      <c r="F3415" s="128"/>
      <c r="G3415" s="128"/>
      <c r="H3415" s="129"/>
      <c r="I3415" s="130"/>
      <c r="J3415" s="23"/>
      <c r="K3415" s="23"/>
      <c r="L3415" s="23"/>
      <c r="M3415" s="131"/>
      <c r="N3415" s="131"/>
      <c r="O3415" s="131"/>
    </row>
    <row r="3416" spans="4:15" x14ac:dyDescent="0.3">
      <c r="D3416" s="33"/>
      <c r="E3416" s="127"/>
      <c r="F3416" s="128"/>
      <c r="G3416" s="128"/>
      <c r="H3416" s="129"/>
      <c r="I3416" s="130"/>
      <c r="J3416" s="23"/>
      <c r="K3416" s="23"/>
      <c r="L3416" s="23"/>
      <c r="M3416" s="131"/>
      <c r="N3416" s="131"/>
      <c r="O3416" s="131"/>
    </row>
    <row r="3417" spans="4:15" x14ac:dyDescent="0.3">
      <c r="D3417" s="33"/>
      <c r="E3417" s="127"/>
      <c r="F3417" s="128"/>
      <c r="G3417" s="128"/>
      <c r="H3417" s="129"/>
      <c r="I3417" s="130"/>
      <c r="J3417" s="23"/>
      <c r="K3417" s="23"/>
      <c r="L3417" s="23"/>
      <c r="M3417" s="131"/>
      <c r="N3417" s="131"/>
      <c r="O3417" s="131"/>
    </row>
    <row r="3418" spans="4:15" x14ac:dyDescent="0.3">
      <c r="D3418" s="33"/>
      <c r="E3418" s="127"/>
      <c r="F3418" s="128"/>
      <c r="G3418" s="128"/>
      <c r="H3418" s="129"/>
      <c r="I3418" s="130"/>
      <c r="J3418" s="23"/>
      <c r="K3418" s="23"/>
      <c r="L3418" s="23"/>
      <c r="M3418" s="131"/>
      <c r="N3418" s="131"/>
      <c r="O3418" s="131"/>
    </row>
    <row r="3419" spans="4:15" x14ac:dyDescent="0.3">
      <c r="D3419" s="33"/>
      <c r="E3419" s="127"/>
      <c r="F3419" s="128"/>
      <c r="G3419" s="128"/>
      <c r="H3419" s="129"/>
      <c r="I3419" s="130"/>
      <c r="J3419" s="23"/>
      <c r="K3419" s="23"/>
      <c r="L3419" s="23"/>
      <c r="M3419" s="131"/>
      <c r="N3419" s="131"/>
      <c r="O3419" s="131"/>
    </row>
    <row r="3420" spans="4:15" x14ac:dyDescent="0.3">
      <c r="D3420" s="33"/>
      <c r="E3420" s="127"/>
      <c r="F3420" s="128"/>
      <c r="G3420" s="128"/>
      <c r="H3420" s="129"/>
      <c r="I3420" s="130"/>
      <c r="J3420" s="23"/>
      <c r="K3420" s="23"/>
      <c r="L3420" s="23"/>
      <c r="M3420" s="131"/>
      <c r="N3420" s="131"/>
      <c r="O3420" s="131"/>
    </row>
    <row r="3421" spans="4:15" x14ac:dyDescent="0.3">
      <c r="D3421" s="33"/>
      <c r="E3421" s="127"/>
      <c r="F3421" s="128"/>
      <c r="G3421" s="128"/>
      <c r="H3421" s="129"/>
      <c r="I3421" s="130"/>
      <c r="J3421" s="23"/>
      <c r="K3421" s="23"/>
      <c r="L3421" s="23"/>
      <c r="M3421" s="131"/>
      <c r="N3421" s="131"/>
      <c r="O3421" s="131"/>
    </row>
    <row r="3422" spans="4:15" x14ac:dyDescent="0.3">
      <c r="D3422" s="33"/>
      <c r="E3422" s="127"/>
      <c r="F3422" s="128"/>
      <c r="G3422" s="128"/>
      <c r="H3422" s="129"/>
      <c r="I3422" s="130"/>
      <c r="J3422" s="23"/>
      <c r="K3422" s="23"/>
      <c r="L3422" s="23"/>
      <c r="M3422" s="131"/>
      <c r="N3422" s="131"/>
      <c r="O3422" s="131"/>
    </row>
    <row r="3423" spans="4:15" x14ac:dyDescent="0.3">
      <c r="D3423" s="33"/>
      <c r="E3423" s="127"/>
      <c r="F3423" s="128"/>
      <c r="G3423" s="128"/>
      <c r="H3423" s="129"/>
      <c r="I3423" s="130"/>
      <c r="J3423" s="23"/>
      <c r="K3423" s="23"/>
      <c r="L3423" s="23"/>
      <c r="M3423" s="131"/>
      <c r="N3423" s="131"/>
      <c r="O3423" s="131"/>
    </row>
    <row r="3424" spans="4:15" x14ac:dyDescent="0.3">
      <c r="D3424" s="33"/>
      <c r="E3424" s="127"/>
      <c r="F3424" s="128"/>
      <c r="G3424" s="128"/>
      <c r="H3424" s="129"/>
      <c r="I3424" s="130"/>
      <c r="J3424" s="23"/>
      <c r="K3424" s="23"/>
      <c r="L3424" s="23"/>
      <c r="M3424" s="131"/>
      <c r="N3424" s="131"/>
      <c r="O3424" s="131"/>
    </row>
    <row r="3425" spans="4:15" x14ac:dyDescent="0.3">
      <c r="D3425" s="33"/>
      <c r="E3425" s="127"/>
      <c r="F3425" s="128"/>
      <c r="G3425" s="128"/>
      <c r="H3425" s="129"/>
      <c r="I3425" s="130"/>
      <c r="J3425" s="23"/>
      <c r="K3425" s="23"/>
      <c r="L3425" s="23"/>
      <c r="M3425" s="131"/>
      <c r="N3425" s="131"/>
      <c r="O3425" s="131"/>
    </row>
    <row r="3426" spans="4:15" x14ac:dyDescent="0.3">
      <c r="D3426" s="33"/>
      <c r="E3426" s="127"/>
      <c r="F3426" s="128"/>
      <c r="G3426" s="128"/>
      <c r="H3426" s="129"/>
      <c r="I3426" s="130"/>
      <c r="J3426" s="23"/>
      <c r="K3426" s="23"/>
      <c r="L3426" s="23"/>
      <c r="M3426" s="131"/>
      <c r="N3426" s="131"/>
      <c r="O3426" s="131"/>
    </row>
    <row r="3427" spans="4:15" x14ac:dyDescent="0.3">
      <c r="D3427" s="33"/>
      <c r="E3427" s="127"/>
      <c r="F3427" s="128"/>
      <c r="G3427" s="128"/>
      <c r="H3427" s="129"/>
      <c r="I3427" s="130"/>
      <c r="J3427" s="23"/>
      <c r="K3427" s="23"/>
      <c r="L3427" s="23"/>
      <c r="M3427" s="131"/>
      <c r="N3427" s="131"/>
      <c r="O3427" s="131"/>
    </row>
    <row r="3428" spans="4:15" x14ac:dyDescent="0.3">
      <c r="D3428" s="33"/>
      <c r="E3428" s="127"/>
      <c r="F3428" s="128"/>
      <c r="G3428" s="128"/>
      <c r="H3428" s="129"/>
      <c r="I3428" s="130"/>
      <c r="J3428" s="23"/>
      <c r="K3428" s="23"/>
      <c r="L3428" s="23"/>
      <c r="M3428" s="131"/>
      <c r="N3428" s="131"/>
      <c r="O3428" s="131"/>
    </row>
    <row r="3429" spans="4:15" x14ac:dyDescent="0.3">
      <c r="D3429" s="33"/>
      <c r="E3429" s="127"/>
      <c r="F3429" s="128"/>
      <c r="G3429" s="128"/>
      <c r="H3429" s="129"/>
      <c r="I3429" s="130"/>
      <c r="J3429" s="23"/>
      <c r="K3429" s="23"/>
      <c r="L3429" s="23"/>
      <c r="M3429" s="131"/>
      <c r="N3429" s="131"/>
      <c r="O3429" s="131"/>
    </row>
    <row r="3430" spans="4:15" x14ac:dyDescent="0.3">
      <c r="D3430" s="33"/>
      <c r="E3430" s="127"/>
      <c r="F3430" s="128"/>
      <c r="G3430" s="128"/>
      <c r="H3430" s="129"/>
      <c r="I3430" s="130"/>
      <c r="J3430" s="23"/>
      <c r="K3430" s="23"/>
      <c r="L3430" s="23"/>
      <c r="M3430" s="131"/>
      <c r="N3430" s="131"/>
      <c r="O3430" s="131"/>
    </row>
    <row r="3431" spans="4:15" x14ac:dyDescent="0.3">
      <c r="D3431" s="33"/>
      <c r="E3431" s="127"/>
      <c r="F3431" s="128"/>
      <c r="G3431" s="128"/>
      <c r="H3431" s="129"/>
      <c r="I3431" s="130"/>
      <c r="J3431" s="23"/>
      <c r="K3431" s="23"/>
      <c r="L3431" s="23"/>
      <c r="M3431" s="131"/>
      <c r="N3431" s="131"/>
      <c r="O3431" s="131"/>
    </row>
    <row r="3432" spans="4:15" x14ac:dyDescent="0.3">
      <c r="D3432" s="33"/>
      <c r="E3432" s="127"/>
      <c r="F3432" s="128"/>
      <c r="G3432" s="128"/>
      <c r="H3432" s="129"/>
      <c r="I3432" s="130"/>
      <c r="J3432" s="23"/>
      <c r="K3432" s="23"/>
      <c r="L3432" s="23"/>
      <c r="M3432" s="131"/>
      <c r="N3432" s="131"/>
      <c r="O3432" s="131"/>
    </row>
    <row r="3433" spans="4:15" x14ac:dyDescent="0.3">
      <c r="D3433" s="33"/>
      <c r="E3433" s="127"/>
      <c r="F3433" s="128"/>
      <c r="G3433" s="128"/>
      <c r="H3433" s="129"/>
      <c r="I3433" s="130"/>
      <c r="J3433" s="23"/>
      <c r="K3433" s="23"/>
      <c r="L3433" s="23"/>
      <c r="M3433" s="131"/>
      <c r="N3433" s="131"/>
      <c r="O3433" s="131"/>
    </row>
    <row r="3434" spans="4:15" x14ac:dyDescent="0.3">
      <c r="D3434" s="33"/>
      <c r="E3434" s="127"/>
      <c r="F3434" s="128"/>
      <c r="G3434" s="128"/>
      <c r="H3434" s="129"/>
      <c r="I3434" s="130"/>
      <c r="J3434" s="23"/>
      <c r="K3434" s="23"/>
      <c r="L3434" s="23"/>
      <c r="M3434" s="131"/>
      <c r="N3434" s="131"/>
      <c r="O3434" s="131"/>
    </row>
    <row r="3435" spans="4:15" x14ac:dyDescent="0.3">
      <c r="D3435" s="33"/>
      <c r="E3435" s="127"/>
      <c r="F3435" s="128"/>
      <c r="G3435" s="128"/>
      <c r="H3435" s="129"/>
      <c r="I3435" s="130"/>
      <c r="J3435" s="23"/>
      <c r="K3435" s="23"/>
      <c r="L3435" s="23"/>
      <c r="M3435" s="131"/>
      <c r="N3435" s="131"/>
      <c r="O3435" s="131"/>
    </row>
    <row r="3436" spans="4:15" x14ac:dyDescent="0.3">
      <c r="D3436" s="33"/>
      <c r="E3436" s="127"/>
      <c r="F3436" s="128"/>
      <c r="G3436" s="128"/>
      <c r="H3436" s="129"/>
      <c r="I3436" s="130"/>
      <c r="J3436" s="23"/>
      <c r="K3436" s="23"/>
      <c r="L3436" s="23"/>
      <c r="M3436" s="131"/>
      <c r="N3436" s="131"/>
      <c r="O3436" s="131"/>
    </row>
    <row r="3437" spans="4:15" x14ac:dyDescent="0.3">
      <c r="D3437" s="33"/>
      <c r="E3437" s="127"/>
      <c r="F3437" s="128"/>
      <c r="G3437" s="128"/>
      <c r="H3437" s="129"/>
      <c r="I3437" s="130"/>
      <c r="J3437" s="23"/>
      <c r="K3437" s="23"/>
      <c r="L3437" s="23"/>
      <c r="M3437" s="131"/>
      <c r="N3437" s="131"/>
      <c r="O3437" s="131"/>
    </row>
    <row r="3438" spans="4:15" x14ac:dyDescent="0.3">
      <c r="D3438" s="33"/>
      <c r="E3438" s="127"/>
      <c r="F3438" s="128"/>
      <c r="G3438" s="128"/>
      <c r="H3438" s="129"/>
      <c r="I3438" s="130"/>
      <c r="J3438" s="23"/>
      <c r="K3438" s="23"/>
      <c r="L3438" s="23"/>
      <c r="M3438" s="131"/>
      <c r="N3438" s="131"/>
      <c r="O3438" s="131"/>
    </row>
    <row r="3439" spans="4:15" x14ac:dyDescent="0.3">
      <c r="D3439" s="33"/>
      <c r="E3439" s="127"/>
      <c r="F3439" s="128"/>
      <c r="G3439" s="128"/>
      <c r="H3439" s="129"/>
      <c r="I3439" s="130"/>
      <c r="J3439" s="23"/>
      <c r="K3439" s="23"/>
      <c r="L3439" s="23"/>
      <c r="M3439" s="131"/>
      <c r="N3439" s="131"/>
      <c r="O3439" s="131"/>
    </row>
    <row r="3440" spans="4:15" x14ac:dyDescent="0.3">
      <c r="D3440" s="33"/>
      <c r="E3440" s="127"/>
      <c r="F3440" s="128"/>
      <c r="G3440" s="128"/>
      <c r="H3440" s="129"/>
      <c r="I3440" s="130"/>
      <c r="J3440" s="23"/>
      <c r="K3440" s="23"/>
      <c r="L3440" s="23"/>
      <c r="M3440" s="131"/>
      <c r="N3440" s="131"/>
      <c r="O3440" s="131"/>
    </row>
    <row r="3441" spans="4:15" x14ac:dyDescent="0.3">
      <c r="D3441" s="33"/>
      <c r="E3441" s="127"/>
      <c r="F3441" s="128"/>
      <c r="G3441" s="128"/>
      <c r="H3441" s="129"/>
      <c r="I3441" s="130"/>
      <c r="J3441" s="23"/>
      <c r="K3441" s="23"/>
      <c r="L3441" s="23"/>
      <c r="M3441" s="131"/>
      <c r="N3441" s="131"/>
      <c r="O3441" s="131"/>
    </row>
    <row r="3442" spans="4:15" x14ac:dyDescent="0.3">
      <c r="D3442" s="33"/>
      <c r="E3442" s="127"/>
      <c r="F3442" s="128"/>
      <c r="G3442" s="128"/>
      <c r="H3442" s="129"/>
      <c r="I3442" s="130"/>
      <c r="J3442" s="23"/>
      <c r="K3442" s="23"/>
      <c r="L3442" s="23"/>
      <c r="M3442" s="131"/>
      <c r="N3442" s="131"/>
      <c r="O3442" s="131"/>
    </row>
    <row r="3443" spans="4:15" x14ac:dyDescent="0.3">
      <c r="D3443" s="33"/>
      <c r="E3443" s="127"/>
      <c r="F3443" s="128"/>
      <c r="G3443" s="128"/>
      <c r="H3443" s="129"/>
      <c r="I3443" s="130"/>
      <c r="J3443" s="23"/>
      <c r="K3443" s="23"/>
      <c r="L3443" s="23"/>
      <c r="M3443" s="131"/>
      <c r="N3443" s="131"/>
      <c r="O3443" s="131"/>
    </row>
    <row r="3444" spans="4:15" x14ac:dyDescent="0.3">
      <c r="D3444" s="33"/>
      <c r="E3444" s="127"/>
      <c r="F3444" s="128"/>
      <c r="G3444" s="128"/>
      <c r="H3444" s="129"/>
      <c r="I3444" s="130"/>
      <c r="J3444" s="23"/>
      <c r="K3444" s="23"/>
      <c r="L3444" s="23"/>
      <c r="M3444" s="131"/>
      <c r="N3444" s="131"/>
      <c r="O3444" s="131"/>
    </row>
    <row r="3445" spans="4:15" x14ac:dyDescent="0.3">
      <c r="D3445" s="33"/>
      <c r="E3445" s="127"/>
      <c r="F3445" s="128"/>
      <c r="G3445" s="128"/>
      <c r="H3445" s="129"/>
      <c r="I3445" s="130"/>
      <c r="J3445" s="23"/>
      <c r="K3445" s="23"/>
      <c r="L3445" s="23"/>
      <c r="M3445" s="131"/>
      <c r="N3445" s="131"/>
      <c r="O3445" s="131"/>
    </row>
    <row r="3446" spans="4:15" x14ac:dyDescent="0.3">
      <c r="D3446" s="33"/>
      <c r="E3446" s="127"/>
      <c r="F3446" s="128"/>
      <c r="G3446" s="128"/>
      <c r="H3446" s="129"/>
      <c r="I3446" s="130"/>
      <c r="J3446" s="23"/>
      <c r="K3446" s="23"/>
      <c r="L3446" s="23"/>
      <c r="M3446" s="131"/>
      <c r="N3446" s="131"/>
      <c r="O3446" s="131"/>
    </row>
    <row r="3447" spans="4:15" x14ac:dyDescent="0.3">
      <c r="D3447" s="33"/>
      <c r="E3447" s="127"/>
      <c r="F3447" s="128"/>
      <c r="G3447" s="128"/>
      <c r="H3447" s="129"/>
      <c r="I3447" s="130"/>
      <c r="J3447" s="23"/>
      <c r="K3447" s="23"/>
      <c r="L3447" s="23"/>
      <c r="M3447" s="131"/>
      <c r="N3447" s="131"/>
      <c r="O3447" s="131"/>
    </row>
    <row r="3448" spans="4:15" x14ac:dyDescent="0.3">
      <c r="D3448" s="33"/>
      <c r="E3448" s="127"/>
      <c r="F3448" s="128"/>
      <c r="G3448" s="128"/>
      <c r="H3448" s="129"/>
      <c r="I3448" s="130"/>
      <c r="J3448" s="23"/>
      <c r="K3448" s="23"/>
      <c r="L3448" s="23"/>
      <c r="M3448" s="131"/>
      <c r="N3448" s="131"/>
      <c r="O3448" s="131"/>
    </row>
    <row r="3449" spans="4:15" x14ac:dyDescent="0.3">
      <c r="D3449" s="33"/>
      <c r="E3449" s="127"/>
      <c r="F3449" s="128"/>
      <c r="G3449" s="128"/>
      <c r="H3449" s="129"/>
      <c r="I3449" s="130"/>
      <c r="J3449" s="23"/>
      <c r="K3449" s="23"/>
      <c r="L3449" s="23"/>
      <c r="M3449" s="131"/>
      <c r="N3449" s="131"/>
      <c r="O3449" s="131"/>
    </row>
    <row r="3450" spans="4:15" x14ac:dyDescent="0.3">
      <c r="D3450" s="33"/>
      <c r="E3450" s="127"/>
      <c r="F3450" s="128"/>
      <c r="G3450" s="128"/>
      <c r="H3450" s="129"/>
      <c r="I3450" s="130"/>
      <c r="J3450" s="23"/>
      <c r="K3450" s="23"/>
      <c r="L3450" s="23"/>
      <c r="M3450" s="131"/>
      <c r="N3450" s="131"/>
      <c r="O3450" s="131"/>
    </row>
    <row r="3451" spans="4:15" x14ac:dyDescent="0.3">
      <c r="D3451" s="33"/>
      <c r="E3451" s="127"/>
      <c r="F3451" s="128"/>
      <c r="G3451" s="128"/>
      <c r="H3451" s="129"/>
      <c r="I3451" s="130"/>
      <c r="J3451" s="23"/>
      <c r="K3451" s="23"/>
      <c r="L3451" s="23"/>
      <c r="M3451" s="131"/>
      <c r="N3451" s="131"/>
      <c r="O3451" s="131"/>
    </row>
    <row r="3452" spans="4:15" x14ac:dyDescent="0.3">
      <c r="D3452" s="33"/>
      <c r="E3452" s="127"/>
      <c r="F3452" s="128"/>
      <c r="G3452" s="128"/>
      <c r="H3452" s="129"/>
      <c r="I3452" s="130"/>
      <c r="J3452" s="23"/>
      <c r="K3452" s="23"/>
      <c r="L3452" s="23"/>
      <c r="M3452" s="131"/>
      <c r="N3452" s="131"/>
      <c r="O3452" s="131"/>
    </row>
    <row r="3453" spans="4:15" x14ac:dyDescent="0.3">
      <c r="D3453" s="33"/>
      <c r="E3453" s="127"/>
      <c r="F3453" s="128"/>
      <c r="G3453" s="128"/>
      <c r="H3453" s="129"/>
      <c r="I3453" s="130"/>
      <c r="J3453" s="23"/>
      <c r="K3453" s="23"/>
      <c r="L3453" s="23"/>
      <c r="M3453" s="131"/>
      <c r="N3453" s="131"/>
      <c r="O3453" s="131"/>
    </row>
    <row r="3454" spans="4:15" x14ac:dyDescent="0.3">
      <c r="D3454" s="33"/>
      <c r="E3454" s="127"/>
      <c r="F3454" s="128"/>
      <c r="G3454" s="128"/>
      <c r="H3454" s="129"/>
      <c r="I3454" s="130"/>
      <c r="J3454" s="23"/>
      <c r="K3454" s="23"/>
      <c r="L3454" s="23"/>
      <c r="M3454" s="131"/>
      <c r="N3454" s="131"/>
      <c r="O3454" s="131"/>
    </row>
    <row r="3455" spans="4:15" x14ac:dyDescent="0.3">
      <c r="D3455" s="33"/>
      <c r="E3455" s="127"/>
      <c r="F3455" s="128"/>
      <c r="G3455" s="128"/>
      <c r="H3455" s="129"/>
      <c r="I3455" s="130"/>
      <c r="J3455" s="23"/>
      <c r="K3455" s="23"/>
      <c r="L3455" s="23"/>
      <c r="M3455" s="131"/>
      <c r="N3455" s="131"/>
      <c r="O3455" s="131"/>
    </row>
    <row r="3456" spans="4:15" x14ac:dyDescent="0.3">
      <c r="D3456" s="33"/>
      <c r="E3456" s="127"/>
      <c r="F3456" s="128"/>
      <c r="G3456" s="128"/>
      <c r="H3456" s="129"/>
      <c r="I3456" s="130"/>
      <c r="J3456" s="23"/>
      <c r="K3456" s="23"/>
      <c r="L3456" s="23"/>
      <c r="M3456" s="131"/>
      <c r="N3456" s="131"/>
      <c r="O3456" s="131"/>
    </row>
    <row r="3457" spans="4:15" x14ac:dyDescent="0.3">
      <c r="D3457" s="33"/>
      <c r="E3457" s="127"/>
      <c r="F3457" s="128"/>
      <c r="G3457" s="128"/>
      <c r="H3457" s="129"/>
      <c r="I3457" s="130"/>
      <c r="J3457" s="23"/>
      <c r="K3457" s="23"/>
      <c r="L3457" s="23"/>
      <c r="M3457" s="131"/>
      <c r="N3457" s="131"/>
      <c r="O3457" s="131"/>
    </row>
    <row r="3458" spans="4:15" x14ac:dyDescent="0.3">
      <c r="D3458" s="33"/>
      <c r="E3458" s="127"/>
      <c r="F3458" s="128"/>
      <c r="G3458" s="128"/>
      <c r="H3458" s="129"/>
      <c r="I3458" s="130"/>
      <c r="J3458" s="23"/>
      <c r="K3458" s="23"/>
      <c r="L3458" s="23"/>
      <c r="M3458" s="131"/>
      <c r="N3458" s="131"/>
      <c r="O3458" s="131"/>
    </row>
    <row r="3459" spans="4:15" x14ac:dyDescent="0.3">
      <c r="D3459" s="33"/>
      <c r="E3459" s="127"/>
      <c r="F3459" s="128"/>
      <c r="G3459" s="128"/>
      <c r="H3459" s="129"/>
      <c r="I3459" s="130"/>
      <c r="J3459" s="23"/>
      <c r="K3459" s="23"/>
      <c r="L3459" s="23"/>
      <c r="M3459" s="131"/>
      <c r="N3459" s="131"/>
      <c r="O3459" s="131"/>
    </row>
    <row r="3460" spans="4:15" x14ac:dyDescent="0.3">
      <c r="D3460" s="33"/>
      <c r="E3460" s="127"/>
      <c r="F3460" s="128"/>
      <c r="G3460" s="128"/>
      <c r="H3460" s="129"/>
      <c r="I3460" s="130"/>
      <c r="J3460" s="23"/>
      <c r="K3460" s="23"/>
      <c r="L3460" s="23"/>
      <c r="M3460" s="131"/>
      <c r="N3460" s="131"/>
      <c r="O3460" s="131"/>
    </row>
    <row r="3461" spans="4:15" x14ac:dyDescent="0.3">
      <c r="D3461" s="33"/>
      <c r="E3461" s="127"/>
      <c r="F3461" s="128"/>
      <c r="G3461" s="128"/>
      <c r="H3461" s="129"/>
      <c r="I3461" s="130"/>
      <c r="J3461" s="23"/>
      <c r="K3461" s="23"/>
      <c r="L3461" s="23"/>
      <c r="M3461" s="131"/>
      <c r="N3461" s="131"/>
      <c r="O3461" s="131"/>
    </row>
    <row r="3462" spans="4:15" x14ac:dyDescent="0.3">
      <c r="D3462" s="33"/>
      <c r="E3462" s="127"/>
      <c r="F3462" s="128"/>
      <c r="G3462" s="128"/>
      <c r="H3462" s="129"/>
      <c r="I3462" s="130"/>
      <c r="J3462" s="23"/>
      <c r="K3462" s="23"/>
      <c r="L3462" s="23"/>
      <c r="M3462" s="131"/>
      <c r="N3462" s="131"/>
      <c r="O3462" s="131"/>
    </row>
    <row r="3463" spans="4:15" x14ac:dyDescent="0.3">
      <c r="D3463" s="33"/>
      <c r="E3463" s="127"/>
      <c r="F3463" s="128"/>
      <c r="G3463" s="128"/>
      <c r="H3463" s="129"/>
      <c r="I3463" s="130"/>
      <c r="J3463" s="23"/>
      <c r="K3463" s="23"/>
      <c r="L3463" s="23"/>
      <c r="M3463" s="131"/>
      <c r="N3463" s="131"/>
      <c r="O3463" s="131"/>
    </row>
    <row r="3464" spans="4:15" x14ac:dyDescent="0.3">
      <c r="D3464" s="33"/>
      <c r="E3464" s="127"/>
      <c r="F3464" s="128"/>
      <c r="G3464" s="128"/>
      <c r="H3464" s="129"/>
      <c r="I3464" s="130"/>
      <c r="J3464" s="23"/>
      <c r="K3464" s="23"/>
      <c r="L3464" s="23"/>
      <c r="M3464" s="131"/>
      <c r="N3464" s="131"/>
      <c r="O3464" s="131"/>
    </row>
    <row r="3465" spans="4:15" x14ac:dyDescent="0.3">
      <c r="D3465" s="33"/>
      <c r="E3465" s="127"/>
      <c r="F3465" s="128"/>
      <c r="G3465" s="128"/>
      <c r="H3465" s="129"/>
      <c r="I3465" s="130"/>
      <c r="J3465" s="23"/>
      <c r="K3465" s="23"/>
      <c r="L3465" s="23"/>
      <c r="M3465" s="131"/>
      <c r="N3465" s="131"/>
      <c r="O3465" s="131"/>
    </row>
    <row r="3466" spans="4:15" x14ac:dyDescent="0.3">
      <c r="D3466" s="33"/>
      <c r="E3466" s="127"/>
      <c r="F3466" s="128"/>
      <c r="G3466" s="128"/>
      <c r="H3466" s="129"/>
      <c r="I3466" s="130"/>
      <c r="J3466" s="23"/>
      <c r="K3466" s="23"/>
      <c r="L3466" s="23"/>
      <c r="M3466" s="131"/>
      <c r="N3466" s="131"/>
      <c r="O3466" s="131"/>
    </row>
    <row r="3467" spans="4:15" x14ac:dyDescent="0.3">
      <c r="D3467" s="33"/>
      <c r="E3467" s="127"/>
      <c r="F3467" s="128"/>
      <c r="G3467" s="128"/>
      <c r="H3467" s="129"/>
      <c r="I3467" s="130"/>
      <c r="J3467" s="23"/>
      <c r="K3467" s="23"/>
      <c r="L3467" s="23"/>
      <c r="M3467" s="131"/>
      <c r="N3467" s="131"/>
      <c r="O3467" s="131"/>
    </row>
    <row r="3468" spans="4:15" x14ac:dyDescent="0.3">
      <c r="D3468" s="33"/>
      <c r="E3468" s="127"/>
      <c r="F3468" s="128"/>
      <c r="G3468" s="128"/>
      <c r="H3468" s="129"/>
      <c r="I3468" s="130"/>
      <c r="J3468" s="23"/>
      <c r="K3468" s="23"/>
      <c r="L3468" s="23"/>
      <c r="M3468" s="131"/>
      <c r="N3468" s="131"/>
      <c r="O3468" s="131"/>
    </row>
    <row r="3469" spans="4:15" x14ac:dyDescent="0.3">
      <c r="D3469" s="33"/>
      <c r="E3469" s="127"/>
      <c r="F3469" s="128"/>
      <c r="G3469" s="128"/>
      <c r="H3469" s="129"/>
      <c r="I3469" s="130"/>
      <c r="J3469" s="23"/>
      <c r="K3469" s="23"/>
      <c r="L3469" s="23"/>
      <c r="M3469" s="131"/>
      <c r="N3469" s="131"/>
      <c r="O3469" s="131"/>
    </row>
    <row r="3470" spans="4:15" x14ac:dyDescent="0.3">
      <c r="D3470" s="33"/>
      <c r="E3470" s="127"/>
      <c r="F3470" s="128"/>
      <c r="G3470" s="128"/>
      <c r="H3470" s="129"/>
      <c r="I3470" s="130"/>
      <c r="J3470" s="23"/>
      <c r="K3470" s="23"/>
      <c r="L3470" s="23"/>
      <c r="M3470" s="131"/>
      <c r="N3470" s="131"/>
      <c r="O3470" s="131"/>
    </row>
    <row r="3471" spans="4:15" x14ac:dyDescent="0.3">
      <c r="D3471" s="33"/>
      <c r="E3471" s="127"/>
      <c r="F3471" s="128"/>
      <c r="G3471" s="128"/>
      <c r="H3471" s="129"/>
      <c r="I3471" s="130"/>
      <c r="J3471" s="23"/>
      <c r="K3471" s="23"/>
      <c r="L3471" s="23"/>
      <c r="M3471" s="131"/>
      <c r="N3471" s="131"/>
      <c r="O3471" s="131"/>
    </row>
    <row r="3472" spans="4:15" x14ac:dyDescent="0.3">
      <c r="D3472" s="33"/>
      <c r="E3472" s="127"/>
      <c r="F3472" s="128"/>
      <c r="G3472" s="128"/>
      <c r="H3472" s="129"/>
      <c r="I3472" s="130"/>
      <c r="J3472" s="23"/>
      <c r="K3472" s="23"/>
      <c r="L3472" s="23"/>
      <c r="M3472" s="131"/>
      <c r="N3472" s="131"/>
      <c r="O3472" s="131"/>
    </row>
    <row r="3473" spans="4:15" x14ac:dyDescent="0.3">
      <c r="D3473" s="33"/>
      <c r="E3473" s="127"/>
      <c r="F3473" s="128"/>
      <c r="G3473" s="128"/>
      <c r="H3473" s="129"/>
      <c r="I3473" s="130"/>
      <c r="J3473" s="23"/>
      <c r="K3473" s="23"/>
      <c r="L3473" s="23"/>
      <c r="M3473" s="131"/>
      <c r="N3473" s="131"/>
      <c r="O3473" s="131"/>
    </row>
    <row r="3474" spans="4:15" x14ac:dyDescent="0.3">
      <c r="D3474" s="33"/>
      <c r="E3474" s="127"/>
      <c r="F3474" s="128"/>
      <c r="G3474" s="128"/>
      <c r="H3474" s="129"/>
      <c r="I3474" s="130"/>
      <c r="J3474" s="23"/>
      <c r="K3474" s="23"/>
      <c r="L3474" s="23"/>
      <c r="M3474" s="131"/>
      <c r="N3474" s="131"/>
      <c r="O3474" s="131"/>
    </row>
    <row r="3475" spans="4:15" x14ac:dyDescent="0.3">
      <c r="D3475" s="33"/>
      <c r="E3475" s="127"/>
      <c r="F3475" s="128"/>
      <c r="G3475" s="128"/>
      <c r="H3475" s="129"/>
      <c r="I3475" s="130"/>
      <c r="J3475" s="23"/>
      <c r="K3475" s="23"/>
      <c r="L3475" s="23"/>
      <c r="M3475" s="131"/>
      <c r="N3475" s="131"/>
      <c r="O3475" s="131"/>
    </row>
    <row r="3476" spans="4:15" x14ac:dyDescent="0.3">
      <c r="D3476" s="33"/>
      <c r="E3476" s="127"/>
      <c r="F3476" s="128"/>
      <c r="G3476" s="128"/>
      <c r="H3476" s="129"/>
      <c r="I3476" s="130"/>
      <c r="J3476" s="23"/>
      <c r="K3476" s="23"/>
      <c r="L3476" s="23"/>
      <c r="M3476" s="131"/>
      <c r="N3476" s="131"/>
      <c r="O3476" s="131"/>
    </row>
    <row r="3477" spans="4:15" x14ac:dyDescent="0.3">
      <c r="D3477" s="33"/>
      <c r="E3477" s="127"/>
      <c r="F3477" s="128"/>
      <c r="G3477" s="128"/>
      <c r="H3477" s="129"/>
      <c r="I3477" s="130"/>
      <c r="J3477" s="23"/>
      <c r="K3477" s="23"/>
      <c r="L3477" s="23"/>
      <c r="M3477" s="131"/>
      <c r="N3477" s="131"/>
      <c r="O3477" s="131"/>
    </row>
    <row r="3478" spans="4:15" x14ac:dyDescent="0.3">
      <c r="D3478" s="33"/>
      <c r="E3478" s="127"/>
      <c r="F3478" s="128"/>
      <c r="G3478" s="128"/>
      <c r="H3478" s="129"/>
      <c r="I3478" s="130"/>
      <c r="J3478" s="23"/>
      <c r="K3478" s="23"/>
      <c r="L3478" s="23"/>
      <c r="M3478" s="131"/>
      <c r="N3478" s="131"/>
      <c r="O3478" s="131"/>
    </row>
    <row r="3479" spans="4:15" x14ac:dyDescent="0.3">
      <c r="D3479" s="33"/>
      <c r="E3479" s="127"/>
      <c r="F3479" s="128"/>
      <c r="G3479" s="128"/>
      <c r="H3479" s="129"/>
      <c r="I3479" s="130"/>
      <c r="J3479" s="23"/>
      <c r="K3479" s="23"/>
      <c r="L3479" s="23"/>
      <c r="M3479" s="131"/>
      <c r="N3479" s="131"/>
      <c r="O3479" s="131"/>
    </row>
    <row r="3480" spans="4:15" x14ac:dyDescent="0.3">
      <c r="D3480" s="33"/>
      <c r="E3480" s="127"/>
      <c r="F3480" s="128"/>
      <c r="G3480" s="128"/>
      <c r="H3480" s="129"/>
      <c r="I3480" s="130"/>
      <c r="J3480" s="23"/>
      <c r="K3480" s="23"/>
      <c r="L3480" s="23"/>
      <c r="M3480" s="131"/>
      <c r="N3480" s="131"/>
      <c r="O3480" s="131"/>
    </row>
    <row r="3481" spans="4:15" x14ac:dyDescent="0.3">
      <c r="D3481" s="33"/>
      <c r="E3481" s="127"/>
      <c r="F3481" s="128"/>
      <c r="G3481" s="128"/>
      <c r="H3481" s="129"/>
      <c r="I3481" s="130"/>
      <c r="J3481" s="23"/>
      <c r="K3481" s="23"/>
      <c r="L3481" s="23"/>
      <c r="M3481" s="131"/>
      <c r="N3481" s="131"/>
      <c r="O3481" s="131"/>
    </row>
    <row r="3482" spans="4:15" x14ac:dyDescent="0.3">
      <c r="D3482" s="33"/>
      <c r="E3482" s="127"/>
      <c r="F3482" s="128"/>
      <c r="G3482" s="128"/>
      <c r="H3482" s="129"/>
      <c r="I3482" s="130"/>
      <c r="J3482" s="23"/>
      <c r="K3482" s="23"/>
      <c r="L3482" s="23"/>
      <c r="M3482" s="131"/>
      <c r="N3482" s="131"/>
      <c r="O3482" s="131"/>
    </row>
    <row r="3483" spans="4:15" x14ac:dyDescent="0.3">
      <c r="D3483" s="33"/>
      <c r="E3483" s="127"/>
      <c r="F3483" s="128"/>
      <c r="G3483" s="128"/>
      <c r="H3483" s="129"/>
      <c r="I3483" s="130"/>
      <c r="J3483" s="23"/>
      <c r="K3483" s="23"/>
      <c r="L3483" s="23"/>
      <c r="M3483" s="131"/>
      <c r="N3483" s="131"/>
      <c r="O3483" s="131"/>
    </row>
    <row r="3484" spans="4:15" x14ac:dyDescent="0.3">
      <c r="D3484" s="33"/>
      <c r="E3484" s="127"/>
      <c r="F3484" s="128"/>
      <c r="G3484" s="128"/>
      <c r="H3484" s="129"/>
      <c r="I3484" s="130"/>
      <c r="J3484" s="23"/>
      <c r="K3484" s="23"/>
      <c r="L3484" s="23"/>
      <c r="M3484" s="131"/>
      <c r="N3484" s="131"/>
      <c r="O3484" s="131"/>
    </row>
    <row r="3485" spans="4:15" x14ac:dyDescent="0.3">
      <c r="D3485" s="33"/>
      <c r="E3485" s="127"/>
      <c r="F3485" s="128"/>
      <c r="G3485" s="128"/>
      <c r="H3485" s="129"/>
      <c r="I3485" s="130"/>
      <c r="J3485" s="23"/>
      <c r="K3485" s="23"/>
      <c r="L3485" s="23"/>
      <c r="M3485" s="131"/>
      <c r="N3485" s="131"/>
      <c r="O3485" s="131"/>
    </row>
    <row r="3486" spans="4:15" x14ac:dyDescent="0.3">
      <c r="D3486" s="33"/>
      <c r="E3486" s="127"/>
      <c r="F3486" s="128"/>
      <c r="G3486" s="128"/>
      <c r="H3486" s="129"/>
      <c r="I3486" s="130"/>
      <c r="J3486" s="23"/>
      <c r="K3486" s="23"/>
      <c r="L3486" s="23"/>
      <c r="M3486" s="131"/>
      <c r="N3486" s="131"/>
      <c r="O3486" s="131"/>
    </row>
    <row r="3487" spans="4:15" x14ac:dyDescent="0.3">
      <c r="D3487" s="33"/>
      <c r="E3487" s="127"/>
      <c r="F3487" s="128"/>
      <c r="G3487" s="128"/>
      <c r="H3487" s="129"/>
      <c r="I3487" s="130"/>
      <c r="J3487" s="23"/>
      <c r="K3487" s="23"/>
      <c r="L3487" s="23"/>
      <c r="M3487" s="131"/>
      <c r="N3487" s="131"/>
      <c r="O3487" s="131"/>
    </row>
    <row r="3488" spans="4:15" x14ac:dyDescent="0.3">
      <c r="D3488" s="33"/>
      <c r="E3488" s="127"/>
      <c r="F3488" s="128"/>
      <c r="G3488" s="128"/>
      <c r="H3488" s="129"/>
      <c r="I3488" s="130"/>
      <c r="J3488" s="23"/>
      <c r="K3488" s="23"/>
      <c r="L3488" s="23"/>
      <c r="M3488" s="131"/>
      <c r="N3488" s="131"/>
      <c r="O3488" s="131"/>
    </row>
    <row r="3489" spans="4:15" x14ac:dyDescent="0.3">
      <c r="D3489" s="33"/>
      <c r="E3489" s="127"/>
      <c r="F3489" s="128"/>
      <c r="G3489" s="128"/>
      <c r="H3489" s="129"/>
      <c r="I3489" s="130"/>
      <c r="J3489" s="23"/>
      <c r="K3489" s="23"/>
      <c r="L3489" s="23"/>
      <c r="M3489" s="131"/>
      <c r="N3489" s="131"/>
      <c r="O3489" s="131"/>
    </row>
    <row r="3490" spans="4:15" x14ac:dyDescent="0.3">
      <c r="D3490" s="33"/>
      <c r="E3490" s="127"/>
      <c r="F3490" s="128"/>
      <c r="G3490" s="128"/>
      <c r="H3490" s="129"/>
      <c r="I3490" s="130"/>
      <c r="J3490" s="23"/>
      <c r="K3490" s="23"/>
      <c r="L3490" s="23"/>
      <c r="M3490" s="131"/>
      <c r="N3490" s="131"/>
      <c r="O3490" s="131"/>
    </row>
    <row r="3491" spans="4:15" x14ac:dyDescent="0.3">
      <c r="D3491" s="33"/>
      <c r="E3491" s="127"/>
      <c r="F3491" s="128"/>
      <c r="G3491" s="128"/>
      <c r="H3491" s="129"/>
      <c r="I3491" s="130"/>
      <c r="J3491" s="23"/>
      <c r="K3491" s="23"/>
      <c r="L3491" s="23"/>
      <c r="M3491" s="131"/>
      <c r="N3491" s="131"/>
      <c r="O3491" s="131"/>
    </row>
    <row r="3492" spans="4:15" x14ac:dyDescent="0.3">
      <c r="D3492" s="33"/>
      <c r="E3492" s="127"/>
      <c r="F3492" s="128"/>
      <c r="G3492" s="128"/>
      <c r="H3492" s="129"/>
      <c r="I3492" s="130"/>
      <c r="J3492" s="23"/>
      <c r="K3492" s="23"/>
      <c r="L3492" s="23"/>
      <c r="M3492" s="131"/>
      <c r="N3492" s="131"/>
      <c r="O3492" s="131"/>
    </row>
    <row r="3493" spans="4:15" x14ac:dyDescent="0.3">
      <c r="D3493" s="33"/>
      <c r="E3493" s="127"/>
      <c r="F3493" s="128"/>
      <c r="G3493" s="128"/>
      <c r="H3493" s="129"/>
      <c r="I3493" s="130"/>
      <c r="J3493" s="23"/>
      <c r="K3493" s="23"/>
      <c r="L3493" s="23"/>
      <c r="M3493" s="131"/>
      <c r="N3493" s="131"/>
      <c r="O3493" s="131"/>
    </row>
    <row r="3494" spans="4:15" x14ac:dyDescent="0.3">
      <c r="D3494" s="33"/>
      <c r="E3494" s="127"/>
      <c r="F3494" s="128"/>
      <c r="G3494" s="128"/>
      <c r="H3494" s="129"/>
      <c r="I3494" s="130"/>
      <c r="J3494" s="23"/>
      <c r="K3494" s="23"/>
      <c r="L3494" s="23"/>
      <c r="M3494" s="131"/>
      <c r="N3494" s="131"/>
      <c r="O3494" s="131"/>
    </row>
    <row r="3495" spans="4:15" x14ac:dyDescent="0.3">
      <c r="D3495" s="33"/>
      <c r="E3495" s="127"/>
      <c r="F3495" s="128"/>
      <c r="G3495" s="128"/>
      <c r="H3495" s="129"/>
      <c r="I3495" s="130"/>
      <c r="J3495" s="23"/>
      <c r="K3495" s="23"/>
      <c r="L3495" s="23"/>
      <c r="M3495" s="131"/>
      <c r="N3495" s="131"/>
      <c r="O3495" s="131"/>
    </row>
    <row r="3496" spans="4:15" x14ac:dyDescent="0.3">
      <c r="D3496" s="33"/>
      <c r="E3496" s="127"/>
      <c r="F3496" s="128"/>
      <c r="G3496" s="128"/>
      <c r="H3496" s="129"/>
      <c r="I3496" s="130"/>
      <c r="J3496" s="23"/>
      <c r="K3496" s="23"/>
      <c r="L3496" s="23"/>
      <c r="M3496" s="131"/>
      <c r="N3496" s="131"/>
      <c r="O3496" s="131"/>
    </row>
    <row r="3497" spans="4:15" x14ac:dyDescent="0.3">
      <c r="D3497" s="33"/>
      <c r="E3497" s="127"/>
      <c r="F3497" s="128"/>
      <c r="G3497" s="128"/>
      <c r="H3497" s="129"/>
      <c r="I3497" s="130"/>
      <c r="J3497" s="23"/>
      <c r="K3497" s="23"/>
      <c r="L3497" s="23"/>
      <c r="M3497" s="131"/>
      <c r="N3497" s="131"/>
      <c r="O3497" s="131"/>
    </row>
    <row r="3498" spans="4:15" x14ac:dyDescent="0.3">
      <c r="D3498" s="33"/>
      <c r="E3498" s="127"/>
      <c r="F3498" s="128"/>
      <c r="G3498" s="128"/>
      <c r="H3498" s="129"/>
      <c r="I3498" s="130"/>
      <c r="J3498" s="23"/>
      <c r="K3498" s="23"/>
      <c r="L3498" s="23"/>
      <c r="M3498" s="131"/>
      <c r="N3498" s="131"/>
      <c r="O3498" s="131"/>
    </row>
    <row r="3499" spans="4:15" x14ac:dyDescent="0.3">
      <c r="D3499" s="33"/>
      <c r="E3499" s="127"/>
      <c r="F3499" s="128"/>
      <c r="G3499" s="128"/>
      <c r="H3499" s="129"/>
      <c r="I3499" s="130"/>
      <c r="J3499" s="23"/>
      <c r="K3499" s="23"/>
      <c r="L3499" s="23"/>
      <c r="M3499" s="131"/>
      <c r="N3499" s="131"/>
      <c r="O3499" s="131"/>
    </row>
    <row r="3500" spans="4:15" x14ac:dyDescent="0.3">
      <c r="D3500" s="33"/>
      <c r="E3500" s="127"/>
      <c r="F3500" s="128"/>
      <c r="G3500" s="128"/>
      <c r="H3500" s="129"/>
      <c r="I3500" s="130"/>
      <c r="J3500" s="23"/>
      <c r="K3500" s="23"/>
      <c r="L3500" s="23"/>
      <c r="M3500" s="131"/>
      <c r="N3500" s="131"/>
      <c r="O3500" s="131"/>
    </row>
    <row r="3501" spans="4:15" x14ac:dyDescent="0.3">
      <c r="D3501" s="33"/>
      <c r="E3501" s="127"/>
      <c r="F3501" s="128"/>
      <c r="G3501" s="128"/>
      <c r="H3501" s="129"/>
      <c r="I3501" s="130"/>
      <c r="J3501" s="23"/>
      <c r="K3501" s="23"/>
      <c r="L3501" s="23"/>
      <c r="M3501" s="131"/>
      <c r="N3501" s="131"/>
      <c r="O3501" s="131"/>
    </row>
    <row r="3502" spans="4:15" x14ac:dyDescent="0.3">
      <c r="D3502" s="33"/>
      <c r="E3502" s="127"/>
      <c r="F3502" s="128"/>
      <c r="G3502" s="128"/>
      <c r="H3502" s="129"/>
      <c r="I3502" s="130"/>
      <c r="J3502" s="23"/>
      <c r="K3502" s="23"/>
      <c r="L3502" s="23"/>
      <c r="M3502" s="131"/>
      <c r="N3502" s="131"/>
      <c r="O3502" s="131"/>
    </row>
    <row r="3503" spans="4:15" x14ac:dyDescent="0.3">
      <c r="D3503" s="33"/>
      <c r="E3503" s="127"/>
      <c r="F3503" s="128"/>
      <c r="G3503" s="128"/>
      <c r="H3503" s="129"/>
      <c r="I3503" s="130"/>
      <c r="J3503" s="23"/>
      <c r="K3503" s="23"/>
      <c r="L3503" s="23"/>
      <c r="M3503" s="131"/>
      <c r="N3503" s="131"/>
      <c r="O3503" s="131"/>
    </row>
    <row r="3504" spans="4:15" x14ac:dyDescent="0.3">
      <c r="D3504" s="33"/>
      <c r="E3504" s="127"/>
      <c r="F3504" s="128"/>
      <c r="G3504" s="128"/>
      <c r="H3504" s="129"/>
      <c r="I3504" s="130"/>
      <c r="J3504" s="23"/>
      <c r="K3504" s="23"/>
      <c r="L3504" s="23"/>
      <c r="M3504" s="131"/>
      <c r="N3504" s="131"/>
      <c r="O3504" s="131"/>
    </row>
    <row r="3505" spans="4:15" x14ac:dyDescent="0.3">
      <c r="D3505" s="33"/>
      <c r="E3505" s="127"/>
      <c r="F3505" s="128"/>
      <c r="G3505" s="128"/>
      <c r="H3505" s="129"/>
      <c r="I3505" s="130"/>
      <c r="J3505" s="23"/>
      <c r="K3505" s="23"/>
      <c r="L3505" s="23"/>
      <c r="M3505" s="131"/>
      <c r="N3505" s="131"/>
      <c r="O3505" s="131"/>
    </row>
    <row r="3506" spans="4:15" x14ac:dyDescent="0.3">
      <c r="D3506" s="33"/>
      <c r="E3506" s="127"/>
      <c r="F3506" s="128"/>
      <c r="G3506" s="128"/>
      <c r="H3506" s="129"/>
      <c r="I3506" s="130"/>
      <c r="J3506" s="23"/>
      <c r="K3506" s="23"/>
      <c r="L3506" s="23"/>
      <c r="M3506" s="131"/>
      <c r="N3506" s="131"/>
      <c r="O3506" s="131"/>
    </row>
    <row r="3507" spans="4:15" x14ac:dyDescent="0.3">
      <c r="D3507" s="33"/>
      <c r="E3507" s="127"/>
      <c r="F3507" s="128"/>
      <c r="G3507" s="128"/>
      <c r="H3507" s="129"/>
      <c r="I3507" s="130"/>
      <c r="J3507" s="23"/>
      <c r="K3507" s="23"/>
      <c r="L3507" s="23"/>
      <c r="M3507" s="131"/>
      <c r="N3507" s="131"/>
      <c r="O3507" s="131"/>
    </row>
    <row r="3508" spans="4:15" x14ac:dyDescent="0.3">
      <c r="D3508" s="33"/>
      <c r="E3508" s="127"/>
      <c r="F3508" s="128"/>
      <c r="G3508" s="128"/>
      <c r="H3508" s="129"/>
      <c r="I3508" s="130"/>
      <c r="J3508" s="23"/>
      <c r="K3508" s="23"/>
      <c r="L3508" s="23"/>
      <c r="M3508" s="131"/>
      <c r="N3508" s="131"/>
      <c r="O3508" s="131"/>
    </row>
    <row r="3509" spans="4:15" x14ac:dyDescent="0.3">
      <c r="D3509" s="33"/>
      <c r="E3509" s="127"/>
      <c r="F3509" s="128"/>
      <c r="G3509" s="128"/>
      <c r="H3509" s="129"/>
      <c r="I3509" s="130"/>
      <c r="J3509" s="23"/>
      <c r="K3509" s="23"/>
      <c r="L3509" s="23"/>
      <c r="M3509" s="131"/>
      <c r="N3509" s="131"/>
      <c r="O3509" s="131"/>
    </row>
    <row r="3510" spans="4:15" x14ac:dyDescent="0.3">
      <c r="D3510" s="33"/>
      <c r="E3510" s="127"/>
      <c r="F3510" s="128"/>
      <c r="G3510" s="128"/>
      <c r="H3510" s="129"/>
      <c r="I3510" s="130"/>
      <c r="J3510" s="23"/>
      <c r="K3510" s="23"/>
      <c r="L3510" s="23"/>
      <c r="M3510" s="131"/>
      <c r="N3510" s="131"/>
      <c r="O3510" s="131"/>
    </row>
    <row r="3511" spans="4:15" x14ac:dyDescent="0.3">
      <c r="D3511" s="33"/>
      <c r="E3511" s="127"/>
      <c r="F3511" s="128"/>
      <c r="G3511" s="128"/>
      <c r="H3511" s="129"/>
      <c r="I3511" s="130"/>
      <c r="J3511" s="23"/>
      <c r="K3511" s="23"/>
      <c r="L3511" s="23"/>
      <c r="M3511" s="131"/>
      <c r="N3511" s="131"/>
      <c r="O3511" s="131"/>
    </row>
    <row r="3512" spans="4:15" x14ac:dyDescent="0.3">
      <c r="D3512" s="33"/>
      <c r="E3512" s="127"/>
      <c r="F3512" s="128"/>
      <c r="G3512" s="128"/>
      <c r="H3512" s="129"/>
      <c r="I3512" s="130"/>
      <c r="J3512" s="23"/>
      <c r="K3512" s="23"/>
      <c r="L3512" s="23"/>
      <c r="M3512" s="131"/>
      <c r="N3512" s="131"/>
      <c r="O3512" s="131"/>
    </row>
    <row r="3513" spans="4:15" x14ac:dyDescent="0.3">
      <c r="D3513" s="33"/>
      <c r="E3513" s="127"/>
      <c r="F3513" s="128"/>
      <c r="G3513" s="128"/>
      <c r="H3513" s="129"/>
      <c r="I3513" s="130"/>
      <c r="J3513" s="23"/>
      <c r="K3513" s="23"/>
      <c r="L3513" s="23"/>
      <c r="M3513" s="131"/>
      <c r="N3513" s="131"/>
      <c r="O3513" s="131"/>
    </row>
    <row r="3514" spans="4:15" x14ac:dyDescent="0.3">
      <c r="D3514" s="33"/>
      <c r="E3514" s="127"/>
      <c r="F3514" s="128"/>
      <c r="G3514" s="128"/>
      <c r="H3514" s="129"/>
      <c r="I3514" s="130"/>
      <c r="J3514" s="23"/>
      <c r="K3514" s="23"/>
      <c r="L3514" s="23"/>
      <c r="M3514" s="131"/>
      <c r="N3514" s="131"/>
      <c r="O3514" s="131"/>
    </row>
    <row r="3515" spans="4:15" x14ac:dyDescent="0.3">
      <c r="D3515" s="33"/>
      <c r="E3515" s="127"/>
      <c r="F3515" s="128"/>
      <c r="G3515" s="128"/>
      <c r="H3515" s="129"/>
      <c r="I3515" s="130"/>
      <c r="J3515" s="23"/>
      <c r="K3515" s="23"/>
      <c r="L3515" s="23"/>
      <c r="M3515" s="131"/>
      <c r="N3515" s="131"/>
      <c r="O3515" s="131"/>
    </row>
    <row r="3516" spans="4:15" x14ac:dyDescent="0.3">
      <c r="D3516" s="33"/>
      <c r="E3516" s="127"/>
      <c r="F3516" s="128"/>
      <c r="G3516" s="128"/>
      <c r="H3516" s="129"/>
      <c r="I3516" s="130"/>
      <c r="J3516" s="23"/>
      <c r="K3516" s="23"/>
      <c r="L3516" s="23"/>
      <c r="M3516" s="131"/>
      <c r="N3516" s="131"/>
      <c r="O3516" s="131"/>
    </row>
    <row r="3517" spans="4:15" x14ac:dyDescent="0.3">
      <c r="D3517" s="33"/>
      <c r="E3517" s="127"/>
      <c r="F3517" s="128"/>
      <c r="G3517" s="128"/>
      <c r="H3517" s="129"/>
      <c r="I3517" s="130"/>
      <c r="J3517" s="23"/>
      <c r="K3517" s="23"/>
      <c r="L3517" s="23"/>
      <c r="M3517" s="131"/>
      <c r="N3517" s="131"/>
      <c r="O3517" s="131"/>
    </row>
    <row r="3518" spans="4:15" x14ac:dyDescent="0.3">
      <c r="D3518" s="33"/>
      <c r="E3518" s="127"/>
      <c r="F3518" s="128"/>
      <c r="G3518" s="128"/>
      <c r="H3518" s="129"/>
      <c r="I3518" s="130"/>
      <c r="J3518" s="23"/>
      <c r="K3518" s="23"/>
      <c r="L3518" s="23"/>
      <c r="M3518" s="131"/>
      <c r="N3518" s="131"/>
      <c r="O3518" s="131"/>
    </row>
    <row r="3519" spans="4:15" x14ac:dyDescent="0.3">
      <c r="D3519" s="33"/>
      <c r="E3519" s="127"/>
      <c r="F3519" s="128"/>
      <c r="G3519" s="128"/>
      <c r="H3519" s="129"/>
      <c r="I3519" s="130"/>
      <c r="J3519" s="23"/>
      <c r="K3519" s="23"/>
      <c r="L3519" s="23"/>
      <c r="M3519" s="131"/>
      <c r="N3519" s="131"/>
      <c r="O3519" s="131"/>
    </row>
    <row r="3520" spans="4:15" x14ac:dyDescent="0.3">
      <c r="D3520" s="33"/>
      <c r="E3520" s="127"/>
      <c r="F3520" s="128"/>
      <c r="G3520" s="128"/>
      <c r="H3520" s="129"/>
      <c r="I3520" s="130"/>
      <c r="J3520" s="23"/>
      <c r="K3520" s="23"/>
      <c r="L3520" s="23"/>
      <c r="M3520" s="131"/>
      <c r="N3520" s="131"/>
      <c r="O3520" s="131"/>
    </row>
    <row r="3521" spans="4:15" x14ac:dyDescent="0.3">
      <c r="D3521" s="33"/>
      <c r="E3521" s="127"/>
      <c r="F3521" s="128"/>
      <c r="G3521" s="128"/>
      <c r="H3521" s="129"/>
      <c r="I3521" s="130"/>
      <c r="J3521" s="23"/>
      <c r="K3521" s="23"/>
      <c r="L3521" s="23"/>
      <c r="M3521" s="131"/>
      <c r="N3521" s="131"/>
      <c r="O3521" s="131"/>
    </row>
    <row r="3522" spans="4:15" x14ac:dyDescent="0.3">
      <c r="D3522" s="33"/>
      <c r="E3522" s="127"/>
      <c r="F3522" s="128"/>
      <c r="G3522" s="128"/>
      <c r="H3522" s="129"/>
      <c r="I3522" s="130"/>
      <c r="J3522" s="23"/>
      <c r="K3522" s="23"/>
      <c r="L3522" s="23"/>
      <c r="M3522" s="131"/>
      <c r="N3522" s="131"/>
      <c r="O3522" s="131"/>
    </row>
    <row r="3523" spans="4:15" x14ac:dyDescent="0.3">
      <c r="D3523" s="33"/>
      <c r="E3523" s="127"/>
      <c r="F3523" s="128"/>
      <c r="G3523" s="128"/>
      <c r="H3523" s="129"/>
      <c r="I3523" s="130"/>
      <c r="J3523" s="23"/>
      <c r="K3523" s="23"/>
      <c r="L3523" s="23"/>
      <c r="M3523" s="131"/>
      <c r="N3523" s="131"/>
      <c r="O3523" s="131"/>
    </row>
    <row r="3524" spans="4:15" x14ac:dyDescent="0.3">
      <c r="D3524" s="33"/>
      <c r="E3524" s="127"/>
      <c r="F3524" s="128"/>
      <c r="G3524" s="128"/>
      <c r="H3524" s="129"/>
      <c r="I3524" s="130"/>
      <c r="J3524" s="23"/>
      <c r="K3524" s="23"/>
      <c r="L3524" s="23"/>
      <c r="M3524" s="131"/>
      <c r="N3524" s="131"/>
      <c r="O3524" s="131"/>
    </row>
    <row r="3525" spans="4:15" x14ac:dyDescent="0.3">
      <c r="D3525" s="33"/>
      <c r="E3525" s="127"/>
      <c r="F3525" s="128"/>
      <c r="G3525" s="128"/>
      <c r="H3525" s="129"/>
      <c r="I3525" s="130"/>
      <c r="J3525" s="23"/>
      <c r="K3525" s="23"/>
      <c r="L3525" s="23"/>
      <c r="M3525" s="131"/>
      <c r="N3525" s="131"/>
      <c r="O3525" s="131"/>
    </row>
    <row r="3526" spans="4:15" x14ac:dyDescent="0.3">
      <c r="D3526" s="33"/>
      <c r="E3526" s="127"/>
      <c r="F3526" s="128"/>
      <c r="G3526" s="128"/>
      <c r="H3526" s="129"/>
      <c r="I3526" s="130"/>
      <c r="J3526" s="23"/>
      <c r="K3526" s="23"/>
      <c r="L3526" s="23"/>
      <c r="M3526" s="131"/>
      <c r="N3526" s="131"/>
      <c r="O3526" s="131"/>
    </row>
    <row r="3527" spans="4:15" x14ac:dyDescent="0.3">
      <c r="D3527" s="33"/>
      <c r="E3527" s="127"/>
      <c r="F3527" s="128"/>
      <c r="G3527" s="128"/>
      <c r="H3527" s="129"/>
      <c r="I3527" s="130"/>
      <c r="J3527" s="23"/>
      <c r="K3527" s="23"/>
      <c r="L3527" s="23"/>
      <c r="M3527" s="131"/>
      <c r="N3527" s="131"/>
      <c r="O3527" s="131"/>
    </row>
    <row r="3528" spans="4:15" x14ac:dyDescent="0.3">
      <c r="D3528" s="33"/>
      <c r="E3528" s="127"/>
      <c r="F3528" s="128"/>
      <c r="G3528" s="128"/>
      <c r="H3528" s="129"/>
      <c r="I3528" s="130"/>
      <c r="J3528" s="23"/>
      <c r="K3528" s="23"/>
      <c r="L3528" s="23"/>
      <c r="M3528" s="131"/>
      <c r="N3528" s="131"/>
      <c r="O3528" s="131"/>
    </row>
    <row r="3529" spans="4:15" x14ac:dyDescent="0.3">
      <c r="D3529" s="33"/>
      <c r="E3529" s="127"/>
      <c r="F3529" s="128"/>
      <c r="G3529" s="128"/>
      <c r="H3529" s="129"/>
      <c r="I3529" s="130"/>
      <c r="J3529" s="23"/>
      <c r="K3529" s="23"/>
      <c r="L3529" s="23"/>
      <c r="M3529" s="131"/>
      <c r="N3529" s="131"/>
      <c r="O3529" s="131"/>
    </row>
    <row r="3530" spans="4:15" x14ac:dyDescent="0.3">
      <c r="D3530" s="33"/>
      <c r="E3530" s="127"/>
      <c r="F3530" s="128"/>
      <c r="G3530" s="128"/>
      <c r="H3530" s="129"/>
      <c r="I3530" s="130"/>
      <c r="J3530" s="23"/>
      <c r="K3530" s="23"/>
      <c r="L3530" s="23"/>
      <c r="M3530" s="131"/>
      <c r="N3530" s="131"/>
      <c r="O3530" s="131"/>
    </row>
    <row r="3531" spans="4:15" x14ac:dyDescent="0.3">
      <c r="D3531" s="33"/>
      <c r="E3531" s="127"/>
      <c r="F3531" s="128"/>
      <c r="G3531" s="128"/>
      <c r="H3531" s="129"/>
      <c r="I3531" s="130"/>
      <c r="J3531" s="23"/>
      <c r="K3531" s="23"/>
      <c r="L3531" s="23"/>
      <c r="M3531" s="131"/>
      <c r="N3531" s="131"/>
      <c r="O3531" s="131"/>
    </row>
    <row r="3532" spans="4:15" x14ac:dyDescent="0.3">
      <c r="D3532" s="33"/>
      <c r="E3532" s="127"/>
      <c r="F3532" s="128"/>
      <c r="G3532" s="128"/>
      <c r="H3532" s="129"/>
      <c r="I3532" s="130"/>
      <c r="J3532" s="23"/>
      <c r="K3532" s="23"/>
      <c r="L3532" s="23"/>
      <c r="M3532" s="131"/>
      <c r="N3532" s="131"/>
      <c r="O3532" s="131"/>
    </row>
    <row r="3533" spans="4:15" x14ac:dyDescent="0.3">
      <c r="D3533" s="33"/>
      <c r="E3533" s="127"/>
      <c r="F3533" s="128"/>
      <c r="G3533" s="128"/>
      <c r="H3533" s="129"/>
      <c r="I3533" s="130"/>
      <c r="J3533" s="23"/>
      <c r="K3533" s="23"/>
      <c r="L3533" s="23"/>
      <c r="M3533" s="131"/>
      <c r="N3533" s="131"/>
      <c r="O3533" s="131"/>
    </row>
    <row r="3534" spans="4:15" x14ac:dyDescent="0.3">
      <c r="D3534" s="33"/>
      <c r="E3534" s="127"/>
      <c r="F3534" s="128"/>
      <c r="G3534" s="128"/>
      <c r="H3534" s="129"/>
      <c r="I3534" s="130"/>
      <c r="J3534" s="23"/>
      <c r="K3534" s="23"/>
      <c r="L3534" s="23"/>
      <c r="M3534" s="131"/>
      <c r="N3534" s="131"/>
      <c r="O3534" s="131"/>
    </row>
    <row r="3535" spans="4:15" x14ac:dyDescent="0.3">
      <c r="D3535" s="33"/>
      <c r="E3535" s="127"/>
      <c r="F3535" s="128"/>
      <c r="G3535" s="128"/>
      <c r="H3535" s="129"/>
      <c r="I3535" s="130"/>
      <c r="J3535" s="23"/>
      <c r="K3535" s="23"/>
      <c r="L3535" s="23"/>
      <c r="M3535" s="131"/>
      <c r="N3535" s="131"/>
      <c r="O3535" s="131"/>
    </row>
    <row r="3536" spans="4:15" x14ac:dyDescent="0.3">
      <c r="D3536" s="33"/>
      <c r="E3536" s="127"/>
      <c r="F3536" s="128"/>
      <c r="G3536" s="128"/>
      <c r="H3536" s="129"/>
      <c r="I3536" s="130"/>
      <c r="J3536" s="23"/>
      <c r="K3536" s="23"/>
      <c r="L3536" s="23"/>
      <c r="M3536" s="131"/>
      <c r="N3536" s="131"/>
      <c r="O3536" s="131"/>
    </row>
    <row r="3537" spans="4:15" x14ac:dyDescent="0.3">
      <c r="D3537" s="33"/>
      <c r="E3537" s="127"/>
      <c r="F3537" s="128"/>
      <c r="G3537" s="128"/>
      <c r="H3537" s="129"/>
      <c r="I3537" s="130"/>
      <c r="J3537" s="23"/>
      <c r="K3537" s="23"/>
      <c r="L3537" s="23"/>
      <c r="M3537" s="131"/>
      <c r="N3537" s="131"/>
      <c r="O3537" s="131"/>
    </row>
    <row r="3538" spans="4:15" x14ac:dyDescent="0.3">
      <c r="D3538" s="33"/>
      <c r="E3538" s="127"/>
      <c r="F3538" s="128"/>
      <c r="G3538" s="128"/>
      <c r="H3538" s="129"/>
      <c r="I3538" s="130"/>
      <c r="J3538" s="23"/>
      <c r="K3538" s="23"/>
      <c r="L3538" s="23"/>
      <c r="M3538" s="131"/>
      <c r="N3538" s="131"/>
      <c r="O3538" s="131"/>
    </row>
    <row r="3539" spans="4:15" x14ac:dyDescent="0.3">
      <c r="D3539" s="33"/>
      <c r="E3539" s="127"/>
      <c r="F3539" s="128"/>
      <c r="G3539" s="128"/>
      <c r="H3539" s="129"/>
      <c r="I3539" s="130"/>
      <c r="J3539" s="23"/>
      <c r="K3539" s="23"/>
      <c r="L3539" s="23"/>
      <c r="M3539" s="131"/>
      <c r="N3539" s="131"/>
      <c r="O3539" s="131"/>
    </row>
    <row r="3540" spans="4:15" x14ac:dyDescent="0.3">
      <c r="D3540" s="33"/>
      <c r="E3540" s="127"/>
      <c r="F3540" s="128"/>
      <c r="G3540" s="128"/>
      <c r="H3540" s="129"/>
      <c r="I3540" s="130"/>
      <c r="J3540" s="23"/>
      <c r="K3540" s="23"/>
      <c r="L3540" s="23"/>
      <c r="M3540" s="131"/>
      <c r="N3540" s="131"/>
      <c r="O3540" s="131"/>
    </row>
    <row r="3541" spans="4:15" x14ac:dyDescent="0.3">
      <c r="D3541" s="33"/>
      <c r="E3541" s="127"/>
      <c r="F3541" s="128"/>
      <c r="G3541" s="128"/>
      <c r="H3541" s="129"/>
      <c r="I3541" s="130"/>
      <c r="J3541" s="23"/>
      <c r="K3541" s="23"/>
      <c r="L3541" s="23"/>
      <c r="M3541" s="131"/>
      <c r="N3541" s="131"/>
      <c r="O3541" s="131"/>
    </row>
    <row r="3542" spans="4:15" x14ac:dyDescent="0.3">
      <c r="D3542" s="33"/>
      <c r="E3542" s="127"/>
      <c r="F3542" s="128"/>
      <c r="G3542" s="128"/>
      <c r="H3542" s="129"/>
      <c r="I3542" s="130"/>
      <c r="J3542" s="23"/>
      <c r="K3542" s="23"/>
      <c r="L3542" s="23"/>
      <c r="M3542" s="131"/>
      <c r="N3542" s="131"/>
      <c r="O3542" s="131"/>
    </row>
    <row r="3543" spans="4:15" x14ac:dyDescent="0.3">
      <c r="D3543" s="33"/>
      <c r="E3543" s="127"/>
      <c r="F3543" s="128"/>
      <c r="G3543" s="128"/>
      <c r="H3543" s="129"/>
      <c r="I3543" s="130"/>
      <c r="J3543" s="23"/>
      <c r="K3543" s="23"/>
      <c r="L3543" s="23"/>
      <c r="M3543" s="131"/>
      <c r="N3543" s="131"/>
      <c r="O3543" s="131"/>
    </row>
    <row r="3544" spans="4:15" x14ac:dyDescent="0.3">
      <c r="D3544" s="33"/>
      <c r="E3544" s="127"/>
      <c r="F3544" s="128"/>
      <c r="G3544" s="128"/>
      <c r="H3544" s="129"/>
      <c r="I3544" s="130"/>
      <c r="J3544" s="23"/>
      <c r="K3544" s="23"/>
      <c r="L3544" s="23"/>
      <c r="M3544" s="131"/>
      <c r="N3544" s="131"/>
      <c r="O3544" s="131"/>
    </row>
    <row r="3545" spans="4:15" x14ac:dyDescent="0.3">
      <c r="D3545" s="33"/>
      <c r="E3545" s="127"/>
      <c r="F3545" s="128"/>
      <c r="G3545" s="128"/>
      <c r="H3545" s="129"/>
      <c r="I3545" s="130"/>
      <c r="J3545" s="23"/>
      <c r="K3545" s="23"/>
      <c r="L3545" s="23"/>
      <c r="M3545" s="131"/>
      <c r="N3545" s="131"/>
      <c r="O3545" s="131"/>
    </row>
    <row r="3546" spans="4:15" x14ac:dyDescent="0.3">
      <c r="D3546" s="33"/>
      <c r="E3546" s="127"/>
      <c r="F3546" s="128"/>
      <c r="G3546" s="128"/>
      <c r="H3546" s="129"/>
      <c r="I3546" s="130"/>
      <c r="J3546" s="23"/>
      <c r="K3546" s="23"/>
      <c r="L3546" s="23"/>
      <c r="M3546" s="131"/>
      <c r="N3546" s="131"/>
      <c r="O3546" s="131"/>
    </row>
    <row r="3547" spans="4:15" x14ac:dyDescent="0.3">
      <c r="D3547" s="33"/>
      <c r="E3547" s="127"/>
      <c r="F3547" s="128"/>
      <c r="G3547" s="128"/>
      <c r="H3547" s="129"/>
      <c r="I3547" s="130"/>
      <c r="J3547" s="23"/>
      <c r="K3547" s="23"/>
      <c r="L3547" s="23"/>
      <c r="M3547" s="131"/>
      <c r="N3547" s="131"/>
      <c r="O3547" s="131"/>
    </row>
    <row r="3548" spans="4:15" x14ac:dyDescent="0.3">
      <c r="D3548" s="33"/>
      <c r="E3548" s="127"/>
      <c r="F3548" s="128"/>
      <c r="G3548" s="128"/>
      <c r="H3548" s="129"/>
      <c r="I3548" s="130"/>
      <c r="J3548" s="23"/>
      <c r="K3548" s="23"/>
      <c r="L3548" s="23"/>
      <c r="M3548" s="131"/>
      <c r="N3548" s="131"/>
      <c r="O3548" s="131"/>
    </row>
    <row r="3549" spans="4:15" x14ac:dyDescent="0.3">
      <c r="D3549" s="33"/>
      <c r="E3549" s="127"/>
      <c r="F3549" s="128"/>
      <c r="G3549" s="128"/>
      <c r="H3549" s="129"/>
      <c r="I3549" s="130"/>
      <c r="J3549" s="23"/>
      <c r="K3549" s="23"/>
      <c r="L3549" s="23"/>
      <c r="M3549" s="131"/>
      <c r="N3549" s="131"/>
      <c r="O3549" s="131"/>
    </row>
    <row r="3550" spans="4:15" x14ac:dyDescent="0.3">
      <c r="D3550" s="33"/>
      <c r="E3550" s="127"/>
      <c r="F3550" s="128"/>
      <c r="G3550" s="128"/>
      <c r="H3550" s="129"/>
      <c r="I3550" s="130"/>
      <c r="J3550" s="23"/>
      <c r="K3550" s="23"/>
      <c r="L3550" s="23"/>
      <c r="M3550" s="131"/>
      <c r="N3550" s="131"/>
      <c r="O3550" s="131"/>
    </row>
    <row r="3551" spans="4:15" x14ac:dyDescent="0.3">
      <c r="D3551" s="33"/>
      <c r="E3551" s="127"/>
      <c r="F3551" s="128"/>
      <c r="G3551" s="128"/>
      <c r="H3551" s="129"/>
      <c r="I3551" s="130"/>
      <c r="J3551" s="23"/>
      <c r="K3551" s="23"/>
      <c r="L3551" s="23"/>
      <c r="M3551" s="131"/>
      <c r="N3551" s="131"/>
      <c r="O3551" s="131"/>
    </row>
    <row r="3552" spans="4:15" x14ac:dyDescent="0.3">
      <c r="D3552" s="33"/>
      <c r="E3552" s="127"/>
      <c r="F3552" s="128"/>
      <c r="G3552" s="128"/>
      <c r="H3552" s="129"/>
      <c r="I3552" s="130"/>
      <c r="J3552" s="23"/>
      <c r="K3552" s="23"/>
      <c r="L3552" s="23"/>
      <c r="M3552" s="131"/>
      <c r="N3552" s="131"/>
      <c r="O3552" s="131"/>
    </row>
    <row r="3553" spans="4:15" x14ac:dyDescent="0.3">
      <c r="D3553" s="33"/>
      <c r="E3553" s="127"/>
      <c r="F3553" s="128"/>
      <c r="G3553" s="128"/>
      <c r="H3553" s="129"/>
      <c r="I3553" s="130"/>
      <c r="J3553" s="23"/>
      <c r="K3553" s="23"/>
      <c r="L3553" s="23"/>
      <c r="M3553" s="131"/>
      <c r="N3553" s="131"/>
      <c r="O3553" s="131"/>
    </row>
    <row r="3554" spans="4:15" x14ac:dyDescent="0.3">
      <c r="D3554" s="33"/>
      <c r="E3554" s="127"/>
      <c r="F3554" s="128"/>
      <c r="G3554" s="128"/>
      <c r="H3554" s="129"/>
      <c r="I3554" s="130"/>
      <c r="J3554" s="23"/>
      <c r="K3554" s="23"/>
      <c r="L3554" s="23"/>
      <c r="M3554" s="131"/>
      <c r="N3554" s="131"/>
      <c r="O3554" s="131"/>
    </row>
    <row r="3555" spans="4:15" x14ac:dyDescent="0.3">
      <c r="D3555" s="33"/>
      <c r="E3555" s="127"/>
      <c r="F3555" s="128"/>
      <c r="G3555" s="128"/>
      <c r="H3555" s="129"/>
      <c r="I3555" s="130"/>
      <c r="J3555" s="23"/>
      <c r="K3555" s="23"/>
      <c r="L3555" s="23"/>
      <c r="M3555" s="131"/>
      <c r="N3555" s="131"/>
      <c r="O3555" s="131"/>
    </row>
    <row r="3556" spans="4:15" x14ac:dyDescent="0.3">
      <c r="D3556" s="33"/>
      <c r="E3556" s="127"/>
      <c r="F3556" s="128"/>
      <c r="G3556" s="128"/>
      <c r="H3556" s="129"/>
      <c r="I3556" s="130"/>
      <c r="J3556" s="23"/>
      <c r="K3556" s="23"/>
      <c r="L3556" s="23"/>
      <c r="M3556" s="131"/>
      <c r="N3556" s="131"/>
      <c r="O3556" s="131"/>
    </row>
    <row r="3557" spans="4:15" x14ac:dyDescent="0.3">
      <c r="D3557" s="33"/>
      <c r="E3557" s="127"/>
      <c r="F3557" s="128"/>
      <c r="G3557" s="128"/>
      <c r="H3557" s="129"/>
      <c r="I3557" s="130"/>
      <c r="J3557" s="23"/>
      <c r="K3557" s="23"/>
      <c r="L3557" s="23"/>
      <c r="M3557" s="131"/>
      <c r="N3557" s="131"/>
      <c r="O3557" s="131"/>
    </row>
    <row r="3558" spans="4:15" x14ac:dyDescent="0.3">
      <c r="D3558" s="33"/>
      <c r="E3558" s="127"/>
      <c r="F3558" s="128"/>
      <c r="G3558" s="128"/>
      <c r="H3558" s="129"/>
      <c r="I3558" s="130"/>
      <c r="J3558" s="23"/>
      <c r="K3558" s="23"/>
      <c r="L3558" s="23"/>
      <c r="M3558" s="131"/>
      <c r="N3558" s="131"/>
      <c r="O3558" s="131"/>
    </row>
    <row r="3559" spans="4:15" x14ac:dyDescent="0.3">
      <c r="D3559" s="33"/>
      <c r="E3559" s="127"/>
      <c r="F3559" s="128"/>
      <c r="G3559" s="128"/>
      <c r="H3559" s="129"/>
      <c r="I3559" s="130"/>
      <c r="J3559" s="23"/>
      <c r="K3559" s="23"/>
      <c r="L3559" s="23"/>
      <c r="M3559" s="131"/>
      <c r="N3559" s="131"/>
      <c r="O3559" s="131"/>
    </row>
    <row r="3560" spans="4:15" x14ac:dyDescent="0.3">
      <c r="D3560" s="33"/>
      <c r="E3560" s="127"/>
      <c r="F3560" s="128"/>
      <c r="G3560" s="128"/>
      <c r="H3560" s="129"/>
      <c r="I3560" s="130"/>
      <c r="J3560" s="23"/>
      <c r="K3560" s="23"/>
      <c r="L3560" s="23"/>
      <c r="M3560" s="131"/>
      <c r="N3560" s="131"/>
      <c r="O3560" s="131"/>
    </row>
    <row r="3561" spans="4:15" x14ac:dyDescent="0.3">
      <c r="D3561" s="33"/>
      <c r="E3561" s="127"/>
      <c r="F3561" s="128"/>
      <c r="G3561" s="128"/>
      <c r="H3561" s="129"/>
      <c r="I3561" s="130"/>
      <c r="J3561" s="23"/>
      <c r="K3561" s="23"/>
      <c r="L3561" s="23"/>
      <c r="M3561" s="131"/>
      <c r="N3561" s="131"/>
      <c r="O3561" s="131"/>
    </row>
    <row r="3562" spans="4:15" x14ac:dyDescent="0.3">
      <c r="D3562" s="33"/>
      <c r="E3562" s="127"/>
      <c r="F3562" s="128"/>
      <c r="G3562" s="128"/>
      <c r="H3562" s="129"/>
      <c r="I3562" s="130"/>
      <c r="J3562" s="23"/>
      <c r="K3562" s="23"/>
      <c r="L3562" s="23"/>
      <c r="M3562" s="131"/>
      <c r="N3562" s="131"/>
      <c r="O3562" s="131"/>
    </row>
    <row r="3563" spans="4:15" x14ac:dyDescent="0.3">
      <c r="D3563" s="33"/>
      <c r="E3563" s="127"/>
      <c r="F3563" s="128"/>
      <c r="G3563" s="128"/>
      <c r="H3563" s="129"/>
      <c r="I3563" s="130"/>
      <c r="J3563" s="23"/>
      <c r="K3563" s="23"/>
      <c r="L3563" s="23"/>
      <c r="M3563" s="131"/>
      <c r="N3563" s="131"/>
      <c r="O3563" s="131"/>
    </row>
    <row r="3564" spans="4:15" x14ac:dyDescent="0.3">
      <c r="D3564" s="33"/>
      <c r="E3564" s="127"/>
      <c r="F3564" s="128"/>
      <c r="G3564" s="128"/>
      <c r="H3564" s="129"/>
      <c r="I3564" s="130"/>
      <c r="J3564" s="23"/>
      <c r="K3564" s="23"/>
      <c r="L3564" s="23"/>
      <c r="M3564" s="131"/>
      <c r="N3564" s="131"/>
      <c r="O3564" s="131"/>
    </row>
    <row r="3565" spans="4:15" x14ac:dyDescent="0.3">
      <c r="D3565" s="33"/>
      <c r="E3565" s="127"/>
      <c r="F3565" s="128"/>
      <c r="G3565" s="128"/>
      <c r="H3565" s="129"/>
      <c r="I3565" s="130"/>
      <c r="J3565" s="23"/>
      <c r="K3565" s="23"/>
      <c r="L3565" s="23"/>
      <c r="M3565" s="131"/>
      <c r="N3565" s="131"/>
      <c r="O3565" s="131"/>
    </row>
    <row r="3566" spans="4:15" x14ac:dyDescent="0.3">
      <c r="D3566" s="33"/>
      <c r="E3566" s="127"/>
      <c r="F3566" s="128"/>
      <c r="G3566" s="128"/>
      <c r="H3566" s="129"/>
      <c r="I3566" s="130"/>
      <c r="J3566" s="23"/>
      <c r="K3566" s="23"/>
      <c r="L3566" s="23"/>
      <c r="M3566" s="131"/>
      <c r="N3566" s="131"/>
      <c r="O3566" s="131"/>
    </row>
    <row r="3567" spans="4:15" x14ac:dyDescent="0.3">
      <c r="D3567" s="33"/>
      <c r="E3567" s="127"/>
      <c r="F3567" s="128"/>
      <c r="G3567" s="128"/>
      <c r="H3567" s="129"/>
      <c r="I3567" s="130"/>
      <c r="J3567" s="23"/>
      <c r="K3567" s="23"/>
      <c r="L3567" s="23"/>
      <c r="M3567" s="131"/>
      <c r="N3567" s="131"/>
      <c r="O3567" s="131"/>
    </row>
    <row r="3568" spans="4:15" x14ac:dyDescent="0.3">
      <c r="D3568" s="33"/>
      <c r="E3568" s="127"/>
      <c r="F3568" s="128"/>
      <c r="G3568" s="128"/>
      <c r="H3568" s="129"/>
      <c r="I3568" s="130"/>
      <c r="J3568" s="23"/>
      <c r="K3568" s="23"/>
      <c r="L3568" s="23"/>
      <c r="M3568" s="131"/>
      <c r="N3568" s="131"/>
      <c r="O3568" s="131"/>
    </row>
    <row r="3569" spans="4:15" x14ac:dyDescent="0.3">
      <c r="D3569" s="33"/>
      <c r="E3569" s="127"/>
      <c r="F3569" s="128"/>
      <c r="G3569" s="128"/>
      <c r="H3569" s="129"/>
      <c r="I3569" s="130"/>
      <c r="J3569" s="23"/>
      <c r="K3569" s="23"/>
      <c r="L3569" s="23"/>
      <c r="M3569" s="131"/>
      <c r="N3569" s="131"/>
      <c r="O3569" s="131"/>
    </row>
    <row r="3570" spans="4:15" x14ac:dyDescent="0.3">
      <c r="D3570" s="33"/>
      <c r="E3570" s="127"/>
      <c r="F3570" s="128"/>
      <c r="G3570" s="128"/>
      <c r="H3570" s="129"/>
      <c r="I3570" s="130"/>
      <c r="J3570" s="23"/>
      <c r="K3570" s="23"/>
      <c r="L3570" s="23"/>
      <c r="M3570" s="131"/>
      <c r="N3570" s="131"/>
      <c r="O3570" s="131"/>
    </row>
    <row r="3571" spans="4:15" x14ac:dyDescent="0.3">
      <c r="D3571" s="33"/>
      <c r="E3571" s="127"/>
      <c r="F3571" s="128"/>
      <c r="G3571" s="128"/>
      <c r="H3571" s="129"/>
      <c r="I3571" s="130"/>
      <c r="J3571" s="23"/>
      <c r="K3571" s="23"/>
      <c r="L3571" s="23"/>
      <c r="M3571" s="131"/>
      <c r="N3571" s="131"/>
      <c r="O3571" s="131"/>
    </row>
    <row r="3572" spans="4:15" x14ac:dyDescent="0.3">
      <c r="D3572" s="33"/>
      <c r="E3572" s="127"/>
      <c r="F3572" s="128"/>
      <c r="G3572" s="128"/>
      <c r="H3572" s="129"/>
      <c r="I3572" s="130"/>
      <c r="J3572" s="23"/>
      <c r="K3572" s="23"/>
      <c r="L3572" s="23"/>
      <c r="M3572" s="131"/>
      <c r="N3572" s="131"/>
      <c r="O3572" s="131"/>
    </row>
    <row r="3573" spans="4:15" x14ac:dyDescent="0.3">
      <c r="D3573" s="33"/>
      <c r="E3573" s="127"/>
      <c r="F3573" s="128"/>
      <c r="G3573" s="128"/>
      <c r="H3573" s="129"/>
      <c r="I3573" s="130"/>
      <c r="J3573" s="23"/>
      <c r="K3573" s="23"/>
      <c r="L3573" s="23"/>
      <c r="M3573" s="131"/>
      <c r="N3573" s="131"/>
      <c r="O3573" s="131"/>
    </row>
    <row r="3574" spans="4:15" x14ac:dyDescent="0.3">
      <c r="D3574" s="33"/>
      <c r="E3574" s="127"/>
      <c r="F3574" s="128"/>
      <c r="G3574" s="128"/>
      <c r="H3574" s="129"/>
      <c r="I3574" s="130"/>
      <c r="J3574" s="23"/>
      <c r="K3574" s="23"/>
      <c r="L3574" s="23"/>
      <c r="M3574" s="131"/>
      <c r="N3574" s="131"/>
      <c r="O3574" s="131"/>
    </row>
    <row r="3575" spans="4:15" x14ac:dyDescent="0.3">
      <c r="D3575" s="33"/>
      <c r="E3575" s="127"/>
      <c r="F3575" s="128"/>
      <c r="G3575" s="128"/>
      <c r="H3575" s="129"/>
      <c r="I3575" s="130"/>
      <c r="J3575" s="23"/>
      <c r="K3575" s="23"/>
      <c r="L3575" s="23"/>
      <c r="M3575" s="131"/>
      <c r="N3575" s="131"/>
      <c r="O3575" s="131"/>
    </row>
    <row r="3576" spans="4:15" x14ac:dyDescent="0.3">
      <c r="D3576" s="33"/>
      <c r="E3576" s="127"/>
      <c r="F3576" s="128"/>
      <c r="G3576" s="128"/>
      <c r="H3576" s="129"/>
      <c r="I3576" s="130"/>
      <c r="J3576" s="23"/>
      <c r="K3576" s="23"/>
      <c r="L3576" s="23"/>
      <c r="M3576" s="131"/>
      <c r="N3576" s="131"/>
      <c r="O3576" s="131"/>
    </row>
    <row r="3577" spans="4:15" x14ac:dyDescent="0.3">
      <c r="D3577" s="33"/>
      <c r="E3577" s="127"/>
      <c r="F3577" s="128"/>
      <c r="G3577" s="128"/>
      <c r="H3577" s="129"/>
      <c r="I3577" s="130"/>
      <c r="J3577" s="23"/>
      <c r="K3577" s="23"/>
      <c r="L3577" s="23"/>
      <c r="M3577" s="131"/>
      <c r="N3577" s="131"/>
      <c r="O3577" s="131"/>
    </row>
    <row r="3578" spans="4:15" x14ac:dyDescent="0.3">
      <c r="D3578" s="33"/>
      <c r="E3578" s="127"/>
      <c r="F3578" s="128"/>
      <c r="G3578" s="128"/>
      <c r="H3578" s="129"/>
      <c r="I3578" s="130"/>
      <c r="J3578" s="23"/>
      <c r="K3578" s="23"/>
      <c r="L3578" s="23"/>
      <c r="M3578" s="131"/>
      <c r="N3578" s="131"/>
      <c r="O3578" s="131"/>
    </row>
    <row r="3579" spans="4:15" x14ac:dyDescent="0.3">
      <c r="D3579" s="33"/>
      <c r="E3579" s="127"/>
      <c r="F3579" s="128"/>
      <c r="G3579" s="128"/>
      <c r="H3579" s="129"/>
      <c r="I3579" s="130"/>
      <c r="J3579" s="23"/>
      <c r="K3579" s="23"/>
      <c r="L3579" s="23"/>
      <c r="M3579" s="131"/>
      <c r="N3579" s="131"/>
      <c r="O3579" s="131"/>
    </row>
    <row r="3580" spans="4:15" x14ac:dyDescent="0.3">
      <c r="D3580" s="33"/>
      <c r="E3580" s="127"/>
      <c r="F3580" s="128"/>
      <c r="G3580" s="128"/>
      <c r="H3580" s="129"/>
      <c r="I3580" s="130"/>
      <c r="J3580" s="23"/>
      <c r="K3580" s="23"/>
      <c r="L3580" s="23"/>
      <c r="M3580" s="131"/>
      <c r="N3580" s="131"/>
      <c r="O3580" s="131"/>
    </row>
    <row r="3581" spans="4:15" x14ac:dyDescent="0.3">
      <c r="D3581" s="33"/>
      <c r="E3581" s="127"/>
      <c r="F3581" s="128"/>
      <c r="G3581" s="128"/>
      <c r="H3581" s="129"/>
      <c r="I3581" s="130"/>
      <c r="J3581" s="23"/>
      <c r="K3581" s="23"/>
      <c r="L3581" s="23"/>
      <c r="M3581" s="131"/>
      <c r="N3581" s="131"/>
      <c r="O3581" s="131"/>
    </row>
    <row r="3582" spans="4:15" x14ac:dyDescent="0.3">
      <c r="D3582" s="33"/>
      <c r="E3582" s="127"/>
      <c r="F3582" s="128"/>
      <c r="G3582" s="128"/>
      <c r="H3582" s="129"/>
      <c r="I3582" s="130"/>
      <c r="J3582" s="23"/>
      <c r="K3582" s="23"/>
      <c r="L3582" s="23"/>
      <c r="M3582" s="131"/>
      <c r="N3582" s="131"/>
      <c r="O3582" s="131"/>
    </row>
    <row r="3583" spans="4:15" x14ac:dyDescent="0.3">
      <c r="D3583" s="33"/>
      <c r="E3583" s="127"/>
      <c r="F3583" s="128"/>
      <c r="G3583" s="128"/>
      <c r="H3583" s="129"/>
      <c r="I3583" s="130"/>
      <c r="J3583" s="23"/>
      <c r="K3583" s="23"/>
      <c r="L3583" s="23"/>
      <c r="M3583" s="131"/>
      <c r="N3583" s="131"/>
      <c r="O3583" s="131"/>
    </row>
    <row r="3584" spans="4:15" x14ac:dyDescent="0.3">
      <c r="D3584" s="33"/>
      <c r="E3584" s="127"/>
      <c r="F3584" s="128"/>
      <c r="G3584" s="128"/>
      <c r="H3584" s="129"/>
      <c r="I3584" s="130"/>
      <c r="J3584" s="23"/>
      <c r="K3584" s="23"/>
      <c r="L3584" s="23"/>
      <c r="M3584" s="131"/>
      <c r="N3584" s="131"/>
      <c r="O3584" s="131"/>
    </row>
    <row r="3585" spans="4:15" x14ac:dyDescent="0.3">
      <c r="D3585" s="33"/>
      <c r="E3585" s="127"/>
      <c r="F3585" s="128"/>
      <c r="G3585" s="128"/>
      <c r="H3585" s="129"/>
      <c r="I3585" s="130"/>
      <c r="J3585" s="23"/>
      <c r="K3585" s="23"/>
      <c r="L3585" s="23"/>
      <c r="M3585" s="131"/>
      <c r="N3585" s="131"/>
      <c r="O3585" s="131"/>
    </row>
    <row r="3586" spans="4:15" x14ac:dyDescent="0.3">
      <c r="D3586" s="33"/>
      <c r="E3586" s="127"/>
      <c r="F3586" s="128"/>
      <c r="G3586" s="128"/>
      <c r="H3586" s="129"/>
      <c r="I3586" s="130"/>
      <c r="J3586" s="23"/>
      <c r="K3586" s="23"/>
      <c r="L3586" s="23"/>
      <c r="M3586" s="131"/>
      <c r="N3586" s="131"/>
      <c r="O3586" s="131"/>
    </row>
    <row r="3587" spans="4:15" x14ac:dyDescent="0.3">
      <c r="D3587" s="33"/>
      <c r="E3587" s="127"/>
      <c r="F3587" s="128"/>
      <c r="G3587" s="128"/>
      <c r="H3587" s="129"/>
      <c r="I3587" s="130"/>
      <c r="J3587" s="23"/>
      <c r="K3587" s="23"/>
      <c r="L3587" s="23"/>
      <c r="M3587" s="131"/>
      <c r="N3587" s="131"/>
      <c r="O3587" s="131"/>
    </row>
    <row r="3588" spans="4:15" x14ac:dyDescent="0.3">
      <c r="D3588" s="33"/>
      <c r="E3588" s="127"/>
      <c r="F3588" s="128"/>
      <c r="G3588" s="128"/>
      <c r="H3588" s="129"/>
      <c r="I3588" s="130"/>
      <c r="J3588" s="23"/>
      <c r="K3588" s="23"/>
      <c r="L3588" s="23"/>
      <c r="M3588" s="131"/>
      <c r="N3588" s="131"/>
      <c r="O3588" s="131"/>
    </row>
    <row r="3589" spans="4:15" x14ac:dyDescent="0.3">
      <c r="D3589" s="33"/>
      <c r="E3589" s="127"/>
      <c r="F3589" s="128"/>
      <c r="G3589" s="128"/>
      <c r="H3589" s="129"/>
      <c r="I3589" s="130"/>
      <c r="J3589" s="23"/>
      <c r="K3589" s="23"/>
      <c r="L3589" s="23"/>
      <c r="M3589" s="131"/>
      <c r="N3589" s="131"/>
      <c r="O3589" s="131"/>
    </row>
    <row r="3590" spans="4:15" x14ac:dyDescent="0.3">
      <c r="D3590" s="33"/>
      <c r="E3590" s="127"/>
      <c r="F3590" s="128"/>
      <c r="G3590" s="128"/>
      <c r="H3590" s="129"/>
      <c r="I3590" s="130"/>
      <c r="J3590" s="23"/>
      <c r="K3590" s="23"/>
      <c r="L3590" s="23"/>
      <c r="M3590" s="131"/>
      <c r="N3590" s="131"/>
      <c r="O3590" s="131"/>
    </row>
    <row r="3591" spans="4:15" x14ac:dyDescent="0.3">
      <c r="D3591" s="33"/>
      <c r="E3591" s="127"/>
      <c r="F3591" s="128"/>
      <c r="G3591" s="128"/>
      <c r="H3591" s="129"/>
      <c r="I3591" s="130"/>
      <c r="J3591" s="23"/>
      <c r="K3591" s="23"/>
      <c r="L3591" s="23"/>
      <c r="M3591" s="131"/>
      <c r="N3591" s="131"/>
      <c r="O3591" s="131"/>
    </row>
    <row r="3592" spans="4:15" x14ac:dyDescent="0.3">
      <c r="D3592" s="33"/>
      <c r="E3592" s="127"/>
      <c r="F3592" s="128"/>
      <c r="G3592" s="128"/>
      <c r="H3592" s="129"/>
      <c r="I3592" s="130"/>
      <c r="J3592" s="23"/>
      <c r="K3592" s="23"/>
      <c r="L3592" s="23"/>
      <c r="M3592" s="131"/>
      <c r="N3592" s="131"/>
      <c r="O3592" s="131"/>
    </row>
    <row r="3593" spans="4:15" x14ac:dyDescent="0.3">
      <c r="D3593" s="33"/>
      <c r="E3593" s="127"/>
      <c r="F3593" s="128"/>
      <c r="G3593" s="128"/>
      <c r="H3593" s="129"/>
      <c r="I3593" s="130"/>
      <c r="J3593" s="23"/>
      <c r="K3593" s="23"/>
      <c r="L3593" s="23"/>
      <c r="M3593" s="131"/>
      <c r="N3593" s="131"/>
      <c r="O3593" s="131"/>
    </row>
    <row r="3594" spans="4:15" x14ac:dyDescent="0.3">
      <c r="D3594" s="33"/>
      <c r="E3594" s="127"/>
      <c r="F3594" s="128"/>
      <c r="G3594" s="128"/>
      <c r="H3594" s="129"/>
      <c r="I3594" s="130"/>
      <c r="J3594" s="23"/>
      <c r="K3594" s="23"/>
      <c r="L3594" s="23"/>
      <c r="M3594" s="131"/>
      <c r="N3594" s="131"/>
      <c r="O3594" s="131"/>
    </row>
    <row r="3595" spans="4:15" x14ac:dyDescent="0.3">
      <c r="D3595" s="33"/>
      <c r="E3595" s="127"/>
      <c r="F3595" s="128"/>
      <c r="G3595" s="128"/>
      <c r="H3595" s="129"/>
      <c r="I3595" s="130"/>
      <c r="J3595" s="23"/>
      <c r="K3595" s="23"/>
      <c r="L3595" s="23"/>
      <c r="M3595" s="131"/>
      <c r="N3595" s="131"/>
      <c r="O3595" s="131"/>
    </row>
    <row r="3596" spans="4:15" x14ac:dyDescent="0.3">
      <c r="D3596" s="33"/>
      <c r="E3596" s="127"/>
      <c r="F3596" s="128"/>
      <c r="G3596" s="128"/>
      <c r="H3596" s="129"/>
      <c r="I3596" s="130"/>
      <c r="J3596" s="23"/>
      <c r="K3596" s="23"/>
      <c r="L3596" s="23"/>
      <c r="M3596" s="131"/>
      <c r="N3596" s="131"/>
      <c r="O3596" s="131"/>
    </row>
    <row r="3597" spans="4:15" x14ac:dyDescent="0.3">
      <c r="D3597" s="33"/>
      <c r="E3597" s="127"/>
      <c r="F3597" s="128"/>
      <c r="G3597" s="128"/>
      <c r="H3597" s="129"/>
      <c r="I3597" s="130"/>
      <c r="J3597" s="23"/>
      <c r="K3597" s="23"/>
      <c r="L3597" s="23"/>
      <c r="M3597" s="131"/>
      <c r="N3597" s="131"/>
      <c r="O3597" s="131"/>
    </row>
    <row r="3598" spans="4:15" x14ac:dyDescent="0.3">
      <c r="D3598" s="33"/>
      <c r="E3598" s="127"/>
      <c r="F3598" s="128"/>
      <c r="G3598" s="128"/>
      <c r="H3598" s="129"/>
      <c r="I3598" s="130"/>
      <c r="J3598" s="23"/>
      <c r="K3598" s="23"/>
      <c r="L3598" s="23"/>
      <c r="M3598" s="131"/>
      <c r="N3598" s="131"/>
      <c r="O3598" s="131"/>
    </row>
    <row r="3599" spans="4:15" x14ac:dyDescent="0.3">
      <c r="D3599" s="33"/>
      <c r="E3599" s="127"/>
      <c r="F3599" s="128"/>
      <c r="G3599" s="128"/>
      <c r="H3599" s="129"/>
      <c r="I3599" s="130"/>
      <c r="J3599" s="23"/>
      <c r="K3599" s="23"/>
      <c r="L3599" s="23"/>
      <c r="M3599" s="131"/>
      <c r="N3599" s="131"/>
      <c r="O3599" s="131"/>
    </row>
    <row r="3600" spans="4:15" x14ac:dyDescent="0.3">
      <c r="D3600" s="33"/>
      <c r="E3600" s="127"/>
      <c r="F3600" s="128"/>
      <c r="G3600" s="128"/>
      <c r="H3600" s="129"/>
      <c r="I3600" s="130"/>
      <c r="J3600" s="23"/>
      <c r="K3600" s="23"/>
      <c r="L3600" s="23"/>
      <c r="M3600" s="131"/>
      <c r="N3600" s="131"/>
      <c r="O3600" s="131"/>
    </row>
    <row r="3601" spans="4:15" x14ac:dyDescent="0.3">
      <c r="D3601" s="33"/>
      <c r="E3601" s="127"/>
      <c r="F3601" s="128"/>
      <c r="G3601" s="128"/>
      <c r="H3601" s="129"/>
      <c r="I3601" s="130"/>
      <c r="J3601" s="23"/>
      <c r="K3601" s="23"/>
      <c r="L3601" s="23"/>
      <c r="M3601" s="131"/>
      <c r="N3601" s="131"/>
      <c r="O3601" s="131"/>
    </row>
    <row r="3602" spans="4:15" x14ac:dyDescent="0.3">
      <c r="D3602" s="33"/>
      <c r="E3602" s="127"/>
      <c r="F3602" s="128"/>
      <c r="G3602" s="128"/>
      <c r="H3602" s="129"/>
      <c r="I3602" s="130"/>
      <c r="J3602" s="23"/>
      <c r="K3602" s="23"/>
      <c r="L3602" s="23"/>
      <c r="M3602" s="131"/>
      <c r="N3602" s="131"/>
      <c r="O3602" s="131"/>
    </row>
    <row r="3603" spans="4:15" x14ac:dyDescent="0.3">
      <c r="D3603" s="33"/>
      <c r="E3603" s="127"/>
      <c r="F3603" s="128"/>
      <c r="G3603" s="128"/>
      <c r="H3603" s="129"/>
      <c r="I3603" s="130"/>
      <c r="J3603" s="23"/>
      <c r="K3603" s="23"/>
      <c r="L3603" s="23"/>
      <c r="M3603" s="131"/>
      <c r="N3603" s="131"/>
      <c r="O3603" s="131"/>
    </row>
    <row r="3604" spans="4:15" x14ac:dyDescent="0.3">
      <c r="D3604" s="33"/>
      <c r="E3604" s="127"/>
      <c r="F3604" s="128"/>
      <c r="G3604" s="128"/>
      <c r="H3604" s="129"/>
      <c r="I3604" s="130"/>
      <c r="J3604" s="23"/>
      <c r="K3604" s="23"/>
      <c r="L3604" s="23"/>
      <c r="M3604" s="131"/>
      <c r="N3604" s="131"/>
      <c r="O3604" s="131"/>
    </row>
    <row r="3605" spans="4:15" x14ac:dyDescent="0.3">
      <c r="D3605" s="33"/>
      <c r="E3605" s="127"/>
      <c r="F3605" s="128"/>
      <c r="G3605" s="128"/>
      <c r="H3605" s="129"/>
      <c r="I3605" s="130"/>
      <c r="J3605" s="23"/>
      <c r="K3605" s="23"/>
      <c r="L3605" s="23"/>
      <c r="M3605" s="131"/>
      <c r="N3605" s="131"/>
      <c r="O3605" s="131"/>
    </row>
    <row r="3606" spans="4:15" x14ac:dyDescent="0.3">
      <c r="D3606" s="33"/>
      <c r="E3606" s="127"/>
      <c r="F3606" s="128"/>
      <c r="G3606" s="128"/>
      <c r="H3606" s="129"/>
      <c r="I3606" s="130"/>
      <c r="J3606" s="23"/>
      <c r="K3606" s="23"/>
      <c r="L3606" s="23"/>
      <c r="M3606" s="131"/>
      <c r="N3606" s="131"/>
      <c r="O3606" s="131"/>
    </row>
    <row r="3607" spans="4:15" x14ac:dyDescent="0.3">
      <c r="D3607" s="33"/>
      <c r="E3607" s="127"/>
      <c r="F3607" s="128"/>
      <c r="G3607" s="128"/>
      <c r="H3607" s="129"/>
      <c r="I3607" s="130"/>
      <c r="J3607" s="23"/>
      <c r="K3607" s="23"/>
      <c r="L3607" s="23"/>
      <c r="M3607" s="131"/>
      <c r="N3607" s="131"/>
      <c r="O3607" s="131"/>
    </row>
    <row r="3608" spans="4:15" x14ac:dyDescent="0.3">
      <c r="D3608" s="33"/>
      <c r="E3608" s="127"/>
      <c r="F3608" s="128"/>
      <c r="G3608" s="128"/>
      <c r="H3608" s="129"/>
      <c r="I3608" s="130"/>
      <c r="J3608" s="23"/>
      <c r="K3608" s="23"/>
      <c r="L3608" s="23"/>
      <c r="M3608" s="131"/>
      <c r="N3608" s="131"/>
      <c r="O3608" s="131"/>
    </row>
    <row r="3609" spans="4:15" x14ac:dyDescent="0.3">
      <c r="D3609" s="33"/>
      <c r="E3609" s="127"/>
      <c r="F3609" s="128"/>
      <c r="G3609" s="128"/>
      <c r="H3609" s="129"/>
      <c r="I3609" s="130"/>
      <c r="J3609" s="23"/>
      <c r="K3609" s="23"/>
      <c r="L3609" s="23"/>
      <c r="M3609" s="131"/>
      <c r="N3609" s="131"/>
      <c r="O3609" s="131"/>
    </row>
    <row r="3610" spans="4:15" x14ac:dyDescent="0.3">
      <c r="D3610" s="33"/>
      <c r="E3610" s="127"/>
      <c r="F3610" s="128"/>
      <c r="G3610" s="128"/>
      <c r="H3610" s="129"/>
      <c r="I3610" s="130"/>
      <c r="J3610" s="23"/>
      <c r="K3610" s="23"/>
      <c r="L3610" s="23"/>
      <c r="M3610" s="131"/>
      <c r="N3610" s="131"/>
      <c r="O3610" s="131"/>
    </row>
    <row r="3611" spans="4:15" x14ac:dyDescent="0.3">
      <c r="D3611" s="33"/>
      <c r="E3611" s="127"/>
      <c r="F3611" s="128"/>
      <c r="G3611" s="128"/>
      <c r="H3611" s="129"/>
      <c r="I3611" s="130"/>
      <c r="J3611" s="23"/>
      <c r="K3611" s="23"/>
      <c r="L3611" s="23"/>
      <c r="M3611" s="131"/>
      <c r="N3611" s="131"/>
      <c r="O3611" s="131"/>
    </row>
    <row r="3612" spans="4:15" x14ac:dyDescent="0.3">
      <c r="D3612" s="33"/>
      <c r="E3612" s="127"/>
      <c r="F3612" s="128"/>
      <c r="G3612" s="128"/>
      <c r="H3612" s="129"/>
      <c r="I3612" s="130"/>
      <c r="J3612" s="23"/>
      <c r="K3612" s="23"/>
      <c r="L3612" s="23"/>
      <c r="M3612" s="131"/>
      <c r="N3612" s="131"/>
      <c r="O3612" s="131"/>
    </row>
    <row r="3613" spans="4:15" x14ac:dyDescent="0.3">
      <c r="D3613" s="33"/>
      <c r="E3613" s="127"/>
      <c r="F3613" s="128"/>
      <c r="G3613" s="128"/>
      <c r="H3613" s="129"/>
      <c r="I3613" s="130"/>
      <c r="J3613" s="23"/>
      <c r="K3613" s="23"/>
      <c r="L3613" s="23"/>
      <c r="M3613" s="131"/>
      <c r="N3613" s="131"/>
      <c r="O3613" s="131"/>
    </row>
    <row r="3614" spans="4:15" x14ac:dyDescent="0.3">
      <c r="D3614" s="33"/>
      <c r="E3614" s="127"/>
      <c r="F3614" s="128"/>
      <c r="G3614" s="128"/>
      <c r="H3614" s="129"/>
      <c r="I3614" s="130"/>
      <c r="J3614" s="23"/>
      <c r="K3614" s="23"/>
      <c r="L3614" s="23"/>
      <c r="M3614" s="131"/>
      <c r="N3614" s="131"/>
      <c r="O3614" s="131"/>
    </row>
    <row r="3615" spans="4:15" x14ac:dyDescent="0.3">
      <c r="D3615" s="33"/>
      <c r="E3615" s="127"/>
      <c r="F3615" s="128"/>
      <c r="G3615" s="128"/>
      <c r="H3615" s="129"/>
      <c r="I3615" s="130"/>
      <c r="J3615" s="23"/>
      <c r="K3615" s="23"/>
      <c r="L3615" s="23"/>
      <c r="M3615" s="131"/>
      <c r="N3615" s="131"/>
      <c r="O3615" s="131"/>
    </row>
    <row r="3616" spans="4:15" x14ac:dyDescent="0.3">
      <c r="D3616" s="33"/>
      <c r="E3616" s="127"/>
      <c r="F3616" s="128"/>
      <c r="G3616" s="128"/>
      <c r="H3616" s="129"/>
      <c r="I3616" s="130"/>
      <c r="J3616" s="23"/>
      <c r="K3616" s="23"/>
      <c r="L3616" s="23"/>
      <c r="M3616" s="131"/>
      <c r="N3616" s="131"/>
      <c r="O3616" s="131"/>
    </row>
    <row r="3617" spans="4:15" x14ac:dyDescent="0.3">
      <c r="D3617" s="33"/>
      <c r="E3617" s="127"/>
      <c r="F3617" s="128"/>
      <c r="G3617" s="128"/>
      <c r="H3617" s="129"/>
      <c r="I3617" s="130"/>
      <c r="J3617" s="23"/>
      <c r="K3617" s="23"/>
      <c r="L3617" s="23"/>
      <c r="M3617" s="131"/>
      <c r="N3617" s="131"/>
      <c r="O3617" s="131"/>
    </row>
    <row r="3618" spans="4:15" x14ac:dyDescent="0.3">
      <c r="D3618" s="33"/>
      <c r="E3618" s="127"/>
      <c r="F3618" s="128"/>
      <c r="G3618" s="128"/>
      <c r="H3618" s="129"/>
      <c r="I3618" s="130"/>
      <c r="J3618" s="23"/>
      <c r="K3618" s="23"/>
      <c r="L3618" s="23"/>
      <c r="M3618" s="131"/>
      <c r="N3618" s="131"/>
      <c r="O3618" s="131"/>
    </row>
    <row r="3619" spans="4:15" x14ac:dyDescent="0.3">
      <c r="D3619" s="33"/>
      <c r="E3619" s="127"/>
      <c r="F3619" s="128"/>
      <c r="G3619" s="128"/>
      <c r="H3619" s="129"/>
      <c r="I3619" s="130"/>
      <c r="J3619" s="23"/>
      <c r="K3619" s="23"/>
      <c r="L3619" s="23"/>
      <c r="M3619" s="131"/>
      <c r="N3619" s="131"/>
      <c r="O3619" s="131"/>
    </row>
    <row r="3620" spans="4:15" x14ac:dyDescent="0.3">
      <c r="D3620" s="33"/>
      <c r="E3620" s="127"/>
      <c r="F3620" s="128"/>
      <c r="G3620" s="128"/>
      <c r="H3620" s="129"/>
      <c r="I3620" s="130"/>
      <c r="J3620" s="23"/>
      <c r="K3620" s="23"/>
      <c r="L3620" s="23"/>
      <c r="M3620" s="131"/>
      <c r="N3620" s="131"/>
      <c r="O3620" s="131"/>
    </row>
    <row r="3621" spans="4:15" x14ac:dyDescent="0.3">
      <c r="D3621" s="33"/>
      <c r="E3621" s="127"/>
      <c r="F3621" s="128"/>
      <c r="G3621" s="128"/>
      <c r="H3621" s="129"/>
      <c r="I3621" s="130"/>
      <c r="J3621" s="23"/>
      <c r="K3621" s="23"/>
      <c r="L3621" s="23"/>
      <c r="M3621" s="131"/>
      <c r="N3621" s="131"/>
      <c r="O3621" s="131"/>
    </row>
    <row r="3622" spans="4:15" x14ac:dyDescent="0.3">
      <c r="D3622" s="33"/>
      <c r="E3622" s="127"/>
      <c r="F3622" s="128"/>
      <c r="G3622" s="128"/>
      <c r="H3622" s="129"/>
      <c r="I3622" s="130"/>
      <c r="J3622" s="23"/>
      <c r="K3622" s="23"/>
      <c r="L3622" s="23"/>
      <c r="M3622" s="131"/>
      <c r="N3622" s="131"/>
      <c r="O3622" s="131"/>
    </row>
    <row r="3623" spans="4:15" x14ac:dyDescent="0.3">
      <c r="D3623" s="33"/>
      <c r="E3623" s="127"/>
      <c r="F3623" s="128"/>
      <c r="G3623" s="128"/>
      <c r="H3623" s="129"/>
      <c r="I3623" s="130"/>
      <c r="J3623" s="23"/>
      <c r="K3623" s="23"/>
      <c r="L3623" s="23"/>
      <c r="M3623" s="131"/>
      <c r="N3623" s="131"/>
      <c r="O3623" s="131"/>
    </row>
    <row r="3624" spans="4:15" x14ac:dyDescent="0.3">
      <c r="D3624" s="33"/>
      <c r="E3624" s="127"/>
      <c r="F3624" s="128"/>
      <c r="G3624" s="128"/>
      <c r="H3624" s="129"/>
      <c r="I3624" s="130"/>
      <c r="J3624" s="23"/>
      <c r="K3624" s="23"/>
      <c r="L3624" s="23"/>
      <c r="M3624" s="131"/>
      <c r="N3624" s="131"/>
      <c r="O3624" s="131"/>
    </row>
    <row r="3625" spans="4:15" x14ac:dyDescent="0.3">
      <c r="D3625" s="33"/>
      <c r="E3625" s="127"/>
      <c r="F3625" s="128"/>
      <c r="G3625" s="128"/>
      <c r="H3625" s="129"/>
      <c r="I3625" s="130"/>
      <c r="J3625" s="23"/>
      <c r="K3625" s="23"/>
      <c r="L3625" s="23"/>
      <c r="M3625" s="131"/>
      <c r="N3625" s="131"/>
      <c r="O3625" s="131"/>
    </row>
    <row r="3626" spans="4:15" x14ac:dyDescent="0.3">
      <c r="D3626" s="33"/>
      <c r="E3626" s="127"/>
      <c r="F3626" s="128"/>
      <c r="G3626" s="128"/>
      <c r="H3626" s="129"/>
      <c r="I3626" s="130"/>
      <c r="J3626" s="23"/>
      <c r="K3626" s="23"/>
      <c r="L3626" s="23"/>
      <c r="M3626" s="131"/>
      <c r="N3626" s="131"/>
      <c r="O3626" s="131"/>
    </row>
    <row r="3627" spans="4:15" x14ac:dyDescent="0.3">
      <c r="D3627" s="33"/>
      <c r="E3627" s="127"/>
      <c r="F3627" s="128"/>
      <c r="G3627" s="128"/>
      <c r="H3627" s="129"/>
      <c r="I3627" s="130"/>
      <c r="J3627" s="23"/>
      <c r="K3627" s="23"/>
      <c r="L3627" s="23"/>
      <c r="M3627" s="131"/>
      <c r="N3627" s="131"/>
      <c r="O3627" s="131"/>
    </row>
    <row r="3628" spans="4:15" x14ac:dyDescent="0.3">
      <c r="D3628" s="33"/>
      <c r="E3628" s="127"/>
      <c r="F3628" s="128"/>
      <c r="G3628" s="128"/>
      <c r="H3628" s="129"/>
      <c r="I3628" s="130"/>
      <c r="J3628" s="23"/>
      <c r="K3628" s="23"/>
      <c r="L3628" s="23"/>
      <c r="M3628" s="131"/>
      <c r="N3628" s="131"/>
      <c r="O3628" s="131"/>
    </row>
    <row r="3629" spans="4:15" x14ac:dyDescent="0.3">
      <c r="D3629" s="33"/>
      <c r="E3629" s="127"/>
      <c r="F3629" s="128"/>
      <c r="G3629" s="128"/>
      <c r="H3629" s="129"/>
      <c r="I3629" s="130"/>
      <c r="J3629" s="23"/>
      <c r="K3629" s="23"/>
      <c r="L3629" s="23"/>
      <c r="M3629" s="131"/>
      <c r="N3629" s="131"/>
      <c r="O3629" s="131"/>
    </row>
    <row r="3630" spans="4:15" x14ac:dyDescent="0.3">
      <c r="D3630" s="33"/>
      <c r="E3630" s="127"/>
      <c r="F3630" s="128"/>
      <c r="G3630" s="128"/>
      <c r="H3630" s="129"/>
      <c r="I3630" s="130"/>
      <c r="J3630" s="23"/>
      <c r="K3630" s="23"/>
      <c r="L3630" s="23"/>
      <c r="M3630" s="131"/>
      <c r="N3630" s="131"/>
      <c r="O3630" s="131"/>
    </row>
    <row r="3631" spans="4:15" x14ac:dyDescent="0.3">
      <c r="D3631" s="33"/>
      <c r="E3631" s="127"/>
      <c r="F3631" s="128"/>
      <c r="G3631" s="128"/>
      <c r="H3631" s="129"/>
      <c r="I3631" s="130"/>
      <c r="J3631" s="23"/>
      <c r="K3631" s="23"/>
      <c r="L3631" s="23"/>
      <c r="M3631" s="131"/>
      <c r="N3631" s="131"/>
      <c r="O3631" s="131"/>
    </row>
    <row r="3632" spans="4:15" x14ac:dyDescent="0.3">
      <c r="D3632" s="33"/>
      <c r="E3632" s="127"/>
      <c r="F3632" s="128"/>
      <c r="G3632" s="128"/>
      <c r="H3632" s="129"/>
      <c r="I3632" s="130"/>
      <c r="J3632" s="23"/>
      <c r="K3632" s="23"/>
      <c r="L3632" s="23"/>
      <c r="M3632" s="131"/>
      <c r="N3632" s="131"/>
      <c r="O3632" s="131"/>
    </row>
    <row r="3633" spans="4:15" x14ac:dyDescent="0.3">
      <c r="D3633" s="33"/>
      <c r="E3633" s="127"/>
      <c r="F3633" s="128"/>
      <c r="G3633" s="128"/>
      <c r="H3633" s="129"/>
      <c r="I3633" s="130"/>
      <c r="J3633" s="23"/>
      <c r="K3633" s="23"/>
      <c r="L3633" s="23"/>
      <c r="M3633" s="131"/>
      <c r="N3633" s="131"/>
      <c r="O3633" s="131"/>
    </row>
    <row r="3634" spans="4:15" x14ac:dyDescent="0.3">
      <c r="D3634" s="33"/>
      <c r="E3634" s="127"/>
      <c r="F3634" s="128"/>
      <c r="G3634" s="128"/>
      <c r="H3634" s="129"/>
      <c r="I3634" s="130"/>
      <c r="J3634" s="23"/>
      <c r="K3634" s="23"/>
      <c r="L3634" s="23"/>
      <c r="M3634" s="131"/>
      <c r="N3634" s="131"/>
      <c r="O3634" s="131"/>
    </row>
    <row r="3635" spans="4:15" x14ac:dyDescent="0.3">
      <c r="D3635" s="33"/>
      <c r="E3635" s="127"/>
      <c r="F3635" s="128"/>
      <c r="G3635" s="128"/>
      <c r="H3635" s="129"/>
      <c r="I3635" s="130"/>
      <c r="J3635" s="23"/>
      <c r="K3635" s="23"/>
      <c r="L3635" s="23"/>
      <c r="M3635" s="131"/>
      <c r="N3635" s="131"/>
      <c r="O3635" s="131"/>
    </row>
    <row r="3636" spans="4:15" x14ac:dyDescent="0.3">
      <c r="D3636" s="33"/>
      <c r="E3636" s="127"/>
      <c r="F3636" s="128"/>
      <c r="G3636" s="128"/>
      <c r="H3636" s="129"/>
      <c r="I3636" s="130"/>
      <c r="J3636" s="23"/>
      <c r="K3636" s="23"/>
      <c r="L3636" s="23"/>
      <c r="M3636" s="131"/>
      <c r="N3636" s="131"/>
      <c r="O3636" s="131"/>
    </row>
    <row r="3637" spans="4:15" x14ac:dyDescent="0.3">
      <c r="D3637" s="33"/>
      <c r="E3637" s="127"/>
      <c r="F3637" s="128"/>
      <c r="G3637" s="128"/>
      <c r="H3637" s="129"/>
      <c r="I3637" s="130"/>
      <c r="J3637" s="23"/>
      <c r="K3637" s="23"/>
      <c r="L3637" s="23"/>
      <c r="M3637" s="131"/>
      <c r="N3637" s="131"/>
      <c r="O3637" s="131"/>
    </row>
    <row r="3638" spans="4:15" x14ac:dyDescent="0.3">
      <c r="D3638" s="33"/>
      <c r="E3638" s="127"/>
      <c r="F3638" s="128"/>
      <c r="G3638" s="128"/>
      <c r="H3638" s="129"/>
      <c r="I3638" s="130"/>
      <c r="J3638" s="23"/>
      <c r="K3638" s="23"/>
      <c r="L3638" s="23"/>
      <c r="M3638" s="131"/>
      <c r="N3638" s="131"/>
      <c r="O3638" s="131"/>
    </row>
    <row r="3639" spans="4:15" x14ac:dyDescent="0.3">
      <c r="D3639" s="33"/>
      <c r="E3639" s="127"/>
      <c r="F3639" s="128"/>
      <c r="G3639" s="128"/>
      <c r="H3639" s="129"/>
      <c r="I3639" s="130"/>
      <c r="J3639" s="23"/>
      <c r="K3639" s="23"/>
      <c r="L3639" s="23"/>
      <c r="M3639" s="131"/>
      <c r="N3639" s="131"/>
      <c r="O3639" s="131"/>
    </row>
    <row r="3640" spans="4:15" x14ac:dyDescent="0.3">
      <c r="D3640" s="33"/>
      <c r="E3640" s="127"/>
      <c r="F3640" s="128"/>
      <c r="G3640" s="128"/>
      <c r="H3640" s="129"/>
      <c r="I3640" s="130"/>
      <c r="J3640" s="23"/>
      <c r="K3640" s="23"/>
      <c r="L3640" s="23"/>
      <c r="M3640" s="131"/>
      <c r="N3640" s="131"/>
      <c r="O3640" s="131"/>
    </row>
    <row r="3641" spans="4:15" x14ac:dyDescent="0.3">
      <c r="D3641" s="33"/>
      <c r="E3641" s="127"/>
      <c r="F3641" s="128"/>
      <c r="G3641" s="128"/>
      <c r="H3641" s="129"/>
      <c r="I3641" s="130"/>
      <c r="J3641" s="23"/>
      <c r="K3641" s="23"/>
      <c r="L3641" s="23"/>
      <c r="M3641" s="131"/>
      <c r="N3641" s="131"/>
      <c r="O3641" s="131"/>
    </row>
    <row r="3642" spans="4:15" x14ac:dyDescent="0.3">
      <c r="D3642" s="33"/>
      <c r="E3642" s="127"/>
      <c r="F3642" s="128"/>
      <c r="G3642" s="128"/>
      <c r="H3642" s="129"/>
      <c r="I3642" s="130"/>
      <c r="J3642" s="23"/>
      <c r="K3642" s="23"/>
      <c r="L3642" s="23"/>
      <c r="M3642" s="131"/>
      <c r="N3642" s="131"/>
      <c r="O3642" s="131"/>
    </row>
    <row r="3643" spans="4:15" x14ac:dyDescent="0.3">
      <c r="D3643" s="33"/>
      <c r="E3643" s="127"/>
      <c r="F3643" s="128"/>
      <c r="G3643" s="128"/>
      <c r="H3643" s="129"/>
      <c r="I3643" s="130"/>
      <c r="J3643" s="23"/>
      <c r="K3643" s="23"/>
      <c r="L3643" s="23"/>
      <c r="M3643" s="131"/>
      <c r="N3643" s="131"/>
      <c r="O3643" s="131"/>
    </row>
    <row r="3644" spans="4:15" x14ac:dyDescent="0.3">
      <c r="D3644" s="33"/>
      <c r="E3644" s="127"/>
      <c r="F3644" s="128"/>
      <c r="G3644" s="128"/>
      <c r="H3644" s="129"/>
      <c r="I3644" s="130"/>
      <c r="J3644" s="23"/>
      <c r="K3644" s="23"/>
      <c r="L3644" s="23"/>
      <c r="M3644" s="131"/>
      <c r="N3644" s="131"/>
      <c r="O3644" s="131"/>
    </row>
    <row r="3645" spans="4:15" x14ac:dyDescent="0.3">
      <c r="D3645" s="33"/>
      <c r="E3645" s="127"/>
      <c r="F3645" s="128"/>
      <c r="G3645" s="128"/>
      <c r="H3645" s="129"/>
      <c r="I3645" s="130"/>
      <c r="J3645" s="23"/>
      <c r="K3645" s="23"/>
      <c r="L3645" s="23"/>
      <c r="M3645" s="131"/>
      <c r="N3645" s="131"/>
      <c r="O3645" s="131"/>
    </row>
    <row r="3646" spans="4:15" x14ac:dyDescent="0.3">
      <c r="D3646" s="33"/>
      <c r="E3646" s="127"/>
      <c r="F3646" s="128"/>
      <c r="G3646" s="128"/>
      <c r="H3646" s="129"/>
      <c r="I3646" s="130"/>
      <c r="J3646" s="23"/>
      <c r="K3646" s="23"/>
      <c r="L3646" s="23"/>
      <c r="M3646" s="131"/>
      <c r="N3646" s="131"/>
      <c r="O3646" s="131"/>
    </row>
    <row r="3647" spans="4:15" x14ac:dyDescent="0.3">
      <c r="D3647" s="33"/>
      <c r="E3647" s="127"/>
      <c r="F3647" s="128"/>
      <c r="G3647" s="128"/>
      <c r="H3647" s="129"/>
      <c r="I3647" s="130"/>
      <c r="J3647" s="23"/>
      <c r="K3647" s="23"/>
      <c r="L3647" s="23"/>
      <c r="M3647" s="131"/>
      <c r="N3647" s="131"/>
      <c r="O3647" s="131"/>
    </row>
    <row r="3648" spans="4:15" x14ac:dyDescent="0.3">
      <c r="D3648" s="33"/>
      <c r="E3648" s="127"/>
      <c r="F3648" s="128"/>
      <c r="G3648" s="128"/>
      <c r="H3648" s="129"/>
      <c r="I3648" s="130"/>
      <c r="J3648" s="23"/>
      <c r="K3648" s="23"/>
      <c r="L3648" s="23"/>
      <c r="M3648" s="131"/>
      <c r="N3648" s="131"/>
      <c r="O3648" s="131"/>
    </row>
    <row r="3649" spans="4:15" x14ac:dyDescent="0.3">
      <c r="D3649" s="33"/>
      <c r="E3649" s="127"/>
      <c r="F3649" s="128"/>
      <c r="G3649" s="128"/>
      <c r="H3649" s="129"/>
      <c r="I3649" s="130"/>
      <c r="J3649" s="23"/>
      <c r="K3649" s="23"/>
      <c r="L3649" s="23"/>
      <c r="M3649" s="131"/>
      <c r="N3649" s="131"/>
      <c r="O3649" s="131"/>
    </row>
    <row r="3650" spans="4:15" x14ac:dyDescent="0.3">
      <c r="D3650" s="33"/>
      <c r="E3650" s="127"/>
      <c r="F3650" s="128"/>
      <c r="G3650" s="128"/>
      <c r="H3650" s="129"/>
      <c r="I3650" s="130"/>
      <c r="J3650" s="23"/>
      <c r="K3650" s="23"/>
      <c r="L3650" s="23"/>
      <c r="M3650" s="131"/>
      <c r="N3650" s="131"/>
      <c r="O3650" s="131"/>
    </row>
    <row r="3651" spans="4:15" x14ac:dyDescent="0.3">
      <c r="D3651" s="33"/>
      <c r="E3651" s="127"/>
      <c r="F3651" s="128"/>
      <c r="G3651" s="128"/>
      <c r="H3651" s="129"/>
      <c r="I3651" s="130"/>
      <c r="J3651" s="23"/>
      <c r="K3651" s="23"/>
      <c r="L3651" s="23"/>
      <c r="M3651" s="131"/>
      <c r="N3651" s="131"/>
      <c r="O3651" s="131"/>
    </row>
    <row r="3652" spans="4:15" x14ac:dyDescent="0.3">
      <c r="D3652" s="33"/>
      <c r="E3652" s="127"/>
      <c r="F3652" s="128"/>
      <c r="G3652" s="128"/>
      <c r="H3652" s="129"/>
      <c r="I3652" s="130"/>
      <c r="J3652" s="23"/>
      <c r="K3652" s="23"/>
      <c r="L3652" s="23"/>
      <c r="M3652" s="131"/>
      <c r="N3652" s="131"/>
      <c r="O3652" s="131"/>
    </row>
    <row r="3653" spans="4:15" x14ac:dyDescent="0.3">
      <c r="D3653" s="33"/>
      <c r="E3653" s="127"/>
      <c r="F3653" s="128"/>
      <c r="G3653" s="128"/>
      <c r="H3653" s="129"/>
      <c r="I3653" s="130"/>
      <c r="J3653" s="23"/>
      <c r="K3653" s="23"/>
      <c r="L3653" s="23"/>
      <c r="M3653" s="131"/>
      <c r="N3653" s="131"/>
      <c r="O3653" s="131"/>
    </row>
    <row r="3654" spans="4:15" x14ac:dyDescent="0.3">
      <c r="D3654" s="33"/>
      <c r="E3654" s="127"/>
      <c r="F3654" s="128"/>
      <c r="G3654" s="128"/>
      <c r="H3654" s="129"/>
      <c r="I3654" s="130"/>
      <c r="J3654" s="23"/>
      <c r="K3654" s="23"/>
      <c r="L3654" s="23"/>
      <c r="M3654" s="131"/>
      <c r="N3654" s="131"/>
      <c r="O3654" s="131"/>
    </row>
    <row r="3655" spans="4:15" x14ac:dyDescent="0.3">
      <c r="D3655" s="33"/>
      <c r="E3655" s="127"/>
      <c r="F3655" s="128"/>
      <c r="G3655" s="128"/>
      <c r="H3655" s="129"/>
      <c r="I3655" s="130"/>
      <c r="J3655" s="23"/>
      <c r="K3655" s="23"/>
      <c r="L3655" s="23"/>
      <c r="M3655" s="131"/>
      <c r="N3655" s="131"/>
      <c r="O3655" s="131"/>
    </row>
    <row r="3656" spans="4:15" x14ac:dyDescent="0.3">
      <c r="D3656" s="33"/>
      <c r="E3656" s="127"/>
      <c r="F3656" s="128"/>
      <c r="G3656" s="128"/>
      <c r="H3656" s="129"/>
      <c r="I3656" s="130"/>
      <c r="J3656" s="23"/>
      <c r="K3656" s="23"/>
      <c r="L3656" s="23"/>
      <c r="M3656" s="131"/>
      <c r="N3656" s="131"/>
      <c r="O3656" s="131"/>
    </row>
    <row r="3657" spans="4:15" x14ac:dyDescent="0.3">
      <c r="D3657" s="33"/>
      <c r="E3657" s="127"/>
      <c r="F3657" s="128"/>
      <c r="G3657" s="128"/>
      <c r="H3657" s="129"/>
      <c r="I3657" s="130"/>
      <c r="J3657" s="23"/>
      <c r="K3657" s="23"/>
      <c r="L3657" s="23"/>
      <c r="M3657" s="131"/>
      <c r="N3657" s="131"/>
      <c r="O3657" s="131"/>
    </row>
    <row r="3658" spans="4:15" x14ac:dyDescent="0.3">
      <c r="D3658" s="33"/>
      <c r="E3658" s="127"/>
      <c r="F3658" s="128"/>
      <c r="G3658" s="128"/>
      <c r="H3658" s="129"/>
      <c r="I3658" s="130"/>
      <c r="J3658" s="23"/>
      <c r="K3658" s="23"/>
      <c r="L3658" s="23"/>
      <c r="M3658" s="131"/>
      <c r="N3658" s="131"/>
      <c r="O3658" s="131"/>
    </row>
    <row r="3659" spans="4:15" x14ac:dyDescent="0.3">
      <c r="D3659" s="33"/>
      <c r="E3659" s="127"/>
      <c r="F3659" s="128"/>
      <c r="G3659" s="128"/>
      <c r="H3659" s="129"/>
      <c r="I3659" s="130"/>
      <c r="J3659" s="23"/>
      <c r="K3659" s="23"/>
      <c r="L3659" s="23"/>
      <c r="M3659" s="131"/>
      <c r="N3659" s="131"/>
      <c r="O3659" s="131"/>
    </row>
    <row r="3660" spans="4:15" x14ac:dyDescent="0.3">
      <c r="D3660" s="33"/>
      <c r="E3660" s="127"/>
      <c r="F3660" s="128"/>
      <c r="G3660" s="128"/>
      <c r="H3660" s="129"/>
      <c r="I3660" s="130"/>
      <c r="J3660" s="23"/>
      <c r="K3660" s="23"/>
      <c r="L3660" s="23"/>
      <c r="M3660" s="131"/>
      <c r="N3660" s="131"/>
      <c r="O3660" s="131"/>
    </row>
    <row r="3661" spans="4:15" x14ac:dyDescent="0.3">
      <c r="D3661" s="33"/>
      <c r="E3661" s="127"/>
      <c r="F3661" s="128"/>
      <c r="G3661" s="128"/>
      <c r="H3661" s="129"/>
      <c r="I3661" s="130"/>
      <c r="J3661" s="23"/>
      <c r="K3661" s="23"/>
      <c r="L3661" s="23"/>
      <c r="M3661" s="131"/>
      <c r="N3661" s="131"/>
      <c r="O3661" s="131"/>
    </row>
    <row r="3662" spans="4:15" x14ac:dyDescent="0.3">
      <c r="D3662" s="33"/>
      <c r="E3662" s="127"/>
      <c r="F3662" s="128"/>
      <c r="G3662" s="128"/>
      <c r="H3662" s="129"/>
      <c r="I3662" s="130"/>
      <c r="J3662" s="23"/>
      <c r="K3662" s="23"/>
      <c r="L3662" s="23"/>
      <c r="M3662" s="131"/>
      <c r="N3662" s="131"/>
      <c r="O3662" s="131"/>
    </row>
    <row r="3663" spans="4:15" x14ac:dyDescent="0.3">
      <c r="D3663" s="33"/>
      <c r="E3663" s="127"/>
      <c r="F3663" s="128"/>
      <c r="G3663" s="128"/>
      <c r="H3663" s="129"/>
      <c r="I3663" s="130"/>
      <c r="J3663" s="23"/>
      <c r="K3663" s="23"/>
      <c r="L3663" s="23"/>
      <c r="M3663" s="131"/>
      <c r="N3663" s="131"/>
      <c r="O3663" s="131"/>
    </row>
    <row r="3664" spans="4:15" x14ac:dyDescent="0.3">
      <c r="D3664" s="33"/>
      <c r="E3664" s="127"/>
      <c r="F3664" s="128"/>
      <c r="G3664" s="128"/>
      <c r="H3664" s="129"/>
      <c r="I3664" s="130"/>
      <c r="J3664" s="23"/>
      <c r="K3664" s="23"/>
      <c r="L3664" s="23"/>
      <c r="M3664" s="131"/>
      <c r="N3664" s="131"/>
      <c r="O3664" s="131"/>
    </row>
    <row r="3665" spans="4:15" x14ac:dyDescent="0.3">
      <c r="D3665" s="33"/>
      <c r="E3665" s="127"/>
      <c r="F3665" s="128"/>
      <c r="G3665" s="128"/>
      <c r="H3665" s="129"/>
      <c r="I3665" s="130"/>
      <c r="J3665" s="23"/>
      <c r="K3665" s="23"/>
      <c r="L3665" s="23"/>
      <c r="M3665" s="131"/>
      <c r="N3665" s="131"/>
      <c r="O3665" s="131"/>
    </row>
    <row r="3666" spans="4:15" x14ac:dyDescent="0.3">
      <c r="D3666" s="33"/>
      <c r="E3666" s="127"/>
      <c r="F3666" s="128"/>
      <c r="G3666" s="128"/>
      <c r="H3666" s="129"/>
      <c r="I3666" s="130"/>
      <c r="J3666" s="23"/>
      <c r="K3666" s="23"/>
      <c r="L3666" s="23"/>
      <c r="M3666" s="131"/>
      <c r="N3666" s="131"/>
      <c r="O3666" s="131"/>
    </row>
    <row r="3667" spans="4:15" x14ac:dyDescent="0.3">
      <c r="D3667" s="33"/>
      <c r="E3667" s="127"/>
      <c r="F3667" s="128"/>
      <c r="G3667" s="128"/>
      <c r="H3667" s="129"/>
      <c r="I3667" s="130"/>
      <c r="J3667" s="23"/>
      <c r="K3667" s="23"/>
      <c r="L3667" s="23"/>
      <c r="M3667" s="131"/>
      <c r="N3667" s="131"/>
      <c r="O3667" s="131"/>
    </row>
    <row r="3668" spans="4:15" x14ac:dyDescent="0.3">
      <c r="D3668" s="33"/>
      <c r="E3668" s="127"/>
      <c r="F3668" s="128"/>
      <c r="G3668" s="128"/>
      <c r="H3668" s="129"/>
      <c r="I3668" s="130"/>
      <c r="J3668" s="23"/>
      <c r="K3668" s="23"/>
      <c r="L3668" s="23"/>
      <c r="M3668" s="131"/>
      <c r="N3668" s="131"/>
      <c r="O3668" s="131"/>
    </row>
    <row r="3669" spans="4:15" x14ac:dyDescent="0.3">
      <c r="D3669" s="33"/>
      <c r="E3669" s="127"/>
      <c r="F3669" s="128"/>
      <c r="G3669" s="128"/>
      <c r="H3669" s="129"/>
      <c r="I3669" s="130"/>
      <c r="J3669" s="23"/>
      <c r="K3669" s="23"/>
      <c r="L3669" s="23"/>
      <c r="M3669" s="131"/>
      <c r="N3669" s="131"/>
      <c r="O3669" s="131"/>
    </row>
    <row r="3670" spans="4:15" x14ac:dyDescent="0.3">
      <c r="D3670" s="33"/>
      <c r="E3670" s="127"/>
      <c r="F3670" s="128"/>
      <c r="G3670" s="128"/>
      <c r="H3670" s="129"/>
      <c r="I3670" s="130"/>
      <c r="J3670" s="23"/>
      <c r="K3670" s="23"/>
      <c r="L3670" s="23"/>
      <c r="M3670" s="131"/>
      <c r="N3670" s="131"/>
      <c r="O3670" s="131"/>
    </row>
    <row r="3671" spans="4:15" x14ac:dyDescent="0.3">
      <c r="D3671" s="33"/>
      <c r="E3671" s="127"/>
      <c r="F3671" s="128"/>
      <c r="G3671" s="128"/>
      <c r="H3671" s="129"/>
      <c r="I3671" s="130"/>
      <c r="J3671" s="23"/>
      <c r="K3671" s="23"/>
      <c r="L3671" s="23"/>
      <c r="M3671" s="131"/>
      <c r="N3671" s="131"/>
      <c r="O3671" s="131"/>
    </row>
    <row r="3672" spans="4:15" x14ac:dyDescent="0.3">
      <c r="D3672" s="33"/>
      <c r="E3672" s="127"/>
      <c r="F3672" s="128"/>
      <c r="G3672" s="128"/>
      <c r="H3672" s="129"/>
      <c r="I3672" s="130"/>
      <c r="J3672" s="23"/>
      <c r="K3672" s="23"/>
      <c r="L3672" s="23"/>
      <c r="M3672" s="131"/>
      <c r="N3672" s="131"/>
      <c r="O3672" s="131"/>
    </row>
    <row r="3673" spans="4:15" x14ac:dyDescent="0.3">
      <c r="D3673" s="33"/>
      <c r="E3673" s="127"/>
      <c r="F3673" s="128"/>
      <c r="G3673" s="128"/>
      <c r="H3673" s="129"/>
      <c r="I3673" s="130"/>
      <c r="J3673" s="23"/>
      <c r="K3673" s="23"/>
      <c r="L3673" s="23"/>
      <c r="M3673" s="131"/>
      <c r="N3673" s="131"/>
      <c r="O3673" s="131"/>
    </row>
    <row r="3674" spans="4:15" x14ac:dyDescent="0.3">
      <c r="D3674" s="33"/>
      <c r="E3674" s="127"/>
      <c r="F3674" s="128"/>
      <c r="G3674" s="128"/>
      <c r="H3674" s="129"/>
      <c r="I3674" s="130"/>
      <c r="J3674" s="23"/>
      <c r="K3674" s="23"/>
      <c r="L3674" s="23"/>
      <c r="M3674" s="131"/>
      <c r="N3674" s="131"/>
      <c r="O3674" s="131"/>
    </row>
    <row r="3675" spans="4:15" x14ac:dyDescent="0.3">
      <c r="D3675" s="33"/>
      <c r="E3675" s="127"/>
      <c r="F3675" s="128"/>
      <c r="G3675" s="128"/>
      <c r="H3675" s="129"/>
      <c r="I3675" s="130"/>
      <c r="J3675" s="23"/>
      <c r="K3675" s="23"/>
      <c r="L3675" s="23"/>
      <c r="M3675" s="131"/>
      <c r="N3675" s="131"/>
      <c r="O3675" s="131"/>
    </row>
    <row r="3676" spans="4:15" x14ac:dyDescent="0.3">
      <c r="D3676" s="33"/>
      <c r="E3676" s="127"/>
      <c r="F3676" s="128"/>
      <c r="G3676" s="128"/>
      <c r="H3676" s="129"/>
      <c r="I3676" s="130"/>
      <c r="J3676" s="23"/>
      <c r="K3676" s="23"/>
      <c r="L3676" s="23"/>
      <c r="M3676" s="131"/>
      <c r="N3676" s="131"/>
      <c r="O3676" s="131"/>
    </row>
    <row r="3677" spans="4:15" x14ac:dyDescent="0.3">
      <c r="D3677" s="33"/>
      <c r="E3677" s="127"/>
      <c r="F3677" s="128"/>
      <c r="G3677" s="128"/>
      <c r="H3677" s="129"/>
      <c r="I3677" s="130"/>
      <c r="J3677" s="23"/>
      <c r="K3677" s="23"/>
      <c r="L3677" s="23"/>
      <c r="M3677" s="131"/>
      <c r="N3677" s="131"/>
      <c r="O3677" s="131"/>
    </row>
    <row r="3678" spans="4:15" x14ac:dyDescent="0.3">
      <c r="D3678" s="33"/>
      <c r="E3678" s="127"/>
      <c r="F3678" s="128"/>
      <c r="G3678" s="128"/>
      <c r="H3678" s="129"/>
      <c r="I3678" s="130"/>
      <c r="J3678" s="23"/>
      <c r="K3678" s="23"/>
      <c r="L3678" s="23"/>
      <c r="M3678" s="131"/>
      <c r="N3678" s="131"/>
      <c r="O3678" s="131"/>
    </row>
    <row r="3679" spans="4:15" x14ac:dyDescent="0.3">
      <c r="D3679" s="33"/>
      <c r="E3679" s="127"/>
      <c r="F3679" s="128"/>
      <c r="G3679" s="128"/>
      <c r="H3679" s="129"/>
      <c r="I3679" s="130"/>
      <c r="J3679" s="23"/>
      <c r="K3679" s="23"/>
      <c r="L3679" s="23"/>
      <c r="M3679" s="131"/>
      <c r="N3679" s="131"/>
      <c r="O3679" s="131"/>
    </row>
    <row r="3680" spans="4:15" x14ac:dyDescent="0.3">
      <c r="D3680" s="33"/>
      <c r="E3680" s="127"/>
      <c r="F3680" s="128"/>
      <c r="G3680" s="128"/>
      <c r="H3680" s="129"/>
      <c r="I3680" s="130"/>
      <c r="J3680" s="23"/>
      <c r="K3680" s="23"/>
      <c r="L3680" s="23"/>
      <c r="M3680" s="131"/>
      <c r="N3680" s="131"/>
      <c r="O3680" s="131"/>
    </row>
    <row r="3681" spans="4:15" x14ac:dyDescent="0.3">
      <c r="D3681" s="33"/>
      <c r="E3681" s="127"/>
      <c r="F3681" s="128"/>
      <c r="G3681" s="128"/>
      <c r="H3681" s="129"/>
      <c r="I3681" s="130"/>
      <c r="J3681" s="23"/>
      <c r="K3681" s="23"/>
      <c r="L3681" s="23"/>
      <c r="M3681" s="131"/>
      <c r="N3681" s="131"/>
      <c r="O3681" s="131"/>
    </row>
    <row r="3682" spans="4:15" x14ac:dyDescent="0.3">
      <c r="D3682" s="33"/>
      <c r="E3682" s="127"/>
      <c r="F3682" s="128"/>
      <c r="G3682" s="128"/>
      <c r="H3682" s="129"/>
      <c r="I3682" s="130"/>
      <c r="J3682" s="23"/>
      <c r="K3682" s="23"/>
      <c r="L3682" s="23"/>
      <c r="M3682" s="131"/>
      <c r="N3682" s="131"/>
      <c r="O3682" s="131"/>
    </row>
    <row r="3683" spans="4:15" x14ac:dyDescent="0.3">
      <c r="D3683" s="33"/>
      <c r="E3683" s="127"/>
      <c r="F3683" s="128"/>
      <c r="G3683" s="128"/>
      <c r="H3683" s="129"/>
      <c r="I3683" s="130"/>
      <c r="J3683" s="23"/>
      <c r="K3683" s="23"/>
      <c r="L3683" s="23"/>
      <c r="M3683" s="131"/>
      <c r="N3683" s="131"/>
      <c r="O3683" s="131"/>
    </row>
    <row r="3684" spans="4:15" x14ac:dyDescent="0.3">
      <c r="D3684" s="33"/>
      <c r="E3684" s="127"/>
      <c r="F3684" s="128"/>
      <c r="G3684" s="128"/>
      <c r="H3684" s="129"/>
      <c r="I3684" s="130"/>
      <c r="J3684" s="23"/>
      <c r="K3684" s="23"/>
      <c r="L3684" s="23"/>
      <c r="M3684" s="131"/>
      <c r="N3684" s="131"/>
      <c r="O3684" s="131"/>
    </row>
    <row r="3685" spans="4:15" x14ac:dyDescent="0.3">
      <c r="D3685" s="33"/>
      <c r="E3685" s="127"/>
      <c r="F3685" s="128"/>
      <c r="G3685" s="128"/>
      <c r="H3685" s="129"/>
      <c r="I3685" s="130"/>
      <c r="J3685" s="23"/>
      <c r="K3685" s="23"/>
      <c r="L3685" s="23"/>
      <c r="M3685" s="131"/>
      <c r="N3685" s="131"/>
      <c r="O3685" s="131"/>
    </row>
    <row r="3686" spans="4:15" x14ac:dyDescent="0.3">
      <c r="D3686" s="33"/>
      <c r="E3686" s="127"/>
      <c r="F3686" s="128"/>
      <c r="G3686" s="128"/>
      <c r="H3686" s="129"/>
      <c r="I3686" s="130"/>
      <c r="J3686" s="23"/>
      <c r="K3686" s="23"/>
      <c r="L3686" s="23"/>
      <c r="M3686" s="131"/>
      <c r="N3686" s="131"/>
      <c r="O3686" s="131"/>
    </row>
    <row r="3687" spans="4:15" x14ac:dyDescent="0.3">
      <c r="D3687" s="33"/>
      <c r="E3687" s="127"/>
      <c r="F3687" s="128"/>
      <c r="G3687" s="128"/>
      <c r="H3687" s="129"/>
      <c r="I3687" s="130"/>
      <c r="J3687" s="23"/>
      <c r="K3687" s="23"/>
      <c r="L3687" s="23"/>
      <c r="M3687" s="131"/>
      <c r="N3687" s="131"/>
      <c r="O3687" s="131"/>
    </row>
    <row r="3688" spans="4:15" x14ac:dyDescent="0.3">
      <c r="D3688" s="33"/>
      <c r="E3688" s="127"/>
      <c r="F3688" s="128"/>
      <c r="G3688" s="128"/>
      <c r="H3688" s="129"/>
      <c r="I3688" s="130"/>
      <c r="J3688" s="23"/>
      <c r="K3688" s="23"/>
      <c r="L3688" s="23"/>
      <c r="M3688" s="131"/>
      <c r="N3688" s="131"/>
      <c r="O3688" s="131"/>
    </row>
    <row r="3689" spans="4:15" x14ac:dyDescent="0.3">
      <c r="D3689" s="33"/>
      <c r="E3689" s="127"/>
      <c r="F3689" s="128"/>
      <c r="G3689" s="128"/>
      <c r="H3689" s="129"/>
      <c r="I3689" s="130"/>
      <c r="J3689" s="23"/>
      <c r="K3689" s="23"/>
      <c r="L3689" s="23"/>
      <c r="M3689" s="131"/>
      <c r="N3689" s="131"/>
      <c r="O3689" s="131"/>
    </row>
    <row r="3690" spans="4:15" x14ac:dyDescent="0.3">
      <c r="D3690" s="33"/>
      <c r="E3690" s="127"/>
      <c r="F3690" s="128"/>
      <c r="G3690" s="128"/>
      <c r="H3690" s="129"/>
      <c r="I3690" s="130"/>
      <c r="J3690" s="23"/>
      <c r="K3690" s="23"/>
      <c r="L3690" s="23"/>
      <c r="M3690" s="131"/>
      <c r="N3690" s="131"/>
      <c r="O3690" s="131"/>
    </row>
    <row r="3691" spans="4:15" x14ac:dyDescent="0.3">
      <c r="D3691" s="33"/>
      <c r="E3691" s="127"/>
      <c r="F3691" s="128"/>
      <c r="G3691" s="128"/>
      <c r="H3691" s="129"/>
      <c r="I3691" s="130"/>
      <c r="J3691" s="23"/>
      <c r="K3691" s="23"/>
      <c r="L3691" s="23"/>
      <c r="M3691" s="131"/>
      <c r="N3691" s="131"/>
      <c r="O3691" s="131"/>
    </row>
    <row r="3692" spans="4:15" x14ac:dyDescent="0.3">
      <c r="D3692" s="33"/>
      <c r="E3692" s="127"/>
      <c r="F3692" s="128"/>
      <c r="G3692" s="128"/>
      <c r="H3692" s="129"/>
      <c r="I3692" s="130"/>
      <c r="J3692" s="23"/>
      <c r="K3692" s="23"/>
      <c r="L3692" s="23"/>
      <c r="M3692" s="131"/>
      <c r="N3692" s="131"/>
      <c r="O3692" s="131"/>
    </row>
    <row r="3693" spans="4:15" x14ac:dyDescent="0.3">
      <c r="D3693" s="33"/>
      <c r="E3693" s="127"/>
      <c r="F3693" s="128"/>
      <c r="G3693" s="128"/>
      <c r="H3693" s="129"/>
      <c r="I3693" s="130"/>
      <c r="J3693" s="23"/>
      <c r="K3693" s="23"/>
      <c r="L3693" s="23"/>
      <c r="M3693" s="131"/>
      <c r="N3693" s="131"/>
      <c r="O3693" s="131"/>
    </row>
    <row r="3694" spans="4:15" x14ac:dyDescent="0.3">
      <c r="D3694" s="33"/>
      <c r="E3694" s="127"/>
      <c r="F3694" s="128"/>
      <c r="G3694" s="128"/>
      <c r="H3694" s="129"/>
      <c r="I3694" s="130"/>
      <c r="J3694" s="23"/>
      <c r="K3694" s="23"/>
      <c r="L3694" s="23"/>
      <c r="M3694" s="131"/>
      <c r="N3694" s="131"/>
      <c r="O3694" s="131"/>
    </row>
    <row r="3695" spans="4:15" x14ac:dyDescent="0.3">
      <c r="D3695" s="33"/>
      <c r="E3695" s="127"/>
      <c r="F3695" s="128"/>
      <c r="G3695" s="128"/>
      <c r="H3695" s="129"/>
      <c r="I3695" s="130"/>
      <c r="J3695" s="23"/>
      <c r="K3695" s="23"/>
      <c r="L3695" s="23"/>
      <c r="M3695" s="131"/>
      <c r="N3695" s="131"/>
      <c r="O3695" s="131"/>
    </row>
    <row r="3696" spans="4:15" x14ac:dyDescent="0.3">
      <c r="D3696" s="33"/>
      <c r="E3696" s="127"/>
      <c r="F3696" s="128"/>
      <c r="G3696" s="128"/>
      <c r="H3696" s="129"/>
      <c r="I3696" s="130"/>
      <c r="J3696" s="23"/>
      <c r="K3696" s="23"/>
      <c r="L3696" s="23"/>
      <c r="M3696" s="131"/>
      <c r="N3696" s="131"/>
      <c r="O3696" s="131"/>
    </row>
    <row r="3697" spans="4:15" x14ac:dyDescent="0.3">
      <c r="D3697" s="33"/>
      <c r="E3697" s="127"/>
      <c r="F3697" s="128"/>
      <c r="G3697" s="128"/>
      <c r="H3697" s="129"/>
      <c r="I3697" s="130"/>
      <c r="J3697" s="23"/>
      <c r="K3697" s="23"/>
      <c r="L3697" s="23"/>
      <c r="M3697" s="131"/>
      <c r="N3697" s="131"/>
      <c r="O3697" s="131"/>
    </row>
    <row r="3698" spans="4:15" x14ac:dyDescent="0.3">
      <c r="D3698" s="33"/>
      <c r="E3698" s="127"/>
      <c r="F3698" s="128"/>
      <c r="G3698" s="128"/>
      <c r="H3698" s="129"/>
      <c r="I3698" s="130"/>
      <c r="J3698" s="23"/>
      <c r="K3698" s="23"/>
      <c r="L3698" s="23"/>
      <c r="M3698" s="131"/>
      <c r="N3698" s="131"/>
      <c r="O3698" s="131"/>
    </row>
    <row r="3699" spans="4:15" x14ac:dyDescent="0.3">
      <c r="D3699" s="33"/>
      <c r="E3699" s="127"/>
      <c r="F3699" s="128"/>
      <c r="G3699" s="128"/>
      <c r="H3699" s="129"/>
      <c r="I3699" s="130"/>
      <c r="J3699" s="23"/>
      <c r="K3699" s="23"/>
      <c r="L3699" s="23"/>
      <c r="M3699" s="131"/>
      <c r="N3699" s="131"/>
      <c r="O3699" s="131"/>
    </row>
    <row r="3700" spans="4:15" x14ac:dyDescent="0.3">
      <c r="D3700" s="33"/>
      <c r="E3700" s="127"/>
      <c r="F3700" s="128"/>
      <c r="G3700" s="128"/>
      <c r="H3700" s="129"/>
      <c r="I3700" s="130"/>
      <c r="J3700" s="23"/>
      <c r="K3700" s="23"/>
      <c r="L3700" s="23"/>
      <c r="M3700" s="131"/>
      <c r="N3700" s="131"/>
      <c r="O3700" s="131"/>
    </row>
    <row r="3701" spans="4:15" x14ac:dyDescent="0.3">
      <c r="D3701" s="33"/>
      <c r="E3701" s="127"/>
      <c r="F3701" s="128"/>
      <c r="G3701" s="128"/>
      <c r="H3701" s="129"/>
      <c r="I3701" s="130"/>
      <c r="J3701" s="23"/>
      <c r="K3701" s="23"/>
      <c r="L3701" s="23"/>
      <c r="M3701" s="131"/>
      <c r="N3701" s="131"/>
      <c r="O3701" s="131"/>
    </row>
    <row r="3702" spans="4:15" x14ac:dyDescent="0.3">
      <c r="D3702" s="33"/>
      <c r="E3702" s="127"/>
      <c r="F3702" s="128"/>
      <c r="G3702" s="128"/>
      <c r="H3702" s="129"/>
      <c r="I3702" s="130"/>
      <c r="J3702" s="23"/>
      <c r="K3702" s="23"/>
      <c r="L3702" s="23"/>
      <c r="M3702" s="131"/>
      <c r="N3702" s="131"/>
      <c r="O3702" s="131"/>
    </row>
    <row r="3703" spans="4:15" x14ac:dyDescent="0.3">
      <c r="D3703" s="33"/>
      <c r="E3703" s="127"/>
      <c r="F3703" s="128"/>
      <c r="G3703" s="128"/>
      <c r="H3703" s="129"/>
      <c r="I3703" s="130"/>
      <c r="J3703" s="23"/>
      <c r="K3703" s="23"/>
      <c r="L3703" s="23"/>
      <c r="M3703" s="131"/>
      <c r="N3703" s="131"/>
      <c r="O3703" s="131"/>
    </row>
    <row r="3704" spans="4:15" x14ac:dyDescent="0.3">
      <c r="D3704" s="33"/>
      <c r="E3704" s="127"/>
      <c r="F3704" s="128"/>
      <c r="G3704" s="128"/>
      <c r="H3704" s="129"/>
      <c r="I3704" s="130"/>
      <c r="J3704" s="23"/>
      <c r="K3704" s="23"/>
      <c r="L3704" s="23"/>
      <c r="M3704" s="131"/>
      <c r="N3704" s="131"/>
      <c r="O3704" s="131"/>
    </row>
    <row r="3705" spans="4:15" x14ac:dyDescent="0.3">
      <c r="D3705" s="33"/>
      <c r="E3705" s="127"/>
      <c r="F3705" s="128"/>
      <c r="G3705" s="128"/>
      <c r="H3705" s="129"/>
      <c r="I3705" s="130"/>
      <c r="J3705" s="23"/>
      <c r="K3705" s="23"/>
      <c r="L3705" s="23"/>
      <c r="M3705" s="131"/>
      <c r="N3705" s="131"/>
      <c r="O3705" s="131"/>
    </row>
    <row r="3706" spans="4:15" x14ac:dyDescent="0.3">
      <c r="D3706" s="33"/>
      <c r="E3706" s="127"/>
      <c r="F3706" s="128"/>
      <c r="G3706" s="128"/>
      <c r="H3706" s="129"/>
      <c r="I3706" s="130"/>
      <c r="J3706" s="23"/>
      <c r="K3706" s="23"/>
      <c r="L3706" s="23"/>
      <c r="M3706" s="131"/>
      <c r="N3706" s="131"/>
      <c r="O3706" s="131"/>
    </row>
    <row r="3707" spans="4:15" x14ac:dyDescent="0.3">
      <c r="D3707" s="33"/>
      <c r="E3707" s="127"/>
      <c r="F3707" s="128"/>
      <c r="G3707" s="128"/>
      <c r="H3707" s="129"/>
      <c r="I3707" s="130"/>
      <c r="J3707" s="23"/>
      <c r="K3707" s="23"/>
      <c r="L3707" s="23"/>
      <c r="M3707" s="131"/>
      <c r="N3707" s="131"/>
      <c r="O3707" s="131"/>
    </row>
    <row r="3708" spans="4:15" x14ac:dyDescent="0.3">
      <c r="D3708" s="33"/>
      <c r="E3708" s="127"/>
      <c r="F3708" s="128"/>
      <c r="G3708" s="128"/>
      <c r="H3708" s="129"/>
      <c r="I3708" s="130"/>
      <c r="J3708" s="23"/>
      <c r="K3708" s="23"/>
      <c r="L3708" s="23"/>
      <c r="M3708" s="131"/>
      <c r="N3708" s="131"/>
      <c r="O3708" s="131"/>
    </row>
    <row r="3709" spans="4:15" x14ac:dyDescent="0.3">
      <c r="D3709" s="33"/>
      <c r="E3709" s="127"/>
      <c r="F3709" s="128"/>
      <c r="G3709" s="128"/>
      <c r="H3709" s="129"/>
      <c r="I3709" s="130"/>
      <c r="J3709" s="23"/>
      <c r="K3709" s="23"/>
      <c r="L3709" s="23"/>
      <c r="M3709" s="131"/>
      <c r="N3709" s="131"/>
      <c r="O3709" s="131"/>
    </row>
    <row r="3710" spans="4:15" x14ac:dyDescent="0.3">
      <c r="D3710" s="33"/>
      <c r="E3710" s="127"/>
      <c r="F3710" s="128"/>
      <c r="G3710" s="128"/>
      <c r="H3710" s="129"/>
      <c r="I3710" s="130"/>
      <c r="J3710" s="23"/>
      <c r="K3710" s="23"/>
      <c r="L3710" s="23"/>
      <c r="M3710" s="131"/>
      <c r="N3710" s="131"/>
      <c r="O3710" s="131"/>
    </row>
    <row r="3711" spans="4:15" x14ac:dyDescent="0.3">
      <c r="D3711" s="33"/>
      <c r="E3711" s="127"/>
      <c r="F3711" s="128"/>
      <c r="G3711" s="128"/>
      <c r="H3711" s="129"/>
      <c r="I3711" s="130"/>
      <c r="J3711" s="23"/>
      <c r="K3711" s="23"/>
      <c r="L3711" s="23"/>
      <c r="M3711" s="131"/>
      <c r="N3711" s="131"/>
      <c r="O3711" s="131"/>
    </row>
    <row r="3712" spans="4:15" x14ac:dyDescent="0.3">
      <c r="D3712" s="33"/>
      <c r="E3712" s="127"/>
      <c r="F3712" s="128"/>
      <c r="G3712" s="128"/>
      <c r="H3712" s="129"/>
      <c r="I3712" s="130"/>
      <c r="J3712" s="23"/>
      <c r="K3712" s="23"/>
      <c r="L3712" s="23"/>
      <c r="M3712" s="131"/>
      <c r="N3712" s="131"/>
      <c r="O3712" s="131"/>
    </row>
    <row r="3713" spans="4:15" x14ac:dyDescent="0.3">
      <c r="D3713" s="33"/>
      <c r="E3713" s="127"/>
      <c r="F3713" s="128"/>
      <c r="G3713" s="128"/>
      <c r="H3713" s="129"/>
      <c r="I3713" s="130"/>
      <c r="J3713" s="23"/>
      <c r="K3713" s="23"/>
      <c r="L3713" s="23"/>
      <c r="M3713" s="131"/>
      <c r="N3713" s="131"/>
      <c r="O3713" s="131"/>
    </row>
    <row r="3714" spans="4:15" x14ac:dyDescent="0.3">
      <c r="D3714" s="33"/>
      <c r="E3714" s="127"/>
      <c r="F3714" s="128"/>
      <c r="G3714" s="128"/>
      <c r="H3714" s="129"/>
      <c r="I3714" s="130"/>
      <c r="J3714" s="23"/>
      <c r="K3714" s="23"/>
      <c r="L3714" s="23"/>
      <c r="M3714" s="131"/>
      <c r="N3714" s="131"/>
      <c r="O3714" s="131"/>
    </row>
    <row r="3715" spans="4:15" x14ac:dyDescent="0.3">
      <c r="D3715" s="33"/>
      <c r="E3715" s="127"/>
      <c r="F3715" s="128"/>
      <c r="G3715" s="128"/>
      <c r="H3715" s="129"/>
      <c r="I3715" s="130"/>
      <c r="J3715" s="23"/>
      <c r="K3715" s="23"/>
      <c r="L3715" s="23"/>
      <c r="M3715" s="131"/>
      <c r="N3715" s="131"/>
      <c r="O3715" s="131"/>
    </row>
    <row r="3716" spans="4:15" x14ac:dyDescent="0.3">
      <c r="D3716" s="33"/>
      <c r="E3716" s="127"/>
      <c r="F3716" s="128"/>
      <c r="G3716" s="128"/>
      <c r="H3716" s="129"/>
      <c r="I3716" s="130"/>
      <c r="J3716" s="23"/>
      <c r="K3716" s="23"/>
      <c r="L3716" s="23"/>
      <c r="M3716" s="131"/>
      <c r="N3716" s="131"/>
      <c r="O3716" s="131"/>
    </row>
    <row r="3717" spans="4:15" x14ac:dyDescent="0.3">
      <c r="D3717" s="33"/>
      <c r="E3717" s="127"/>
      <c r="F3717" s="128"/>
      <c r="G3717" s="128"/>
      <c r="H3717" s="129"/>
      <c r="I3717" s="130"/>
      <c r="J3717" s="23"/>
      <c r="K3717" s="23"/>
      <c r="L3717" s="23"/>
      <c r="M3717" s="131"/>
      <c r="N3717" s="131"/>
      <c r="O3717" s="131"/>
    </row>
    <row r="3718" spans="4:15" x14ac:dyDescent="0.3">
      <c r="D3718" s="33"/>
      <c r="E3718" s="127"/>
      <c r="F3718" s="128"/>
      <c r="G3718" s="128"/>
      <c r="H3718" s="129"/>
      <c r="I3718" s="130"/>
      <c r="J3718" s="23"/>
      <c r="K3718" s="23"/>
      <c r="L3718" s="23"/>
      <c r="M3718" s="131"/>
      <c r="N3718" s="131"/>
      <c r="O3718" s="131"/>
    </row>
    <row r="3719" spans="4:15" x14ac:dyDescent="0.3">
      <c r="D3719" s="33"/>
      <c r="E3719" s="127"/>
      <c r="F3719" s="128"/>
      <c r="G3719" s="128"/>
      <c r="H3719" s="129"/>
      <c r="I3719" s="130"/>
      <c r="J3719" s="23"/>
      <c r="K3719" s="23"/>
      <c r="L3719" s="23"/>
      <c r="M3719" s="131"/>
      <c r="N3719" s="131"/>
      <c r="O3719" s="131"/>
    </row>
    <row r="3720" spans="4:15" x14ac:dyDescent="0.3">
      <c r="D3720" s="33"/>
      <c r="E3720" s="127"/>
      <c r="F3720" s="128"/>
      <c r="G3720" s="128"/>
      <c r="H3720" s="129"/>
      <c r="I3720" s="130"/>
      <c r="J3720" s="23"/>
      <c r="K3720" s="23"/>
      <c r="L3720" s="23"/>
      <c r="M3720" s="131"/>
      <c r="N3720" s="131"/>
      <c r="O3720" s="131"/>
    </row>
    <row r="3721" spans="4:15" x14ac:dyDescent="0.3">
      <c r="D3721" s="33"/>
      <c r="E3721" s="127"/>
      <c r="F3721" s="128"/>
      <c r="G3721" s="128"/>
      <c r="H3721" s="129"/>
      <c r="I3721" s="130"/>
      <c r="J3721" s="23"/>
      <c r="K3721" s="23"/>
      <c r="L3721" s="23"/>
      <c r="M3721" s="131"/>
      <c r="N3721" s="131"/>
      <c r="O3721" s="131"/>
    </row>
    <row r="3722" spans="4:15" x14ac:dyDescent="0.3">
      <c r="D3722" s="33"/>
      <c r="E3722" s="127"/>
      <c r="F3722" s="128"/>
      <c r="G3722" s="128"/>
      <c r="H3722" s="129"/>
      <c r="I3722" s="130"/>
      <c r="J3722" s="23"/>
      <c r="K3722" s="23"/>
      <c r="L3722" s="23"/>
      <c r="M3722" s="131"/>
      <c r="N3722" s="131"/>
      <c r="O3722" s="131"/>
    </row>
    <row r="3723" spans="4:15" x14ac:dyDescent="0.3">
      <c r="D3723" s="33"/>
      <c r="E3723" s="127"/>
      <c r="F3723" s="128"/>
      <c r="G3723" s="128"/>
      <c r="H3723" s="129"/>
      <c r="I3723" s="130"/>
      <c r="J3723" s="23"/>
      <c r="K3723" s="23"/>
      <c r="L3723" s="23"/>
      <c r="M3723" s="131"/>
      <c r="N3723" s="131"/>
      <c r="O3723" s="131"/>
    </row>
    <row r="3724" spans="4:15" x14ac:dyDescent="0.3">
      <c r="D3724" s="33"/>
      <c r="E3724" s="127"/>
      <c r="F3724" s="128"/>
      <c r="G3724" s="128"/>
      <c r="H3724" s="129"/>
      <c r="I3724" s="130"/>
      <c r="J3724" s="23"/>
      <c r="K3724" s="23"/>
      <c r="L3724" s="23"/>
      <c r="M3724" s="131"/>
      <c r="N3724" s="131"/>
      <c r="O3724" s="131"/>
    </row>
    <row r="3725" spans="4:15" x14ac:dyDescent="0.3">
      <c r="D3725" s="33"/>
      <c r="E3725" s="127"/>
      <c r="F3725" s="128"/>
      <c r="G3725" s="128"/>
      <c r="H3725" s="129"/>
      <c r="I3725" s="130"/>
      <c r="J3725" s="23"/>
      <c r="K3725" s="23"/>
      <c r="L3725" s="23"/>
      <c r="M3725" s="131"/>
      <c r="N3725" s="131"/>
      <c r="O3725" s="131"/>
    </row>
    <row r="3726" spans="4:15" x14ac:dyDescent="0.3">
      <c r="D3726" s="33"/>
      <c r="E3726" s="127"/>
      <c r="F3726" s="128"/>
      <c r="G3726" s="128"/>
      <c r="H3726" s="129"/>
      <c r="I3726" s="130"/>
      <c r="J3726" s="23"/>
      <c r="K3726" s="23"/>
      <c r="L3726" s="23"/>
      <c r="M3726" s="131"/>
      <c r="N3726" s="131"/>
      <c r="O3726" s="131"/>
    </row>
    <row r="3727" spans="4:15" x14ac:dyDescent="0.3">
      <c r="D3727" s="33"/>
      <c r="E3727" s="127"/>
      <c r="F3727" s="128"/>
      <c r="G3727" s="128"/>
      <c r="H3727" s="129"/>
      <c r="I3727" s="130"/>
      <c r="J3727" s="23"/>
      <c r="K3727" s="23"/>
      <c r="L3727" s="23"/>
      <c r="M3727" s="131"/>
      <c r="N3727" s="131"/>
      <c r="O3727" s="131"/>
    </row>
    <row r="3728" spans="4:15" x14ac:dyDescent="0.3">
      <c r="D3728" s="33"/>
      <c r="E3728" s="127"/>
      <c r="F3728" s="128"/>
      <c r="G3728" s="128"/>
      <c r="H3728" s="129"/>
      <c r="I3728" s="130"/>
      <c r="J3728" s="23"/>
      <c r="K3728" s="23"/>
      <c r="L3728" s="23"/>
      <c r="M3728" s="131"/>
      <c r="N3728" s="131"/>
      <c r="O3728" s="131"/>
    </row>
    <row r="3729" spans="4:15" x14ac:dyDescent="0.3">
      <c r="D3729" s="33"/>
      <c r="E3729" s="127"/>
      <c r="F3729" s="128"/>
      <c r="G3729" s="128"/>
      <c r="H3729" s="129"/>
      <c r="I3729" s="130"/>
      <c r="J3729" s="23"/>
      <c r="K3729" s="23"/>
      <c r="L3729" s="23"/>
      <c r="M3729" s="131"/>
      <c r="N3729" s="131"/>
      <c r="O3729" s="131"/>
    </row>
    <row r="3730" spans="4:15" x14ac:dyDescent="0.3">
      <c r="D3730" s="33"/>
      <c r="E3730" s="127"/>
      <c r="F3730" s="128"/>
      <c r="G3730" s="128"/>
      <c r="H3730" s="129"/>
      <c r="I3730" s="130"/>
      <c r="J3730" s="23"/>
      <c r="K3730" s="23"/>
      <c r="L3730" s="23"/>
      <c r="M3730" s="131"/>
      <c r="N3730" s="131"/>
      <c r="O3730" s="131"/>
    </row>
    <row r="3731" spans="4:15" x14ac:dyDescent="0.3">
      <c r="D3731" s="33"/>
      <c r="E3731" s="127"/>
      <c r="F3731" s="128"/>
      <c r="G3731" s="128"/>
      <c r="H3731" s="129"/>
      <c r="I3731" s="130"/>
      <c r="J3731" s="23"/>
      <c r="K3731" s="23"/>
      <c r="L3731" s="23"/>
      <c r="M3731" s="131"/>
      <c r="N3731" s="131"/>
      <c r="O3731" s="131"/>
    </row>
    <row r="3732" spans="4:15" x14ac:dyDescent="0.3">
      <c r="D3732" s="33"/>
      <c r="E3732" s="127"/>
      <c r="F3732" s="128"/>
      <c r="G3732" s="128"/>
      <c r="H3732" s="129"/>
      <c r="I3732" s="130"/>
      <c r="J3732" s="23"/>
      <c r="K3732" s="23"/>
      <c r="L3732" s="23"/>
      <c r="M3732" s="131"/>
      <c r="N3732" s="131"/>
      <c r="O3732" s="131"/>
    </row>
    <row r="3733" spans="4:15" x14ac:dyDescent="0.3">
      <c r="D3733" s="33"/>
      <c r="E3733" s="127"/>
      <c r="F3733" s="128"/>
      <c r="G3733" s="128"/>
      <c r="H3733" s="129"/>
      <c r="I3733" s="130"/>
      <c r="J3733" s="23"/>
      <c r="K3733" s="23"/>
      <c r="L3733" s="23"/>
      <c r="M3733" s="131"/>
      <c r="N3733" s="131"/>
      <c r="O3733" s="131"/>
    </row>
    <row r="3734" spans="4:15" x14ac:dyDescent="0.3">
      <c r="D3734" s="33"/>
      <c r="E3734" s="127"/>
      <c r="F3734" s="128"/>
      <c r="G3734" s="128"/>
      <c r="H3734" s="129"/>
      <c r="I3734" s="130"/>
      <c r="J3734" s="23"/>
      <c r="K3734" s="23"/>
      <c r="L3734" s="23"/>
      <c r="M3734" s="131"/>
      <c r="N3734" s="131"/>
      <c r="O3734" s="131"/>
    </row>
    <row r="3735" spans="4:15" x14ac:dyDescent="0.3">
      <c r="D3735" s="33"/>
      <c r="E3735" s="127"/>
      <c r="F3735" s="128"/>
      <c r="G3735" s="128"/>
      <c r="H3735" s="129"/>
      <c r="I3735" s="130"/>
      <c r="J3735" s="23"/>
      <c r="K3735" s="23"/>
      <c r="L3735" s="23"/>
      <c r="M3735" s="131"/>
      <c r="N3735" s="131"/>
      <c r="O3735" s="131"/>
    </row>
    <row r="3736" spans="4:15" x14ac:dyDescent="0.3">
      <c r="D3736" s="33"/>
      <c r="E3736" s="127"/>
      <c r="F3736" s="128"/>
      <c r="G3736" s="128"/>
      <c r="H3736" s="129"/>
      <c r="I3736" s="130"/>
      <c r="J3736" s="23"/>
      <c r="K3736" s="23"/>
      <c r="L3736" s="23"/>
      <c r="M3736" s="131"/>
      <c r="N3736" s="131"/>
      <c r="O3736" s="131"/>
    </row>
    <row r="3737" spans="4:15" x14ac:dyDescent="0.3">
      <c r="D3737" s="33"/>
      <c r="E3737" s="127"/>
      <c r="F3737" s="128"/>
      <c r="G3737" s="128"/>
      <c r="H3737" s="129"/>
      <c r="I3737" s="130"/>
      <c r="J3737" s="23"/>
      <c r="K3737" s="23"/>
      <c r="L3737" s="23"/>
      <c r="M3737" s="131"/>
      <c r="N3737" s="131"/>
      <c r="O3737" s="131"/>
    </row>
    <row r="3738" spans="4:15" x14ac:dyDescent="0.3">
      <c r="D3738" s="33"/>
      <c r="E3738" s="127"/>
      <c r="F3738" s="128"/>
      <c r="G3738" s="128"/>
      <c r="H3738" s="129"/>
      <c r="I3738" s="130"/>
      <c r="J3738" s="23"/>
      <c r="K3738" s="23"/>
      <c r="L3738" s="23"/>
      <c r="M3738" s="131"/>
      <c r="N3738" s="131"/>
      <c r="O3738" s="131"/>
    </row>
    <row r="3739" spans="4:15" x14ac:dyDescent="0.3">
      <c r="D3739" s="33"/>
      <c r="E3739" s="127"/>
      <c r="F3739" s="128"/>
      <c r="G3739" s="128"/>
      <c r="H3739" s="129"/>
      <c r="I3739" s="130"/>
      <c r="J3739" s="23"/>
      <c r="K3739" s="23"/>
      <c r="L3739" s="23"/>
      <c r="M3739" s="131"/>
      <c r="N3739" s="131"/>
      <c r="O3739" s="131"/>
    </row>
    <row r="3740" spans="4:15" x14ac:dyDescent="0.3">
      <c r="D3740" s="33"/>
      <c r="E3740" s="127"/>
      <c r="F3740" s="128"/>
      <c r="G3740" s="128"/>
      <c r="H3740" s="129"/>
      <c r="I3740" s="130"/>
      <c r="J3740" s="23"/>
      <c r="K3740" s="23"/>
      <c r="L3740" s="23"/>
      <c r="M3740" s="131"/>
      <c r="N3740" s="131"/>
      <c r="O3740" s="131"/>
    </row>
    <row r="3741" spans="4:15" x14ac:dyDescent="0.3">
      <c r="D3741" s="33"/>
      <c r="E3741" s="127"/>
      <c r="F3741" s="128"/>
      <c r="G3741" s="128"/>
      <c r="H3741" s="129"/>
      <c r="I3741" s="130"/>
      <c r="J3741" s="23"/>
      <c r="K3741" s="23"/>
      <c r="L3741" s="23"/>
      <c r="M3741" s="131"/>
      <c r="N3741" s="131"/>
      <c r="O3741" s="131"/>
    </row>
    <row r="3742" spans="4:15" x14ac:dyDescent="0.3">
      <c r="D3742" s="33"/>
      <c r="E3742" s="127"/>
      <c r="F3742" s="128"/>
      <c r="G3742" s="128"/>
      <c r="H3742" s="129"/>
      <c r="I3742" s="130"/>
      <c r="J3742" s="23"/>
      <c r="K3742" s="23"/>
      <c r="L3742" s="23"/>
      <c r="M3742" s="131"/>
      <c r="N3742" s="131"/>
      <c r="O3742" s="131"/>
    </row>
    <row r="3743" spans="4:15" x14ac:dyDescent="0.3">
      <c r="D3743" s="33"/>
      <c r="E3743" s="127"/>
      <c r="F3743" s="128"/>
      <c r="G3743" s="128"/>
      <c r="H3743" s="129"/>
      <c r="I3743" s="130"/>
      <c r="J3743" s="23"/>
      <c r="K3743" s="23"/>
      <c r="L3743" s="23"/>
      <c r="M3743" s="131"/>
      <c r="N3743" s="131"/>
      <c r="O3743" s="131"/>
    </row>
    <row r="3744" spans="4:15" x14ac:dyDescent="0.3">
      <c r="D3744" s="33"/>
      <c r="E3744" s="127"/>
      <c r="F3744" s="128"/>
      <c r="G3744" s="128"/>
      <c r="H3744" s="129"/>
      <c r="I3744" s="130"/>
      <c r="J3744" s="23"/>
      <c r="K3744" s="23"/>
      <c r="L3744" s="23"/>
      <c r="M3744" s="131"/>
      <c r="N3744" s="131"/>
      <c r="O3744" s="131"/>
    </row>
    <row r="3745" spans="4:15" x14ac:dyDescent="0.3">
      <c r="D3745" s="33"/>
      <c r="E3745" s="127"/>
      <c r="F3745" s="128"/>
      <c r="G3745" s="128"/>
      <c r="H3745" s="129"/>
      <c r="I3745" s="130"/>
      <c r="J3745" s="23"/>
      <c r="K3745" s="23"/>
      <c r="L3745" s="23"/>
      <c r="M3745" s="131"/>
      <c r="N3745" s="131"/>
      <c r="O3745" s="131"/>
    </row>
    <row r="3746" spans="4:15" x14ac:dyDescent="0.3">
      <c r="D3746" s="33"/>
      <c r="E3746" s="127"/>
      <c r="F3746" s="128"/>
      <c r="G3746" s="128"/>
      <c r="H3746" s="129"/>
      <c r="I3746" s="130"/>
      <c r="J3746" s="23"/>
      <c r="K3746" s="23"/>
      <c r="L3746" s="23"/>
      <c r="M3746" s="131"/>
      <c r="N3746" s="131"/>
      <c r="O3746" s="131"/>
    </row>
    <row r="3747" spans="4:15" x14ac:dyDescent="0.3">
      <c r="D3747" s="33"/>
      <c r="E3747" s="127"/>
      <c r="F3747" s="128"/>
      <c r="G3747" s="128"/>
      <c r="H3747" s="129"/>
      <c r="I3747" s="130"/>
      <c r="J3747" s="23"/>
      <c r="K3747" s="23"/>
      <c r="L3747" s="23"/>
      <c r="M3747" s="131"/>
      <c r="N3747" s="131"/>
      <c r="O3747" s="131"/>
    </row>
    <row r="3748" spans="4:15" x14ac:dyDescent="0.3">
      <c r="D3748" s="33"/>
      <c r="E3748" s="127"/>
      <c r="F3748" s="128"/>
      <c r="G3748" s="128"/>
      <c r="H3748" s="129"/>
      <c r="I3748" s="130"/>
      <c r="J3748" s="23"/>
      <c r="K3748" s="23"/>
      <c r="L3748" s="23"/>
      <c r="M3748" s="131"/>
      <c r="N3748" s="131"/>
      <c r="O3748" s="131"/>
    </row>
    <row r="3749" spans="4:15" x14ac:dyDescent="0.3">
      <c r="D3749" s="33"/>
      <c r="E3749" s="127"/>
      <c r="F3749" s="128"/>
      <c r="G3749" s="128"/>
      <c r="H3749" s="129"/>
      <c r="I3749" s="130"/>
      <c r="J3749" s="23"/>
      <c r="K3749" s="23"/>
      <c r="L3749" s="23"/>
      <c r="M3749" s="131"/>
      <c r="N3749" s="131"/>
      <c r="O3749" s="131"/>
    </row>
    <row r="3750" spans="4:15" x14ac:dyDescent="0.3">
      <c r="D3750" s="33"/>
      <c r="E3750" s="127"/>
      <c r="F3750" s="128"/>
      <c r="G3750" s="128"/>
      <c r="H3750" s="129"/>
      <c r="I3750" s="130"/>
      <c r="J3750" s="23"/>
      <c r="K3750" s="23"/>
      <c r="L3750" s="23"/>
      <c r="M3750" s="131"/>
      <c r="N3750" s="131"/>
      <c r="O3750" s="131"/>
    </row>
    <row r="3751" spans="4:15" x14ac:dyDescent="0.3">
      <c r="D3751" s="33"/>
      <c r="E3751" s="127"/>
      <c r="F3751" s="128"/>
      <c r="G3751" s="128"/>
      <c r="H3751" s="129"/>
      <c r="I3751" s="130"/>
      <c r="J3751" s="23"/>
      <c r="K3751" s="23"/>
      <c r="L3751" s="23"/>
      <c r="M3751" s="131"/>
      <c r="N3751" s="131"/>
      <c r="O3751" s="131"/>
    </row>
    <row r="3752" spans="4:15" x14ac:dyDescent="0.3">
      <c r="D3752" s="33"/>
      <c r="E3752" s="127"/>
      <c r="F3752" s="128"/>
      <c r="G3752" s="128"/>
      <c r="H3752" s="129"/>
      <c r="I3752" s="130"/>
      <c r="J3752" s="23"/>
      <c r="K3752" s="23"/>
      <c r="L3752" s="23"/>
      <c r="M3752" s="131"/>
      <c r="N3752" s="131"/>
      <c r="O3752" s="131"/>
    </row>
    <row r="3753" spans="4:15" x14ac:dyDescent="0.3">
      <c r="D3753" s="33"/>
      <c r="E3753" s="127"/>
      <c r="F3753" s="128"/>
      <c r="G3753" s="128"/>
      <c r="H3753" s="129"/>
      <c r="I3753" s="130"/>
      <c r="J3753" s="23"/>
      <c r="K3753" s="23"/>
      <c r="L3753" s="23"/>
      <c r="M3753" s="131"/>
      <c r="N3753" s="131"/>
      <c r="O3753" s="131"/>
    </row>
    <row r="3754" spans="4:15" x14ac:dyDescent="0.3">
      <c r="D3754" s="33"/>
      <c r="E3754" s="127"/>
      <c r="F3754" s="128"/>
      <c r="G3754" s="128"/>
      <c r="H3754" s="129"/>
      <c r="I3754" s="130"/>
      <c r="J3754" s="23"/>
      <c r="K3754" s="23"/>
      <c r="L3754" s="23"/>
      <c r="M3754" s="131"/>
      <c r="N3754" s="131"/>
      <c r="O3754" s="131"/>
    </row>
    <row r="3755" spans="4:15" x14ac:dyDescent="0.3">
      <c r="D3755" s="33"/>
      <c r="E3755" s="127"/>
      <c r="F3755" s="128"/>
      <c r="G3755" s="128"/>
      <c r="H3755" s="129"/>
      <c r="I3755" s="130"/>
      <c r="J3755" s="23"/>
      <c r="K3755" s="23"/>
      <c r="L3755" s="23"/>
      <c r="M3755" s="131"/>
      <c r="N3755" s="131"/>
      <c r="O3755" s="131"/>
    </row>
    <row r="3756" spans="4:15" x14ac:dyDescent="0.3">
      <c r="D3756" s="33"/>
      <c r="E3756" s="127"/>
      <c r="F3756" s="128"/>
      <c r="G3756" s="128"/>
      <c r="H3756" s="129"/>
      <c r="I3756" s="130"/>
      <c r="J3756" s="23"/>
      <c r="K3756" s="23"/>
      <c r="L3756" s="23"/>
      <c r="M3756" s="131"/>
      <c r="N3756" s="131"/>
      <c r="O3756" s="131"/>
    </row>
    <row r="3757" spans="4:15" x14ac:dyDescent="0.3">
      <c r="D3757" s="33"/>
      <c r="E3757" s="127"/>
      <c r="F3757" s="128"/>
      <c r="G3757" s="128"/>
      <c r="H3757" s="129"/>
      <c r="I3757" s="130"/>
      <c r="J3757" s="23"/>
      <c r="K3757" s="23"/>
      <c r="L3757" s="23"/>
      <c r="M3757" s="131"/>
      <c r="N3757" s="131"/>
      <c r="O3757" s="131"/>
    </row>
    <row r="3758" spans="4:15" x14ac:dyDescent="0.3">
      <c r="D3758" s="33"/>
      <c r="E3758" s="127"/>
      <c r="F3758" s="128"/>
      <c r="G3758" s="128"/>
      <c r="H3758" s="129"/>
      <c r="I3758" s="130"/>
      <c r="J3758" s="23"/>
      <c r="K3758" s="23"/>
      <c r="L3758" s="23"/>
      <c r="M3758" s="131"/>
      <c r="N3758" s="131"/>
      <c r="O3758" s="131"/>
    </row>
    <row r="3759" spans="4:15" x14ac:dyDescent="0.3">
      <c r="D3759" s="33"/>
      <c r="E3759" s="127"/>
      <c r="F3759" s="128"/>
      <c r="G3759" s="128"/>
      <c r="H3759" s="129"/>
      <c r="I3759" s="130"/>
      <c r="J3759" s="23"/>
      <c r="K3759" s="23"/>
      <c r="L3759" s="23"/>
      <c r="M3759" s="131"/>
      <c r="N3759" s="131"/>
      <c r="O3759" s="131"/>
    </row>
    <row r="3760" spans="4:15" x14ac:dyDescent="0.3">
      <c r="D3760" s="33"/>
      <c r="E3760" s="127"/>
      <c r="F3760" s="128"/>
      <c r="G3760" s="128"/>
      <c r="H3760" s="129"/>
      <c r="I3760" s="130"/>
      <c r="J3760" s="23"/>
      <c r="K3760" s="23"/>
      <c r="L3760" s="23"/>
      <c r="M3760" s="131"/>
      <c r="N3760" s="131"/>
      <c r="O3760" s="131"/>
    </row>
    <row r="3761" spans="4:15" x14ac:dyDescent="0.3">
      <c r="D3761" s="33"/>
      <c r="E3761" s="127"/>
      <c r="F3761" s="128"/>
      <c r="G3761" s="128"/>
      <c r="H3761" s="129"/>
      <c r="I3761" s="130"/>
      <c r="J3761" s="23"/>
      <c r="K3761" s="23"/>
      <c r="L3761" s="23"/>
      <c r="M3761" s="131"/>
      <c r="N3761" s="131"/>
      <c r="O3761" s="131"/>
    </row>
    <row r="3762" spans="4:15" x14ac:dyDescent="0.3">
      <c r="D3762" s="33"/>
      <c r="E3762" s="127"/>
      <c r="F3762" s="128"/>
      <c r="G3762" s="128"/>
      <c r="H3762" s="129"/>
      <c r="I3762" s="130"/>
      <c r="J3762" s="23"/>
      <c r="K3762" s="23"/>
      <c r="L3762" s="23"/>
      <c r="M3762" s="131"/>
      <c r="N3762" s="131"/>
      <c r="O3762" s="131"/>
    </row>
    <row r="3763" spans="4:15" x14ac:dyDescent="0.3">
      <c r="D3763" s="33"/>
      <c r="E3763" s="127"/>
      <c r="F3763" s="128"/>
      <c r="G3763" s="128"/>
      <c r="H3763" s="129"/>
      <c r="I3763" s="130"/>
      <c r="J3763" s="23"/>
      <c r="K3763" s="23"/>
      <c r="L3763" s="23"/>
      <c r="M3763" s="131"/>
      <c r="N3763" s="131"/>
      <c r="O3763" s="131"/>
    </row>
    <row r="3764" spans="4:15" x14ac:dyDescent="0.3">
      <c r="D3764" s="33"/>
      <c r="E3764" s="127"/>
      <c r="F3764" s="128"/>
      <c r="G3764" s="128"/>
      <c r="H3764" s="129"/>
      <c r="I3764" s="130"/>
      <c r="J3764" s="23"/>
      <c r="K3764" s="23"/>
      <c r="L3764" s="23"/>
      <c r="M3764" s="131"/>
      <c r="N3764" s="131"/>
      <c r="O3764" s="131"/>
    </row>
    <row r="3765" spans="4:15" x14ac:dyDescent="0.3">
      <c r="D3765" s="33"/>
      <c r="E3765" s="127"/>
      <c r="F3765" s="128"/>
      <c r="G3765" s="128"/>
      <c r="H3765" s="129"/>
      <c r="I3765" s="130"/>
      <c r="J3765" s="23"/>
      <c r="K3765" s="23"/>
      <c r="L3765" s="23"/>
      <c r="M3765" s="131"/>
      <c r="N3765" s="131"/>
      <c r="O3765" s="131"/>
    </row>
    <row r="3766" spans="4:15" x14ac:dyDescent="0.3">
      <c r="D3766" s="33"/>
      <c r="E3766" s="127"/>
      <c r="F3766" s="128"/>
      <c r="G3766" s="128"/>
      <c r="H3766" s="129"/>
      <c r="I3766" s="130"/>
      <c r="J3766" s="23"/>
      <c r="K3766" s="23"/>
      <c r="L3766" s="23"/>
      <c r="M3766" s="131"/>
      <c r="N3766" s="131"/>
      <c r="O3766" s="131"/>
    </row>
    <row r="3767" spans="4:15" x14ac:dyDescent="0.3">
      <c r="D3767" s="33"/>
      <c r="E3767" s="127"/>
      <c r="F3767" s="128"/>
      <c r="G3767" s="128"/>
      <c r="H3767" s="129"/>
      <c r="I3767" s="130"/>
      <c r="J3767" s="23"/>
      <c r="K3767" s="23"/>
      <c r="L3767" s="23"/>
      <c r="M3767" s="131"/>
      <c r="N3767" s="131"/>
      <c r="O3767" s="131"/>
    </row>
    <row r="3768" spans="4:15" x14ac:dyDescent="0.3">
      <c r="D3768" s="33"/>
      <c r="E3768" s="127"/>
      <c r="F3768" s="128"/>
      <c r="G3768" s="128"/>
      <c r="H3768" s="129"/>
      <c r="I3768" s="130"/>
      <c r="J3768" s="23"/>
      <c r="K3768" s="23"/>
      <c r="L3768" s="23"/>
      <c r="M3768" s="131"/>
      <c r="N3768" s="131"/>
      <c r="O3768" s="131"/>
    </row>
    <row r="3769" spans="4:15" x14ac:dyDescent="0.3">
      <c r="D3769" s="33"/>
      <c r="E3769" s="127"/>
      <c r="F3769" s="128"/>
      <c r="G3769" s="128"/>
      <c r="H3769" s="129"/>
      <c r="I3769" s="130"/>
      <c r="J3769" s="23"/>
      <c r="K3769" s="23"/>
      <c r="L3769" s="23"/>
      <c r="M3769" s="131"/>
      <c r="N3769" s="131"/>
      <c r="O3769" s="131"/>
    </row>
    <row r="3770" spans="4:15" x14ac:dyDescent="0.3">
      <c r="D3770" s="33"/>
      <c r="E3770" s="127"/>
      <c r="F3770" s="128"/>
      <c r="G3770" s="128"/>
      <c r="H3770" s="129"/>
      <c r="I3770" s="130"/>
      <c r="J3770" s="23"/>
      <c r="K3770" s="23"/>
      <c r="L3770" s="23"/>
      <c r="M3770" s="131"/>
      <c r="N3770" s="131"/>
      <c r="O3770" s="131"/>
    </row>
    <row r="3771" spans="4:15" x14ac:dyDescent="0.3">
      <c r="D3771" s="33"/>
      <c r="E3771" s="127"/>
      <c r="F3771" s="128"/>
      <c r="G3771" s="128"/>
      <c r="H3771" s="129"/>
      <c r="I3771" s="130"/>
      <c r="J3771" s="23"/>
      <c r="K3771" s="23"/>
      <c r="L3771" s="23"/>
      <c r="M3771" s="131"/>
      <c r="N3771" s="131"/>
      <c r="O3771" s="131"/>
    </row>
    <row r="3772" spans="4:15" x14ac:dyDescent="0.3">
      <c r="D3772" s="33"/>
      <c r="E3772" s="127"/>
      <c r="F3772" s="128"/>
      <c r="G3772" s="128"/>
      <c r="H3772" s="129"/>
      <c r="I3772" s="130"/>
      <c r="J3772" s="23"/>
      <c r="K3772" s="23"/>
      <c r="L3772" s="23"/>
      <c r="M3772" s="131"/>
      <c r="N3772" s="131"/>
      <c r="O3772" s="131"/>
    </row>
    <row r="3773" spans="4:15" x14ac:dyDescent="0.3">
      <c r="D3773" s="33"/>
      <c r="E3773" s="127"/>
      <c r="F3773" s="128"/>
      <c r="G3773" s="128"/>
      <c r="H3773" s="129"/>
      <c r="I3773" s="130"/>
      <c r="J3773" s="23"/>
      <c r="K3773" s="23"/>
      <c r="L3773" s="23"/>
      <c r="M3773" s="131"/>
      <c r="N3773" s="131"/>
      <c r="O3773" s="131"/>
    </row>
    <row r="3774" spans="4:15" x14ac:dyDescent="0.3">
      <c r="D3774" s="33"/>
      <c r="E3774" s="127"/>
      <c r="F3774" s="128"/>
      <c r="G3774" s="128"/>
      <c r="H3774" s="129"/>
      <c r="I3774" s="130"/>
      <c r="J3774" s="23"/>
      <c r="K3774" s="23"/>
      <c r="L3774" s="23"/>
      <c r="M3774" s="131"/>
      <c r="N3774" s="131"/>
      <c r="O3774" s="131"/>
    </row>
    <row r="3775" spans="4:15" x14ac:dyDescent="0.3">
      <c r="D3775" s="33"/>
      <c r="E3775" s="127"/>
      <c r="F3775" s="128"/>
      <c r="G3775" s="128"/>
      <c r="H3775" s="129"/>
      <c r="I3775" s="130"/>
      <c r="J3775" s="23"/>
      <c r="K3775" s="23"/>
      <c r="L3775" s="23"/>
      <c r="M3775" s="131"/>
      <c r="N3775" s="131"/>
      <c r="O3775" s="131"/>
    </row>
    <row r="3776" spans="4:15" x14ac:dyDescent="0.3">
      <c r="D3776" s="33"/>
      <c r="E3776" s="127"/>
      <c r="F3776" s="128"/>
      <c r="G3776" s="128"/>
      <c r="H3776" s="129"/>
      <c r="I3776" s="130"/>
      <c r="J3776" s="23"/>
      <c r="K3776" s="23"/>
      <c r="L3776" s="23"/>
      <c r="M3776" s="131"/>
      <c r="N3776" s="131"/>
      <c r="O3776" s="131"/>
    </row>
    <row r="3777" spans="4:15" x14ac:dyDescent="0.3">
      <c r="D3777" s="33"/>
      <c r="E3777" s="127"/>
      <c r="F3777" s="128"/>
      <c r="G3777" s="128"/>
      <c r="H3777" s="129"/>
      <c r="I3777" s="130"/>
      <c r="J3777" s="23"/>
      <c r="K3777" s="23"/>
      <c r="L3777" s="23"/>
      <c r="M3777" s="131"/>
      <c r="N3777" s="131"/>
      <c r="O3777" s="131"/>
    </row>
    <row r="3778" spans="4:15" x14ac:dyDescent="0.3">
      <c r="D3778" s="33"/>
      <c r="E3778" s="127"/>
      <c r="F3778" s="128"/>
      <c r="G3778" s="128"/>
      <c r="H3778" s="129"/>
      <c r="I3778" s="130"/>
      <c r="J3778" s="23"/>
      <c r="K3778" s="23"/>
      <c r="L3778" s="23"/>
      <c r="M3778" s="131"/>
      <c r="N3778" s="131"/>
      <c r="O3778" s="131"/>
    </row>
    <row r="3779" spans="4:15" x14ac:dyDescent="0.3">
      <c r="D3779" s="33"/>
      <c r="E3779" s="127"/>
      <c r="F3779" s="128"/>
      <c r="G3779" s="128"/>
      <c r="H3779" s="129"/>
      <c r="I3779" s="130"/>
      <c r="J3779" s="23"/>
      <c r="K3779" s="23"/>
      <c r="L3779" s="23"/>
      <c r="M3779" s="131"/>
      <c r="N3779" s="131"/>
      <c r="O3779" s="131"/>
    </row>
    <row r="3780" spans="4:15" x14ac:dyDescent="0.3">
      <c r="D3780" s="33"/>
      <c r="E3780" s="127"/>
      <c r="F3780" s="128"/>
      <c r="G3780" s="128"/>
      <c r="H3780" s="129"/>
      <c r="I3780" s="130"/>
      <c r="J3780" s="23"/>
      <c r="K3780" s="23"/>
      <c r="L3780" s="23"/>
      <c r="M3780" s="131"/>
      <c r="N3780" s="131"/>
      <c r="O3780" s="131"/>
    </row>
    <row r="3781" spans="4:15" x14ac:dyDescent="0.3">
      <c r="D3781" s="33"/>
      <c r="E3781" s="127"/>
      <c r="F3781" s="128"/>
      <c r="G3781" s="128"/>
      <c r="H3781" s="129"/>
      <c r="I3781" s="130"/>
      <c r="J3781" s="23"/>
      <c r="K3781" s="23"/>
      <c r="L3781" s="23"/>
      <c r="M3781" s="131"/>
      <c r="N3781" s="131"/>
      <c r="O3781" s="131"/>
    </row>
    <row r="3782" spans="4:15" x14ac:dyDescent="0.3">
      <c r="D3782" s="33"/>
      <c r="E3782" s="127"/>
      <c r="F3782" s="128"/>
      <c r="G3782" s="128"/>
      <c r="H3782" s="129"/>
      <c r="I3782" s="130"/>
      <c r="J3782" s="23"/>
      <c r="K3782" s="23"/>
      <c r="L3782" s="23"/>
      <c r="M3782" s="131"/>
      <c r="N3782" s="131"/>
      <c r="O3782" s="131"/>
    </row>
    <row r="3783" spans="4:15" x14ac:dyDescent="0.3">
      <c r="D3783" s="33"/>
      <c r="E3783" s="127"/>
      <c r="F3783" s="128"/>
      <c r="G3783" s="128"/>
      <c r="H3783" s="129"/>
      <c r="I3783" s="130"/>
      <c r="J3783" s="23"/>
      <c r="K3783" s="23"/>
      <c r="L3783" s="23"/>
      <c r="M3783" s="131"/>
      <c r="N3783" s="131"/>
      <c r="O3783" s="131"/>
    </row>
    <row r="3784" spans="4:15" x14ac:dyDescent="0.3">
      <c r="D3784" s="33"/>
      <c r="E3784" s="127"/>
      <c r="F3784" s="128"/>
      <c r="G3784" s="128"/>
      <c r="H3784" s="129"/>
      <c r="I3784" s="130"/>
      <c r="J3784" s="23"/>
      <c r="K3784" s="23"/>
      <c r="L3784" s="23"/>
      <c r="M3784" s="131"/>
      <c r="N3784" s="131"/>
      <c r="O3784" s="131"/>
    </row>
    <row r="3785" spans="4:15" x14ac:dyDescent="0.3">
      <c r="D3785" s="33"/>
      <c r="E3785" s="127"/>
      <c r="F3785" s="128"/>
      <c r="G3785" s="128"/>
      <c r="H3785" s="129"/>
      <c r="I3785" s="130"/>
      <c r="J3785" s="23"/>
      <c r="K3785" s="23"/>
      <c r="L3785" s="23"/>
      <c r="M3785" s="131"/>
      <c r="N3785" s="131"/>
      <c r="O3785" s="131"/>
    </row>
    <row r="3786" spans="4:15" x14ac:dyDescent="0.3">
      <c r="D3786" s="33"/>
      <c r="E3786" s="127"/>
      <c r="F3786" s="128"/>
      <c r="G3786" s="128"/>
      <c r="H3786" s="129"/>
      <c r="I3786" s="130"/>
      <c r="J3786" s="23"/>
      <c r="K3786" s="23"/>
      <c r="L3786" s="23"/>
      <c r="M3786" s="131"/>
      <c r="N3786" s="131"/>
      <c r="O3786" s="131"/>
    </row>
    <row r="3787" spans="4:15" x14ac:dyDescent="0.3">
      <c r="D3787" s="33"/>
      <c r="E3787" s="127"/>
      <c r="F3787" s="128"/>
      <c r="G3787" s="128"/>
      <c r="H3787" s="129"/>
      <c r="I3787" s="130"/>
      <c r="J3787" s="23"/>
      <c r="K3787" s="23"/>
      <c r="L3787" s="23"/>
      <c r="M3787" s="131"/>
      <c r="N3787" s="131"/>
      <c r="O3787" s="131"/>
    </row>
    <row r="3788" spans="4:15" x14ac:dyDescent="0.3">
      <c r="D3788" s="33"/>
      <c r="E3788" s="127"/>
      <c r="F3788" s="128"/>
      <c r="G3788" s="128"/>
      <c r="H3788" s="129"/>
      <c r="I3788" s="130"/>
      <c r="J3788" s="23"/>
      <c r="K3788" s="23"/>
      <c r="L3788" s="23"/>
      <c r="M3788" s="131"/>
      <c r="N3788" s="131"/>
      <c r="O3788" s="131"/>
    </row>
    <row r="3789" spans="4:15" x14ac:dyDescent="0.3">
      <c r="D3789" s="33"/>
      <c r="E3789" s="127"/>
      <c r="F3789" s="128"/>
      <c r="G3789" s="128"/>
      <c r="H3789" s="129"/>
      <c r="I3789" s="130"/>
      <c r="J3789" s="23"/>
      <c r="K3789" s="23"/>
      <c r="L3789" s="23"/>
      <c r="M3789" s="131"/>
      <c r="N3789" s="131"/>
      <c r="O3789" s="131"/>
    </row>
    <row r="3790" spans="4:15" x14ac:dyDescent="0.3">
      <c r="D3790" s="33"/>
      <c r="E3790" s="127"/>
      <c r="F3790" s="128"/>
      <c r="G3790" s="128"/>
      <c r="H3790" s="129"/>
      <c r="I3790" s="130"/>
      <c r="J3790" s="23"/>
      <c r="K3790" s="23"/>
      <c r="L3790" s="23"/>
      <c r="M3790" s="131"/>
      <c r="N3790" s="131"/>
      <c r="O3790" s="131"/>
    </row>
    <row r="3791" spans="4:15" x14ac:dyDescent="0.3">
      <c r="D3791" s="33"/>
      <c r="E3791" s="127"/>
      <c r="F3791" s="128"/>
      <c r="G3791" s="128"/>
      <c r="H3791" s="129"/>
      <c r="I3791" s="130"/>
      <c r="J3791" s="23"/>
      <c r="K3791" s="23"/>
      <c r="L3791" s="23"/>
      <c r="M3791" s="131"/>
      <c r="N3791" s="131"/>
      <c r="O3791" s="131"/>
    </row>
    <row r="3792" spans="4:15" x14ac:dyDescent="0.3">
      <c r="D3792" s="33"/>
      <c r="E3792" s="127"/>
      <c r="F3792" s="128"/>
      <c r="G3792" s="128"/>
      <c r="H3792" s="129"/>
      <c r="I3792" s="130"/>
      <c r="J3792" s="23"/>
      <c r="K3792" s="23"/>
      <c r="L3792" s="23"/>
      <c r="M3792" s="131"/>
      <c r="N3792" s="131"/>
      <c r="O3792" s="131"/>
    </row>
    <row r="3793" spans="4:15" x14ac:dyDescent="0.3">
      <c r="D3793" s="33"/>
      <c r="E3793" s="127"/>
      <c r="F3793" s="128"/>
      <c r="G3793" s="128"/>
      <c r="H3793" s="129"/>
      <c r="I3793" s="130"/>
      <c r="J3793" s="23"/>
      <c r="K3793" s="23"/>
      <c r="L3793" s="23"/>
      <c r="M3793" s="131"/>
      <c r="N3793" s="131"/>
      <c r="O3793" s="131"/>
    </row>
    <row r="3794" spans="4:15" x14ac:dyDescent="0.3">
      <c r="D3794" s="33"/>
      <c r="E3794" s="127"/>
      <c r="F3794" s="128"/>
      <c r="G3794" s="128"/>
      <c r="H3794" s="129"/>
      <c r="I3794" s="130"/>
      <c r="J3794" s="23"/>
      <c r="K3794" s="23"/>
      <c r="L3794" s="23"/>
      <c r="M3794" s="131"/>
      <c r="N3794" s="131"/>
      <c r="O3794" s="131"/>
    </row>
    <row r="3795" spans="4:15" x14ac:dyDescent="0.3">
      <c r="D3795" s="33"/>
      <c r="E3795" s="127"/>
      <c r="F3795" s="128"/>
      <c r="G3795" s="128"/>
      <c r="H3795" s="129"/>
      <c r="I3795" s="130"/>
      <c r="J3795" s="23"/>
      <c r="K3795" s="23"/>
      <c r="L3795" s="23"/>
      <c r="M3795" s="131"/>
      <c r="N3795" s="131"/>
      <c r="O3795" s="131"/>
    </row>
    <row r="3796" spans="4:15" x14ac:dyDescent="0.3">
      <c r="D3796" s="33"/>
      <c r="E3796" s="127"/>
      <c r="F3796" s="128"/>
      <c r="G3796" s="128"/>
      <c r="H3796" s="129"/>
      <c r="I3796" s="130"/>
      <c r="J3796" s="23"/>
      <c r="K3796" s="23"/>
      <c r="L3796" s="23"/>
      <c r="M3796" s="131"/>
      <c r="N3796" s="131"/>
      <c r="O3796" s="131"/>
    </row>
    <row r="3797" spans="4:15" x14ac:dyDescent="0.3">
      <c r="D3797" s="33"/>
      <c r="E3797" s="127"/>
      <c r="F3797" s="128"/>
      <c r="G3797" s="128"/>
      <c r="H3797" s="129"/>
      <c r="I3797" s="130"/>
      <c r="J3797" s="23"/>
      <c r="K3797" s="23"/>
      <c r="L3797" s="23"/>
      <c r="M3797" s="131"/>
      <c r="N3797" s="131"/>
      <c r="O3797" s="131"/>
    </row>
    <row r="3798" spans="4:15" x14ac:dyDescent="0.3">
      <c r="D3798" s="33"/>
      <c r="E3798" s="127"/>
      <c r="F3798" s="128"/>
      <c r="G3798" s="128"/>
      <c r="H3798" s="129"/>
      <c r="I3798" s="130"/>
      <c r="J3798" s="23"/>
      <c r="K3798" s="23"/>
      <c r="L3798" s="23"/>
      <c r="M3798" s="131"/>
      <c r="N3798" s="131"/>
      <c r="O3798" s="131"/>
    </row>
    <row r="3799" spans="4:15" x14ac:dyDescent="0.3">
      <c r="D3799" s="33"/>
      <c r="E3799" s="127"/>
      <c r="F3799" s="128"/>
      <c r="G3799" s="128"/>
      <c r="H3799" s="129"/>
      <c r="I3799" s="130"/>
      <c r="J3799" s="23"/>
      <c r="K3799" s="23"/>
      <c r="L3799" s="23"/>
      <c r="M3799" s="131"/>
      <c r="N3799" s="131"/>
      <c r="O3799" s="131"/>
    </row>
    <row r="3800" spans="4:15" x14ac:dyDescent="0.3">
      <c r="D3800" s="33"/>
      <c r="E3800" s="127"/>
      <c r="F3800" s="128"/>
      <c r="G3800" s="128"/>
      <c r="H3800" s="129"/>
      <c r="I3800" s="130"/>
      <c r="J3800" s="23"/>
      <c r="K3800" s="23"/>
      <c r="L3800" s="23"/>
      <c r="M3800" s="131"/>
      <c r="N3800" s="131"/>
      <c r="O3800" s="131"/>
    </row>
    <row r="3801" spans="4:15" x14ac:dyDescent="0.3">
      <c r="D3801" s="33"/>
      <c r="E3801" s="127"/>
      <c r="F3801" s="128"/>
      <c r="G3801" s="128"/>
      <c r="H3801" s="129"/>
      <c r="I3801" s="130"/>
      <c r="J3801" s="23"/>
      <c r="K3801" s="23"/>
      <c r="L3801" s="23"/>
      <c r="M3801" s="131"/>
      <c r="N3801" s="131"/>
      <c r="O3801" s="131"/>
    </row>
    <row r="3802" spans="4:15" x14ac:dyDescent="0.3">
      <c r="D3802" s="33"/>
      <c r="E3802" s="127"/>
      <c r="F3802" s="128"/>
      <c r="G3802" s="128"/>
      <c r="H3802" s="129"/>
      <c r="I3802" s="130"/>
      <c r="J3802" s="23"/>
      <c r="K3802" s="23"/>
      <c r="L3802" s="23"/>
      <c r="M3802" s="131"/>
      <c r="N3802" s="131"/>
      <c r="O3802" s="131"/>
    </row>
    <row r="3803" spans="4:15" x14ac:dyDescent="0.3">
      <c r="D3803" s="33"/>
      <c r="E3803" s="127"/>
      <c r="F3803" s="128"/>
      <c r="G3803" s="128"/>
      <c r="H3803" s="129"/>
      <c r="I3803" s="130"/>
      <c r="J3803" s="23"/>
      <c r="K3803" s="23"/>
      <c r="L3803" s="23"/>
      <c r="M3803" s="131"/>
      <c r="N3803" s="131"/>
      <c r="O3803" s="131"/>
    </row>
    <row r="3804" spans="4:15" x14ac:dyDescent="0.3">
      <c r="D3804" s="33"/>
      <c r="E3804" s="127"/>
      <c r="F3804" s="128"/>
      <c r="G3804" s="128"/>
      <c r="H3804" s="129"/>
      <c r="I3804" s="130"/>
      <c r="J3804" s="23"/>
      <c r="K3804" s="23"/>
      <c r="L3804" s="23"/>
      <c r="M3804" s="131"/>
      <c r="N3804" s="131"/>
      <c r="O3804" s="131"/>
    </row>
    <row r="3805" spans="4:15" x14ac:dyDescent="0.3">
      <c r="D3805" s="33"/>
      <c r="E3805" s="127"/>
      <c r="F3805" s="128"/>
      <c r="G3805" s="128"/>
      <c r="H3805" s="129"/>
      <c r="I3805" s="130"/>
      <c r="J3805" s="23"/>
      <c r="K3805" s="23"/>
      <c r="L3805" s="23"/>
      <c r="M3805" s="131"/>
      <c r="N3805" s="131"/>
      <c r="O3805" s="131"/>
    </row>
    <row r="3806" spans="4:15" x14ac:dyDescent="0.3">
      <c r="D3806" s="33"/>
      <c r="E3806" s="127"/>
      <c r="F3806" s="128"/>
      <c r="G3806" s="128"/>
      <c r="H3806" s="129"/>
      <c r="I3806" s="130"/>
      <c r="J3806" s="23"/>
      <c r="K3806" s="23"/>
      <c r="L3806" s="23"/>
      <c r="M3806" s="131"/>
      <c r="N3806" s="131"/>
      <c r="O3806" s="131"/>
    </row>
    <row r="3807" spans="4:15" x14ac:dyDescent="0.3">
      <c r="D3807" s="33"/>
      <c r="E3807" s="127"/>
      <c r="F3807" s="128"/>
      <c r="G3807" s="128"/>
      <c r="H3807" s="129"/>
      <c r="I3807" s="130"/>
      <c r="J3807" s="23"/>
      <c r="K3807" s="23"/>
      <c r="L3807" s="23"/>
      <c r="M3807" s="131"/>
      <c r="N3807" s="131"/>
      <c r="O3807" s="131"/>
    </row>
    <row r="3808" spans="4:15" x14ac:dyDescent="0.3">
      <c r="D3808" s="33"/>
      <c r="E3808" s="127"/>
      <c r="F3808" s="128"/>
      <c r="G3808" s="128"/>
      <c r="H3808" s="129"/>
      <c r="I3808" s="130"/>
      <c r="J3808" s="23"/>
      <c r="K3808" s="23"/>
      <c r="L3808" s="23"/>
      <c r="M3808" s="131"/>
      <c r="N3808" s="131"/>
      <c r="O3808" s="131"/>
    </row>
    <row r="3809" spans="4:15" x14ac:dyDescent="0.3">
      <c r="D3809" s="33"/>
      <c r="E3809" s="127"/>
      <c r="F3809" s="128"/>
      <c r="G3809" s="128"/>
      <c r="H3809" s="129"/>
      <c r="I3809" s="130"/>
      <c r="J3809" s="23"/>
      <c r="K3809" s="23"/>
      <c r="L3809" s="23"/>
      <c r="M3809" s="131"/>
      <c r="N3809" s="131"/>
      <c r="O3809" s="131"/>
    </row>
    <row r="3810" spans="4:15" x14ac:dyDescent="0.3">
      <c r="D3810" s="33"/>
      <c r="E3810" s="127"/>
      <c r="F3810" s="128"/>
      <c r="G3810" s="128"/>
      <c r="H3810" s="129"/>
      <c r="I3810" s="130"/>
      <c r="J3810" s="23"/>
      <c r="K3810" s="23"/>
      <c r="L3810" s="23"/>
      <c r="M3810" s="131"/>
      <c r="N3810" s="131"/>
      <c r="O3810" s="131"/>
    </row>
    <row r="3811" spans="4:15" x14ac:dyDescent="0.3">
      <c r="D3811" s="33"/>
      <c r="E3811" s="127"/>
      <c r="F3811" s="128"/>
      <c r="G3811" s="128"/>
      <c r="H3811" s="129"/>
      <c r="I3811" s="130"/>
      <c r="J3811" s="23"/>
      <c r="K3811" s="23"/>
      <c r="L3811" s="23"/>
      <c r="M3811" s="131"/>
      <c r="N3811" s="131"/>
      <c r="O3811" s="131"/>
    </row>
    <row r="3812" spans="4:15" x14ac:dyDescent="0.3">
      <c r="D3812" s="33"/>
      <c r="E3812" s="127"/>
      <c r="F3812" s="128"/>
      <c r="G3812" s="128"/>
      <c r="H3812" s="129"/>
      <c r="I3812" s="130"/>
      <c r="J3812" s="23"/>
      <c r="K3812" s="23"/>
      <c r="L3812" s="23"/>
      <c r="M3812" s="131"/>
      <c r="N3812" s="131"/>
      <c r="O3812" s="131"/>
    </row>
    <row r="3813" spans="4:15" x14ac:dyDescent="0.3">
      <c r="D3813" s="33"/>
      <c r="E3813" s="127"/>
      <c r="F3813" s="128"/>
      <c r="G3813" s="128"/>
      <c r="H3813" s="129"/>
      <c r="I3813" s="130"/>
      <c r="J3813" s="23"/>
      <c r="K3813" s="23"/>
      <c r="L3813" s="23"/>
      <c r="M3813" s="131"/>
      <c r="N3813" s="131"/>
      <c r="O3813" s="131"/>
    </row>
    <row r="3814" spans="4:15" x14ac:dyDescent="0.3">
      <c r="D3814" s="33"/>
      <c r="E3814" s="127"/>
      <c r="F3814" s="128"/>
      <c r="G3814" s="128"/>
      <c r="H3814" s="129"/>
      <c r="I3814" s="130"/>
      <c r="J3814" s="23"/>
      <c r="K3814" s="23"/>
      <c r="L3814" s="23"/>
      <c r="M3814" s="131"/>
      <c r="N3814" s="131"/>
      <c r="O3814" s="131"/>
    </row>
    <row r="3815" spans="4:15" x14ac:dyDescent="0.3">
      <c r="D3815" s="33"/>
      <c r="E3815" s="127"/>
      <c r="F3815" s="128"/>
      <c r="G3815" s="128"/>
      <c r="H3815" s="129"/>
      <c r="I3815" s="130"/>
      <c r="J3815" s="23"/>
      <c r="K3815" s="23"/>
      <c r="L3815" s="23"/>
      <c r="M3815" s="131"/>
      <c r="N3815" s="131"/>
      <c r="O3815" s="131"/>
    </row>
    <row r="3816" spans="4:15" x14ac:dyDescent="0.3">
      <c r="D3816" s="33"/>
      <c r="E3816" s="127"/>
      <c r="F3816" s="128"/>
      <c r="G3816" s="128"/>
      <c r="H3816" s="129"/>
      <c r="I3816" s="130"/>
      <c r="J3816" s="23"/>
      <c r="K3816" s="23"/>
      <c r="L3816" s="23"/>
      <c r="M3816" s="131"/>
      <c r="N3816" s="131"/>
      <c r="O3816" s="131"/>
    </row>
    <row r="3817" spans="4:15" x14ac:dyDescent="0.3">
      <c r="D3817" s="33"/>
      <c r="E3817" s="127"/>
      <c r="F3817" s="128"/>
      <c r="G3817" s="128"/>
      <c r="H3817" s="129"/>
      <c r="I3817" s="130"/>
      <c r="J3817" s="23"/>
      <c r="K3817" s="23"/>
      <c r="L3817" s="23"/>
      <c r="M3817" s="131"/>
      <c r="N3817" s="131"/>
      <c r="O3817" s="131"/>
    </row>
    <row r="3818" spans="4:15" x14ac:dyDescent="0.3">
      <c r="D3818" s="33"/>
      <c r="E3818" s="127"/>
      <c r="F3818" s="128"/>
      <c r="G3818" s="128"/>
      <c r="H3818" s="129"/>
      <c r="I3818" s="130"/>
      <c r="J3818" s="23"/>
      <c r="K3818" s="23"/>
      <c r="L3818" s="23"/>
      <c r="M3818" s="131"/>
      <c r="N3818" s="131"/>
      <c r="O3818" s="131"/>
    </row>
    <row r="3819" spans="4:15" x14ac:dyDescent="0.3">
      <c r="D3819" s="33"/>
      <c r="E3819" s="127"/>
      <c r="F3819" s="128"/>
      <c r="G3819" s="128"/>
      <c r="H3819" s="129"/>
      <c r="I3819" s="130"/>
      <c r="J3819" s="23"/>
      <c r="K3819" s="23"/>
      <c r="L3819" s="23"/>
      <c r="M3819" s="131"/>
      <c r="N3819" s="131"/>
      <c r="O3819" s="131"/>
    </row>
    <row r="3820" spans="4:15" x14ac:dyDescent="0.3">
      <c r="D3820" s="33"/>
      <c r="E3820" s="127"/>
      <c r="F3820" s="128"/>
      <c r="G3820" s="128"/>
      <c r="H3820" s="129"/>
      <c r="I3820" s="130"/>
      <c r="J3820" s="23"/>
      <c r="K3820" s="23"/>
      <c r="L3820" s="23"/>
      <c r="M3820" s="131"/>
      <c r="N3820" s="131"/>
      <c r="O3820" s="131"/>
    </row>
    <row r="3821" spans="4:15" x14ac:dyDescent="0.3">
      <c r="D3821" s="33"/>
      <c r="E3821" s="127"/>
      <c r="F3821" s="128"/>
      <c r="G3821" s="128"/>
      <c r="H3821" s="129"/>
      <c r="I3821" s="130"/>
      <c r="J3821" s="23"/>
      <c r="K3821" s="23"/>
      <c r="L3821" s="23"/>
      <c r="M3821" s="131"/>
      <c r="N3821" s="131"/>
      <c r="O3821" s="131"/>
    </row>
    <row r="3822" spans="4:15" x14ac:dyDescent="0.3">
      <c r="D3822" s="33"/>
      <c r="E3822" s="127"/>
      <c r="F3822" s="128"/>
      <c r="G3822" s="128"/>
      <c r="H3822" s="129"/>
      <c r="I3822" s="130"/>
      <c r="J3822" s="23"/>
      <c r="K3822" s="23"/>
      <c r="L3822" s="23"/>
      <c r="M3822" s="131"/>
      <c r="N3822" s="131"/>
      <c r="O3822" s="131"/>
    </row>
    <row r="3823" spans="4:15" x14ac:dyDescent="0.3">
      <c r="D3823" s="33"/>
      <c r="E3823" s="127"/>
      <c r="F3823" s="128"/>
      <c r="G3823" s="128"/>
      <c r="H3823" s="129"/>
      <c r="I3823" s="130"/>
      <c r="J3823" s="23"/>
      <c r="K3823" s="23"/>
      <c r="L3823" s="23"/>
      <c r="M3823" s="131"/>
      <c r="N3823" s="131"/>
      <c r="O3823" s="131"/>
    </row>
    <row r="3824" spans="4:15" x14ac:dyDescent="0.3">
      <c r="D3824" s="33"/>
      <c r="E3824" s="127"/>
      <c r="F3824" s="128"/>
      <c r="G3824" s="128"/>
      <c r="H3824" s="129"/>
      <c r="I3824" s="130"/>
      <c r="J3824" s="23"/>
      <c r="K3824" s="23"/>
      <c r="L3824" s="23"/>
      <c r="M3824" s="131"/>
      <c r="N3824" s="131"/>
      <c r="O3824" s="131"/>
    </row>
    <row r="3825" spans="4:15" x14ac:dyDescent="0.3">
      <c r="D3825" s="33"/>
      <c r="E3825" s="127"/>
      <c r="F3825" s="128"/>
      <c r="G3825" s="128"/>
      <c r="H3825" s="129"/>
      <c r="I3825" s="130"/>
      <c r="J3825" s="23"/>
      <c r="K3825" s="23"/>
      <c r="L3825" s="23"/>
      <c r="M3825" s="131"/>
      <c r="N3825" s="131"/>
      <c r="O3825" s="131"/>
    </row>
    <row r="3826" spans="4:15" x14ac:dyDescent="0.3">
      <c r="D3826" s="33"/>
      <c r="E3826" s="127"/>
      <c r="F3826" s="128"/>
      <c r="G3826" s="128"/>
      <c r="H3826" s="129"/>
      <c r="I3826" s="130"/>
      <c r="J3826" s="23"/>
      <c r="K3826" s="23"/>
      <c r="L3826" s="23"/>
      <c r="M3826" s="131"/>
      <c r="N3826" s="131"/>
      <c r="O3826" s="131"/>
    </row>
    <row r="3827" spans="4:15" x14ac:dyDescent="0.3">
      <c r="D3827" s="33"/>
      <c r="E3827" s="127"/>
      <c r="F3827" s="128"/>
      <c r="G3827" s="128"/>
      <c r="H3827" s="129"/>
      <c r="I3827" s="130"/>
      <c r="J3827" s="23"/>
      <c r="K3827" s="23"/>
      <c r="L3827" s="23"/>
      <c r="M3827" s="131"/>
      <c r="N3827" s="131"/>
      <c r="O3827" s="131"/>
    </row>
    <row r="3828" spans="4:15" x14ac:dyDescent="0.3">
      <c r="D3828" s="33"/>
      <c r="E3828" s="127"/>
      <c r="F3828" s="128"/>
      <c r="G3828" s="128"/>
      <c r="H3828" s="129"/>
      <c r="I3828" s="130"/>
      <c r="J3828" s="23"/>
      <c r="K3828" s="23"/>
      <c r="L3828" s="23"/>
      <c r="M3828" s="131"/>
      <c r="N3828" s="131"/>
      <c r="O3828" s="131"/>
    </row>
    <row r="3829" spans="4:15" x14ac:dyDescent="0.3">
      <c r="D3829" s="33"/>
      <c r="E3829" s="127"/>
      <c r="F3829" s="128"/>
      <c r="G3829" s="128"/>
      <c r="H3829" s="129"/>
      <c r="I3829" s="130"/>
      <c r="J3829" s="23"/>
      <c r="K3829" s="23"/>
      <c r="L3829" s="23"/>
      <c r="M3829" s="131"/>
      <c r="N3829" s="131"/>
      <c r="O3829" s="131"/>
    </row>
    <row r="3830" spans="4:15" x14ac:dyDescent="0.3">
      <c r="D3830" s="33"/>
      <c r="E3830" s="127"/>
      <c r="F3830" s="128"/>
      <c r="G3830" s="128"/>
      <c r="H3830" s="129"/>
      <c r="I3830" s="130"/>
      <c r="J3830" s="23"/>
      <c r="K3830" s="23"/>
      <c r="L3830" s="23"/>
      <c r="M3830" s="131"/>
      <c r="N3830" s="131"/>
      <c r="O3830" s="131"/>
    </row>
    <row r="3831" spans="4:15" x14ac:dyDescent="0.3">
      <c r="D3831" s="33"/>
      <c r="E3831" s="127"/>
      <c r="F3831" s="128"/>
      <c r="G3831" s="128"/>
      <c r="H3831" s="129"/>
      <c r="I3831" s="130"/>
      <c r="J3831" s="23"/>
      <c r="K3831" s="23"/>
      <c r="L3831" s="23"/>
      <c r="M3831" s="131"/>
      <c r="N3831" s="131"/>
      <c r="O3831" s="131"/>
    </row>
    <row r="3832" spans="4:15" x14ac:dyDescent="0.3">
      <c r="D3832" s="33"/>
      <c r="E3832" s="127"/>
      <c r="F3832" s="128"/>
      <c r="G3832" s="128"/>
      <c r="H3832" s="129"/>
      <c r="I3832" s="130"/>
      <c r="J3832" s="23"/>
      <c r="K3832" s="23"/>
      <c r="L3832" s="23"/>
      <c r="M3832" s="131"/>
      <c r="N3832" s="131"/>
      <c r="O3832" s="131"/>
    </row>
    <row r="3833" spans="4:15" x14ac:dyDescent="0.3">
      <c r="D3833" s="33"/>
      <c r="E3833" s="127"/>
      <c r="F3833" s="128"/>
      <c r="G3833" s="128"/>
      <c r="H3833" s="129"/>
      <c r="I3833" s="130"/>
      <c r="J3833" s="23"/>
      <c r="K3833" s="23"/>
      <c r="L3833" s="23"/>
      <c r="M3833" s="131"/>
      <c r="N3833" s="131"/>
      <c r="O3833" s="131"/>
    </row>
    <row r="3834" spans="4:15" x14ac:dyDescent="0.3">
      <c r="D3834" s="33"/>
      <c r="E3834" s="127"/>
      <c r="F3834" s="128"/>
      <c r="G3834" s="128"/>
      <c r="H3834" s="129"/>
      <c r="I3834" s="130"/>
      <c r="J3834" s="23"/>
      <c r="K3834" s="23"/>
      <c r="L3834" s="23"/>
      <c r="M3834" s="131"/>
      <c r="N3834" s="131"/>
      <c r="O3834" s="131"/>
    </row>
    <row r="3835" spans="4:15" x14ac:dyDescent="0.3">
      <c r="D3835" s="33"/>
      <c r="E3835" s="127"/>
      <c r="F3835" s="128"/>
      <c r="G3835" s="128"/>
      <c r="H3835" s="129"/>
      <c r="I3835" s="130"/>
      <c r="J3835" s="23"/>
      <c r="K3835" s="23"/>
      <c r="L3835" s="23"/>
      <c r="M3835" s="131"/>
      <c r="N3835" s="131"/>
      <c r="O3835" s="131"/>
    </row>
    <row r="3836" spans="4:15" x14ac:dyDescent="0.3">
      <c r="D3836" s="33"/>
      <c r="E3836" s="127"/>
      <c r="F3836" s="128"/>
      <c r="G3836" s="128"/>
      <c r="H3836" s="129"/>
      <c r="I3836" s="130"/>
      <c r="J3836" s="23"/>
      <c r="K3836" s="23"/>
      <c r="L3836" s="23"/>
      <c r="M3836" s="131"/>
      <c r="N3836" s="131"/>
      <c r="O3836" s="131"/>
    </row>
    <row r="3837" spans="4:15" x14ac:dyDescent="0.3">
      <c r="D3837" s="33"/>
      <c r="E3837" s="127"/>
      <c r="F3837" s="128"/>
      <c r="G3837" s="128"/>
      <c r="H3837" s="129"/>
      <c r="I3837" s="130"/>
      <c r="J3837" s="23"/>
      <c r="K3837" s="23"/>
      <c r="L3837" s="23"/>
      <c r="M3837" s="131"/>
      <c r="N3837" s="131"/>
      <c r="O3837" s="131"/>
    </row>
    <row r="3838" spans="4:15" x14ac:dyDescent="0.3">
      <c r="D3838" s="33"/>
      <c r="E3838" s="127"/>
      <c r="F3838" s="128"/>
      <c r="G3838" s="128"/>
      <c r="H3838" s="129"/>
      <c r="I3838" s="130"/>
      <c r="J3838" s="23"/>
      <c r="K3838" s="23"/>
      <c r="L3838" s="23"/>
      <c r="M3838" s="131"/>
      <c r="N3838" s="131"/>
      <c r="O3838" s="131"/>
    </row>
    <row r="3839" spans="4:15" x14ac:dyDescent="0.3">
      <c r="D3839" s="33"/>
      <c r="E3839" s="127"/>
      <c r="F3839" s="128"/>
      <c r="G3839" s="128"/>
      <c r="H3839" s="129"/>
      <c r="I3839" s="130"/>
      <c r="J3839" s="23"/>
      <c r="K3839" s="23"/>
      <c r="L3839" s="23"/>
      <c r="M3839" s="131"/>
      <c r="N3839" s="131"/>
      <c r="O3839" s="131"/>
    </row>
    <row r="3840" spans="4:15" x14ac:dyDescent="0.3">
      <c r="D3840" s="33"/>
      <c r="E3840" s="127"/>
      <c r="F3840" s="128"/>
      <c r="G3840" s="128"/>
      <c r="H3840" s="129"/>
      <c r="I3840" s="130"/>
      <c r="J3840" s="23"/>
      <c r="K3840" s="23"/>
      <c r="L3840" s="23"/>
      <c r="M3840" s="131"/>
      <c r="N3840" s="131"/>
      <c r="O3840" s="131"/>
    </row>
    <row r="3841" spans="4:15" x14ac:dyDescent="0.3">
      <c r="D3841" s="33"/>
      <c r="E3841" s="127"/>
      <c r="F3841" s="128"/>
      <c r="G3841" s="128"/>
      <c r="H3841" s="129"/>
      <c r="I3841" s="130"/>
      <c r="J3841" s="23"/>
      <c r="K3841" s="23"/>
      <c r="L3841" s="23"/>
      <c r="M3841" s="131"/>
      <c r="N3841" s="131"/>
      <c r="O3841" s="131"/>
    </row>
    <row r="3842" spans="4:15" x14ac:dyDescent="0.3">
      <c r="D3842" s="33"/>
      <c r="E3842" s="127"/>
      <c r="F3842" s="128"/>
      <c r="G3842" s="128"/>
      <c r="H3842" s="129"/>
      <c r="I3842" s="130"/>
      <c r="J3842" s="23"/>
      <c r="K3842" s="23"/>
      <c r="L3842" s="23"/>
      <c r="M3842" s="131"/>
      <c r="N3842" s="131"/>
      <c r="O3842" s="131"/>
    </row>
    <row r="3843" spans="4:15" x14ac:dyDescent="0.3">
      <c r="D3843" s="33"/>
      <c r="E3843" s="127"/>
      <c r="F3843" s="128"/>
      <c r="G3843" s="128"/>
      <c r="H3843" s="129"/>
      <c r="I3843" s="130"/>
      <c r="J3843" s="23"/>
      <c r="K3843" s="23"/>
      <c r="L3843" s="23"/>
      <c r="M3843" s="131"/>
      <c r="N3843" s="131"/>
      <c r="O3843" s="131"/>
    </row>
    <row r="3844" spans="4:15" x14ac:dyDescent="0.3">
      <c r="D3844" s="33"/>
      <c r="E3844" s="127"/>
      <c r="F3844" s="128"/>
      <c r="G3844" s="128"/>
      <c r="H3844" s="129"/>
      <c r="I3844" s="130"/>
      <c r="J3844" s="23"/>
      <c r="K3844" s="23"/>
      <c r="L3844" s="23"/>
      <c r="M3844" s="131"/>
      <c r="N3844" s="131"/>
      <c r="O3844" s="131"/>
    </row>
    <row r="3845" spans="4:15" x14ac:dyDescent="0.3">
      <c r="D3845" s="33"/>
      <c r="E3845" s="127"/>
      <c r="F3845" s="128"/>
      <c r="G3845" s="128"/>
      <c r="H3845" s="129"/>
      <c r="I3845" s="130"/>
      <c r="J3845" s="23"/>
      <c r="K3845" s="23"/>
      <c r="L3845" s="23"/>
      <c r="M3845" s="131"/>
      <c r="N3845" s="131"/>
      <c r="O3845" s="131"/>
    </row>
    <row r="3846" spans="4:15" x14ac:dyDescent="0.3">
      <c r="D3846" s="33"/>
      <c r="E3846" s="127"/>
      <c r="F3846" s="128"/>
      <c r="G3846" s="128"/>
      <c r="H3846" s="129"/>
      <c r="I3846" s="130"/>
      <c r="J3846" s="23"/>
      <c r="K3846" s="23"/>
      <c r="L3846" s="23"/>
      <c r="M3846" s="131"/>
      <c r="N3846" s="131"/>
      <c r="O3846" s="131"/>
    </row>
    <row r="3847" spans="4:15" x14ac:dyDescent="0.3">
      <c r="D3847" s="33"/>
      <c r="E3847" s="127"/>
      <c r="F3847" s="128"/>
      <c r="G3847" s="128"/>
      <c r="H3847" s="129"/>
      <c r="I3847" s="130"/>
      <c r="J3847" s="23"/>
      <c r="K3847" s="23"/>
      <c r="L3847" s="23"/>
      <c r="M3847" s="131"/>
      <c r="N3847" s="131"/>
      <c r="O3847" s="131"/>
    </row>
    <row r="3848" spans="4:15" x14ac:dyDescent="0.3">
      <c r="D3848" s="33"/>
      <c r="E3848" s="127"/>
      <c r="F3848" s="128"/>
      <c r="G3848" s="128"/>
      <c r="H3848" s="129"/>
      <c r="I3848" s="130"/>
      <c r="J3848" s="23"/>
      <c r="K3848" s="23"/>
      <c r="L3848" s="23"/>
      <c r="M3848" s="131"/>
      <c r="N3848" s="131"/>
      <c r="O3848" s="131"/>
    </row>
    <row r="3849" spans="4:15" x14ac:dyDescent="0.3">
      <c r="D3849" s="33"/>
      <c r="E3849" s="127"/>
      <c r="F3849" s="128"/>
      <c r="G3849" s="128"/>
      <c r="H3849" s="129"/>
      <c r="I3849" s="130"/>
      <c r="J3849" s="23"/>
      <c r="K3849" s="23"/>
      <c r="L3849" s="23"/>
      <c r="M3849" s="131"/>
      <c r="N3849" s="131"/>
      <c r="O3849" s="131"/>
    </row>
    <row r="3850" spans="4:15" x14ac:dyDescent="0.3">
      <c r="D3850" s="33"/>
      <c r="E3850" s="127"/>
      <c r="F3850" s="128"/>
      <c r="G3850" s="128"/>
      <c r="H3850" s="129"/>
      <c r="I3850" s="130"/>
      <c r="J3850" s="23"/>
      <c r="K3850" s="23"/>
      <c r="L3850" s="23"/>
      <c r="M3850" s="131"/>
      <c r="N3850" s="131"/>
      <c r="O3850" s="131"/>
    </row>
    <row r="3851" spans="4:15" x14ac:dyDescent="0.3">
      <c r="D3851" s="33"/>
      <c r="E3851" s="127"/>
      <c r="F3851" s="128"/>
      <c r="G3851" s="128"/>
      <c r="H3851" s="129"/>
      <c r="I3851" s="130"/>
      <c r="J3851" s="23"/>
      <c r="K3851" s="23"/>
      <c r="L3851" s="23"/>
      <c r="M3851" s="131"/>
      <c r="N3851" s="131"/>
      <c r="O3851" s="131"/>
    </row>
    <row r="3852" spans="4:15" x14ac:dyDescent="0.3">
      <c r="D3852" s="33"/>
      <c r="E3852" s="127"/>
      <c r="F3852" s="128"/>
      <c r="G3852" s="128"/>
      <c r="H3852" s="129"/>
      <c r="I3852" s="130"/>
      <c r="J3852" s="23"/>
      <c r="K3852" s="23"/>
      <c r="L3852" s="23"/>
      <c r="M3852" s="131"/>
      <c r="N3852" s="131"/>
      <c r="O3852" s="131"/>
    </row>
    <row r="3853" spans="4:15" x14ac:dyDescent="0.3">
      <c r="D3853" s="33"/>
      <c r="E3853" s="127"/>
      <c r="F3853" s="128"/>
      <c r="G3853" s="128"/>
      <c r="H3853" s="129"/>
      <c r="I3853" s="130"/>
      <c r="J3853" s="23"/>
      <c r="K3853" s="23"/>
      <c r="L3853" s="23"/>
      <c r="M3853" s="131"/>
      <c r="N3853" s="131"/>
      <c r="O3853" s="131"/>
    </row>
    <row r="3854" spans="4:15" x14ac:dyDescent="0.3">
      <c r="D3854" s="33"/>
      <c r="E3854" s="127"/>
      <c r="F3854" s="128"/>
      <c r="G3854" s="128"/>
      <c r="H3854" s="129"/>
      <c r="I3854" s="130"/>
      <c r="J3854" s="23"/>
      <c r="K3854" s="23"/>
      <c r="L3854" s="23"/>
      <c r="M3854" s="131"/>
      <c r="N3854" s="131"/>
      <c r="O3854" s="131"/>
    </row>
    <row r="3855" spans="4:15" x14ac:dyDescent="0.3">
      <c r="D3855" s="33"/>
      <c r="E3855" s="127"/>
      <c r="F3855" s="128"/>
      <c r="G3855" s="128"/>
      <c r="H3855" s="129"/>
      <c r="I3855" s="130"/>
      <c r="J3855" s="23"/>
      <c r="K3855" s="23"/>
      <c r="L3855" s="23"/>
      <c r="M3855" s="131"/>
      <c r="N3855" s="131"/>
      <c r="O3855" s="131"/>
    </row>
    <row r="3856" spans="4:15" x14ac:dyDescent="0.3">
      <c r="D3856" s="33"/>
      <c r="E3856" s="127"/>
      <c r="F3856" s="128"/>
      <c r="G3856" s="128"/>
      <c r="H3856" s="129"/>
      <c r="I3856" s="130"/>
      <c r="J3856" s="23"/>
      <c r="K3856" s="23"/>
      <c r="L3856" s="23"/>
      <c r="M3856" s="131"/>
      <c r="N3856" s="131"/>
      <c r="O3856" s="131"/>
    </row>
    <row r="3857" spans="4:15" x14ac:dyDescent="0.3">
      <c r="D3857" s="33"/>
      <c r="E3857" s="127"/>
      <c r="F3857" s="128"/>
      <c r="G3857" s="128"/>
      <c r="H3857" s="129"/>
      <c r="I3857" s="130"/>
      <c r="J3857" s="23"/>
      <c r="K3857" s="23"/>
      <c r="L3857" s="23"/>
      <c r="M3857" s="131"/>
      <c r="N3857" s="131"/>
      <c r="O3857" s="131"/>
    </row>
    <row r="3858" spans="4:15" x14ac:dyDescent="0.3">
      <c r="D3858" s="33"/>
      <c r="E3858" s="127"/>
      <c r="F3858" s="128"/>
      <c r="G3858" s="128"/>
      <c r="H3858" s="129"/>
      <c r="I3858" s="130"/>
      <c r="J3858" s="23"/>
      <c r="K3858" s="23"/>
      <c r="L3858" s="23"/>
      <c r="M3858" s="131"/>
      <c r="N3858" s="131"/>
      <c r="O3858" s="131"/>
    </row>
    <row r="3859" spans="4:15" x14ac:dyDescent="0.3">
      <c r="D3859" s="33"/>
      <c r="E3859" s="127"/>
      <c r="F3859" s="128"/>
      <c r="G3859" s="128"/>
      <c r="H3859" s="129"/>
      <c r="I3859" s="130"/>
      <c r="J3859" s="23"/>
      <c r="K3859" s="23"/>
      <c r="L3859" s="23"/>
      <c r="M3859" s="131"/>
      <c r="N3859" s="131"/>
      <c r="O3859" s="131"/>
    </row>
    <row r="3860" spans="4:15" x14ac:dyDescent="0.3">
      <c r="D3860" s="33"/>
      <c r="E3860" s="127"/>
      <c r="F3860" s="128"/>
      <c r="G3860" s="128"/>
      <c r="H3860" s="129"/>
      <c r="I3860" s="130"/>
      <c r="J3860" s="23"/>
      <c r="K3860" s="23"/>
      <c r="L3860" s="23"/>
      <c r="M3860" s="131"/>
      <c r="N3860" s="131"/>
      <c r="O3860" s="131"/>
    </row>
    <row r="3861" spans="4:15" x14ac:dyDescent="0.3">
      <c r="D3861" s="33"/>
      <c r="E3861" s="127"/>
      <c r="F3861" s="128"/>
      <c r="G3861" s="128"/>
      <c r="H3861" s="129"/>
      <c r="I3861" s="130"/>
      <c r="J3861" s="23"/>
      <c r="K3861" s="23"/>
      <c r="L3861" s="23"/>
      <c r="M3861" s="131"/>
      <c r="N3861" s="131"/>
      <c r="O3861" s="131"/>
    </row>
    <row r="3862" spans="4:15" x14ac:dyDescent="0.3">
      <c r="D3862" s="33"/>
      <c r="E3862" s="127"/>
      <c r="F3862" s="128"/>
      <c r="G3862" s="128"/>
      <c r="H3862" s="129"/>
      <c r="I3862" s="130"/>
      <c r="J3862" s="23"/>
      <c r="K3862" s="23"/>
      <c r="L3862" s="23"/>
      <c r="M3862" s="131"/>
      <c r="N3862" s="131"/>
      <c r="O3862" s="131"/>
    </row>
    <row r="3863" spans="4:15" x14ac:dyDescent="0.3">
      <c r="D3863" s="33"/>
      <c r="E3863" s="127"/>
      <c r="F3863" s="128"/>
      <c r="G3863" s="128"/>
      <c r="H3863" s="129"/>
      <c r="I3863" s="130"/>
      <c r="J3863" s="23"/>
      <c r="K3863" s="23"/>
      <c r="L3863" s="23"/>
      <c r="M3863" s="131"/>
      <c r="N3863" s="131"/>
      <c r="O3863" s="131"/>
    </row>
    <row r="3864" spans="4:15" x14ac:dyDescent="0.3">
      <c r="D3864" s="33"/>
      <c r="E3864" s="127"/>
      <c r="F3864" s="128"/>
      <c r="G3864" s="128"/>
      <c r="H3864" s="129"/>
      <c r="I3864" s="130"/>
      <c r="J3864" s="23"/>
      <c r="K3864" s="23"/>
      <c r="L3864" s="23"/>
      <c r="M3864" s="131"/>
      <c r="N3864" s="131"/>
      <c r="O3864" s="131"/>
    </row>
    <row r="3865" spans="4:15" x14ac:dyDescent="0.3">
      <c r="D3865" s="33"/>
      <c r="E3865" s="127"/>
      <c r="F3865" s="128"/>
      <c r="G3865" s="128"/>
      <c r="H3865" s="129"/>
      <c r="I3865" s="130"/>
      <c r="J3865" s="23"/>
      <c r="K3865" s="23"/>
      <c r="L3865" s="23"/>
      <c r="M3865" s="131"/>
      <c r="N3865" s="131"/>
      <c r="O3865" s="131"/>
    </row>
    <row r="3866" spans="4:15" x14ac:dyDescent="0.3">
      <c r="D3866" s="33"/>
      <c r="E3866" s="127"/>
      <c r="F3866" s="128"/>
      <c r="G3866" s="128"/>
      <c r="H3866" s="129"/>
      <c r="I3866" s="130"/>
      <c r="J3866" s="23"/>
      <c r="K3866" s="23"/>
      <c r="L3866" s="23"/>
      <c r="M3866" s="131"/>
      <c r="N3866" s="131"/>
      <c r="O3866" s="131"/>
    </row>
    <row r="3867" spans="4:15" x14ac:dyDescent="0.3">
      <c r="D3867" s="33"/>
      <c r="E3867" s="127"/>
      <c r="F3867" s="128"/>
      <c r="G3867" s="128"/>
      <c r="H3867" s="129"/>
      <c r="I3867" s="130"/>
      <c r="J3867" s="23"/>
      <c r="K3867" s="23"/>
      <c r="L3867" s="23"/>
      <c r="M3867" s="131"/>
      <c r="N3867" s="131"/>
      <c r="O3867" s="131"/>
    </row>
    <row r="3868" spans="4:15" x14ac:dyDescent="0.3">
      <c r="D3868" s="33"/>
      <c r="E3868" s="127"/>
      <c r="F3868" s="128"/>
      <c r="G3868" s="128"/>
      <c r="H3868" s="129"/>
      <c r="I3868" s="130"/>
      <c r="J3868" s="23"/>
      <c r="K3868" s="23"/>
      <c r="L3868" s="23"/>
      <c r="M3868" s="131"/>
      <c r="N3868" s="131"/>
      <c r="O3868" s="131"/>
    </row>
    <row r="3869" spans="4:15" x14ac:dyDescent="0.3">
      <c r="D3869" s="33"/>
      <c r="E3869" s="127"/>
      <c r="F3869" s="128"/>
      <c r="G3869" s="128"/>
      <c r="H3869" s="129"/>
      <c r="I3869" s="130"/>
      <c r="J3869" s="23"/>
      <c r="K3869" s="23"/>
      <c r="L3869" s="23"/>
      <c r="M3869" s="131"/>
      <c r="N3869" s="131"/>
      <c r="O3869" s="131"/>
    </row>
    <row r="3870" spans="4:15" x14ac:dyDescent="0.3">
      <c r="D3870" s="33"/>
      <c r="E3870" s="127"/>
      <c r="F3870" s="128"/>
      <c r="G3870" s="128"/>
      <c r="H3870" s="129"/>
      <c r="I3870" s="130"/>
      <c r="J3870" s="23"/>
      <c r="K3870" s="23"/>
      <c r="L3870" s="23"/>
      <c r="M3870" s="131"/>
      <c r="N3870" s="131"/>
      <c r="O3870" s="131"/>
    </row>
    <row r="3871" spans="4:15" x14ac:dyDescent="0.3">
      <c r="D3871" s="33"/>
      <c r="E3871" s="127"/>
      <c r="F3871" s="128"/>
      <c r="G3871" s="128"/>
      <c r="H3871" s="129"/>
      <c r="I3871" s="130"/>
      <c r="J3871" s="23"/>
      <c r="K3871" s="23"/>
      <c r="L3871" s="23"/>
      <c r="M3871" s="131"/>
      <c r="N3871" s="131"/>
      <c r="O3871" s="131"/>
    </row>
    <row r="3872" spans="4:15" x14ac:dyDescent="0.3">
      <c r="D3872" s="33"/>
      <c r="E3872" s="127"/>
      <c r="F3872" s="128"/>
      <c r="G3872" s="128"/>
      <c r="H3872" s="129"/>
      <c r="I3872" s="130"/>
      <c r="J3872" s="23"/>
      <c r="K3872" s="23"/>
      <c r="L3872" s="23"/>
      <c r="M3872" s="131"/>
      <c r="N3872" s="131"/>
      <c r="O3872" s="131"/>
    </row>
    <row r="3873" spans="4:15" x14ac:dyDescent="0.3">
      <c r="D3873" s="33"/>
      <c r="E3873" s="127"/>
      <c r="F3873" s="128"/>
      <c r="G3873" s="128"/>
      <c r="H3873" s="129"/>
      <c r="I3873" s="130"/>
      <c r="J3873" s="23"/>
      <c r="K3873" s="23"/>
      <c r="L3873" s="23"/>
      <c r="M3873" s="131"/>
      <c r="N3873" s="131"/>
      <c r="O3873" s="131"/>
    </row>
    <row r="3874" spans="4:15" x14ac:dyDescent="0.3">
      <c r="D3874" s="33"/>
      <c r="E3874" s="127"/>
      <c r="F3874" s="128"/>
      <c r="G3874" s="128"/>
      <c r="H3874" s="129"/>
      <c r="I3874" s="130"/>
      <c r="J3874" s="23"/>
      <c r="K3874" s="23"/>
      <c r="L3874" s="23"/>
      <c r="M3874" s="131"/>
      <c r="N3874" s="131"/>
      <c r="O3874" s="131"/>
    </row>
    <row r="3875" spans="4:15" x14ac:dyDescent="0.3">
      <c r="D3875" s="33"/>
      <c r="E3875" s="127"/>
      <c r="F3875" s="128"/>
      <c r="G3875" s="128"/>
      <c r="H3875" s="129"/>
      <c r="I3875" s="130"/>
      <c r="J3875" s="23"/>
      <c r="K3875" s="23"/>
      <c r="L3875" s="23"/>
      <c r="M3875" s="131"/>
      <c r="N3875" s="131"/>
      <c r="O3875" s="131"/>
    </row>
    <row r="3876" spans="4:15" x14ac:dyDescent="0.3">
      <c r="D3876" s="33"/>
      <c r="E3876" s="127"/>
      <c r="F3876" s="128"/>
      <c r="G3876" s="128"/>
      <c r="H3876" s="129"/>
      <c r="I3876" s="130"/>
      <c r="J3876" s="23"/>
      <c r="K3876" s="23"/>
      <c r="L3876" s="23"/>
      <c r="M3876" s="131"/>
      <c r="N3876" s="131"/>
      <c r="O3876" s="131"/>
    </row>
    <row r="3877" spans="4:15" x14ac:dyDescent="0.3">
      <c r="D3877" s="33"/>
      <c r="E3877" s="127"/>
      <c r="F3877" s="128"/>
      <c r="G3877" s="128"/>
      <c r="H3877" s="129"/>
      <c r="I3877" s="130"/>
      <c r="J3877" s="23"/>
      <c r="K3877" s="23"/>
      <c r="L3877" s="23"/>
      <c r="M3877" s="131"/>
      <c r="N3877" s="131"/>
      <c r="O3877" s="131"/>
    </row>
    <row r="3878" spans="4:15" x14ac:dyDescent="0.3">
      <c r="D3878" s="33"/>
      <c r="E3878" s="127"/>
      <c r="F3878" s="128"/>
      <c r="G3878" s="128"/>
      <c r="H3878" s="129"/>
      <c r="I3878" s="130"/>
      <c r="J3878" s="23"/>
      <c r="K3878" s="23"/>
      <c r="L3878" s="23"/>
      <c r="M3878" s="131"/>
      <c r="N3878" s="131"/>
      <c r="O3878" s="131"/>
    </row>
    <row r="3879" spans="4:15" x14ac:dyDescent="0.3">
      <c r="D3879" s="33"/>
      <c r="E3879" s="127"/>
      <c r="F3879" s="128"/>
      <c r="G3879" s="128"/>
      <c r="H3879" s="129"/>
      <c r="I3879" s="130"/>
      <c r="J3879" s="23"/>
      <c r="K3879" s="23"/>
      <c r="L3879" s="23"/>
      <c r="M3879" s="131"/>
      <c r="N3879" s="131"/>
      <c r="O3879" s="131"/>
    </row>
    <row r="3880" spans="4:15" x14ac:dyDescent="0.3">
      <c r="D3880" s="33"/>
      <c r="E3880" s="127"/>
      <c r="F3880" s="128"/>
      <c r="G3880" s="128"/>
      <c r="H3880" s="129"/>
      <c r="I3880" s="130"/>
      <c r="J3880" s="23"/>
      <c r="K3880" s="23"/>
      <c r="L3880" s="23"/>
      <c r="M3880" s="131"/>
      <c r="N3880" s="131"/>
      <c r="O3880" s="131"/>
    </row>
    <row r="3881" spans="4:15" x14ac:dyDescent="0.3">
      <c r="D3881" s="33"/>
      <c r="E3881" s="127"/>
      <c r="F3881" s="128"/>
      <c r="G3881" s="128"/>
      <c r="H3881" s="129"/>
      <c r="I3881" s="130"/>
      <c r="J3881" s="23"/>
      <c r="K3881" s="23"/>
      <c r="L3881" s="23"/>
      <c r="M3881" s="131"/>
      <c r="N3881" s="131"/>
      <c r="O3881" s="131"/>
    </row>
    <row r="3882" spans="4:15" x14ac:dyDescent="0.3">
      <c r="D3882" s="33"/>
      <c r="E3882" s="127"/>
      <c r="F3882" s="128"/>
      <c r="G3882" s="128"/>
      <c r="H3882" s="129"/>
      <c r="I3882" s="130"/>
      <c r="J3882" s="23"/>
      <c r="K3882" s="23"/>
      <c r="L3882" s="23"/>
      <c r="M3882" s="131"/>
      <c r="N3882" s="131"/>
      <c r="O3882" s="131"/>
    </row>
    <row r="3883" spans="4:15" x14ac:dyDescent="0.3">
      <c r="D3883" s="33"/>
      <c r="E3883" s="127"/>
      <c r="F3883" s="128"/>
      <c r="G3883" s="128"/>
      <c r="H3883" s="129"/>
      <c r="I3883" s="130"/>
      <c r="J3883" s="23"/>
      <c r="K3883" s="23"/>
      <c r="L3883" s="23"/>
      <c r="M3883" s="131"/>
      <c r="N3883" s="131"/>
      <c r="O3883" s="131"/>
    </row>
    <row r="3884" spans="4:15" x14ac:dyDescent="0.3">
      <c r="D3884" s="33"/>
      <c r="E3884" s="127"/>
      <c r="F3884" s="128"/>
      <c r="G3884" s="128"/>
      <c r="H3884" s="129"/>
      <c r="I3884" s="130"/>
      <c r="J3884" s="23"/>
      <c r="K3884" s="23"/>
      <c r="L3884" s="23"/>
      <c r="M3884" s="131"/>
      <c r="N3884" s="131"/>
      <c r="O3884" s="131"/>
    </row>
    <row r="3885" spans="4:15" x14ac:dyDescent="0.3">
      <c r="D3885" s="33"/>
      <c r="E3885" s="127"/>
      <c r="F3885" s="128"/>
      <c r="G3885" s="128"/>
      <c r="H3885" s="129"/>
      <c r="I3885" s="130"/>
      <c r="J3885" s="23"/>
      <c r="K3885" s="23"/>
      <c r="L3885" s="23"/>
      <c r="M3885" s="131"/>
      <c r="N3885" s="131"/>
      <c r="O3885" s="131"/>
    </row>
    <row r="3886" spans="4:15" x14ac:dyDescent="0.3">
      <c r="D3886" s="33"/>
      <c r="E3886" s="127"/>
      <c r="F3886" s="128"/>
      <c r="G3886" s="128"/>
      <c r="H3886" s="129"/>
      <c r="I3886" s="130"/>
      <c r="J3886" s="23"/>
      <c r="K3886" s="23"/>
      <c r="L3886" s="23"/>
      <c r="M3886" s="131"/>
      <c r="N3886" s="131"/>
      <c r="O3886" s="131"/>
    </row>
    <row r="3887" spans="4:15" x14ac:dyDescent="0.3">
      <c r="D3887" s="33"/>
      <c r="E3887" s="127"/>
      <c r="F3887" s="128"/>
      <c r="G3887" s="128"/>
      <c r="H3887" s="129"/>
      <c r="I3887" s="130"/>
      <c r="J3887" s="23"/>
      <c r="K3887" s="23"/>
      <c r="L3887" s="23"/>
      <c r="M3887" s="131"/>
      <c r="N3887" s="131"/>
      <c r="O3887" s="131"/>
    </row>
    <row r="3888" spans="4:15" x14ac:dyDescent="0.3">
      <c r="D3888" s="33"/>
      <c r="E3888" s="127"/>
      <c r="F3888" s="128"/>
      <c r="G3888" s="128"/>
      <c r="H3888" s="129"/>
      <c r="I3888" s="130"/>
      <c r="J3888" s="23"/>
      <c r="K3888" s="23"/>
      <c r="L3888" s="23"/>
      <c r="M3888" s="131"/>
      <c r="N3888" s="131"/>
      <c r="O3888" s="131"/>
    </row>
    <row r="3889" spans="4:15" x14ac:dyDescent="0.3">
      <c r="D3889" s="33"/>
      <c r="E3889" s="127"/>
      <c r="F3889" s="128"/>
      <c r="G3889" s="128"/>
      <c r="H3889" s="129"/>
      <c r="I3889" s="130"/>
      <c r="J3889" s="23"/>
      <c r="K3889" s="23"/>
      <c r="L3889" s="23"/>
      <c r="M3889" s="131"/>
      <c r="N3889" s="131"/>
      <c r="O3889" s="131"/>
    </row>
    <row r="3890" spans="4:15" x14ac:dyDescent="0.3">
      <c r="D3890" s="33"/>
      <c r="E3890" s="127"/>
      <c r="F3890" s="128"/>
      <c r="G3890" s="128"/>
      <c r="H3890" s="129"/>
      <c r="I3890" s="130"/>
      <c r="J3890" s="23"/>
      <c r="K3890" s="23"/>
      <c r="L3890" s="23"/>
      <c r="M3890" s="131"/>
      <c r="N3890" s="131"/>
      <c r="O3890" s="131"/>
    </row>
    <row r="3891" spans="4:15" x14ac:dyDescent="0.3">
      <c r="D3891" s="33"/>
      <c r="E3891" s="127"/>
      <c r="F3891" s="128"/>
      <c r="G3891" s="128"/>
      <c r="H3891" s="129"/>
      <c r="I3891" s="130"/>
      <c r="J3891" s="23"/>
      <c r="K3891" s="23"/>
      <c r="L3891" s="23"/>
      <c r="M3891" s="131"/>
      <c r="N3891" s="131"/>
      <c r="O3891" s="131"/>
    </row>
    <row r="3892" spans="4:15" x14ac:dyDescent="0.3">
      <c r="D3892" s="33"/>
      <c r="E3892" s="127"/>
      <c r="F3892" s="128"/>
      <c r="G3892" s="128"/>
      <c r="H3892" s="129"/>
      <c r="I3892" s="130"/>
      <c r="J3892" s="23"/>
      <c r="K3892" s="23"/>
      <c r="L3892" s="23"/>
      <c r="M3892" s="131"/>
      <c r="N3892" s="131"/>
      <c r="O3892" s="131"/>
    </row>
    <row r="3893" spans="4:15" x14ac:dyDescent="0.3">
      <c r="D3893" s="33"/>
      <c r="E3893" s="127"/>
      <c r="F3893" s="128"/>
      <c r="G3893" s="128"/>
      <c r="H3893" s="129"/>
      <c r="I3893" s="130"/>
      <c r="J3893" s="23"/>
      <c r="K3893" s="23"/>
      <c r="L3893" s="23"/>
      <c r="M3893" s="131"/>
      <c r="N3893" s="131"/>
      <c r="O3893" s="131"/>
    </row>
    <row r="3894" spans="4:15" x14ac:dyDescent="0.3">
      <c r="D3894" s="33"/>
      <c r="E3894" s="127"/>
      <c r="F3894" s="128"/>
      <c r="G3894" s="128"/>
      <c r="H3894" s="129"/>
      <c r="I3894" s="130"/>
      <c r="J3894" s="23"/>
      <c r="K3894" s="23"/>
      <c r="L3894" s="23"/>
      <c r="M3894" s="131"/>
      <c r="N3894" s="131"/>
      <c r="O3894" s="131"/>
    </row>
    <row r="3895" spans="4:15" x14ac:dyDescent="0.3">
      <c r="D3895" s="33"/>
      <c r="E3895" s="127"/>
      <c r="F3895" s="128"/>
      <c r="G3895" s="128"/>
      <c r="H3895" s="129"/>
      <c r="I3895" s="130"/>
      <c r="J3895" s="23"/>
      <c r="K3895" s="23"/>
      <c r="L3895" s="23"/>
      <c r="M3895" s="131"/>
      <c r="N3895" s="131"/>
      <c r="O3895" s="131"/>
    </row>
    <row r="3896" spans="4:15" x14ac:dyDescent="0.3">
      <c r="D3896" s="33"/>
      <c r="E3896" s="127"/>
      <c r="F3896" s="128"/>
      <c r="G3896" s="128"/>
      <c r="H3896" s="129"/>
      <c r="I3896" s="130"/>
      <c r="J3896" s="23"/>
      <c r="K3896" s="23"/>
      <c r="L3896" s="23"/>
      <c r="M3896" s="131"/>
      <c r="N3896" s="131"/>
      <c r="O3896" s="131"/>
    </row>
    <row r="3897" spans="4:15" x14ac:dyDescent="0.3">
      <c r="D3897" s="33"/>
      <c r="E3897" s="127"/>
      <c r="F3897" s="128"/>
      <c r="G3897" s="128"/>
      <c r="H3897" s="129"/>
      <c r="I3897" s="130"/>
      <c r="J3897" s="23"/>
      <c r="K3897" s="23"/>
      <c r="L3897" s="23"/>
      <c r="M3897" s="131"/>
      <c r="N3897" s="131"/>
      <c r="O3897" s="131"/>
    </row>
    <row r="3898" spans="4:15" x14ac:dyDescent="0.3">
      <c r="D3898" s="33"/>
      <c r="E3898" s="127"/>
      <c r="F3898" s="128"/>
      <c r="G3898" s="128"/>
      <c r="H3898" s="129"/>
      <c r="I3898" s="130"/>
      <c r="J3898" s="23"/>
      <c r="K3898" s="23"/>
      <c r="L3898" s="23"/>
      <c r="M3898" s="131"/>
      <c r="N3898" s="131"/>
      <c r="O3898" s="131"/>
    </row>
    <row r="3899" spans="4:15" x14ac:dyDescent="0.3">
      <c r="D3899" s="33"/>
      <c r="E3899" s="127"/>
      <c r="F3899" s="128"/>
      <c r="G3899" s="128"/>
      <c r="H3899" s="129"/>
      <c r="I3899" s="130"/>
      <c r="J3899" s="23"/>
      <c r="K3899" s="23"/>
      <c r="L3899" s="23"/>
      <c r="M3899" s="131"/>
      <c r="N3899" s="131"/>
      <c r="O3899" s="131"/>
    </row>
    <row r="3900" spans="4:15" x14ac:dyDescent="0.3">
      <c r="D3900" s="33"/>
      <c r="E3900" s="127"/>
      <c r="F3900" s="128"/>
      <c r="G3900" s="128"/>
      <c r="H3900" s="129"/>
      <c r="I3900" s="130"/>
      <c r="J3900" s="23"/>
      <c r="K3900" s="23"/>
      <c r="L3900" s="23"/>
      <c r="M3900" s="131"/>
      <c r="N3900" s="131"/>
      <c r="O3900" s="131"/>
    </row>
    <row r="3901" spans="4:15" x14ac:dyDescent="0.3">
      <c r="D3901" s="33"/>
      <c r="E3901" s="127"/>
      <c r="F3901" s="128"/>
      <c r="G3901" s="128"/>
      <c r="H3901" s="129"/>
      <c r="I3901" s="130"/>
      <c r="J3901" s="23"/>
      <c r="K3901" s="23"/>
      <c r="L3901" s="23"/>
      <c r="M3901" s="131"/>
      <c r="N3901" s="131"/>
      <c r="O3901" s="131"/>
    </row>
    <row r="3902" spans="4:15" x14ac:dyDescent="0.3">
      <c r="D3902" s="33"/>
      <c r="E3902" s="127"/>
      <c r="F3902" s="128"/>
      <c r="G3902" s="128"/>
      <c r="H3902" s="129"/>
      <c r="I3902" s="130"/>
      <c r="J3902" s="23"/>
      <c r="K3902" s="23"/>
      <c r="L3902" s="23"/>
      <c r="M3902" s="131"/>
      <c r="N3902" s="131"/>
      <c r="O3902" s="131"/>
    </row>
    <row r="3903" spans="4:15" x14ac:dyDescent="0.3">
      <c r="D3903" s="33"/>
      <c r="E3903" s="127"/>
      <c r="F3903" s="128"/>
      <c r="G3903" s="128"/>
      <c r="H3903" s="129"/>
      <c r="I3903" s="130"/>
      <c r="J3903" s="23"/>
      <c r="K3903" s="23"/>
      <c r="L3903" s="23"/>
      <c r="M3903" s="131"/>
      <c r="N3903" s="131"/>
      <c r="O3903" s="131"/>
    </row>
    <row r="3904" spans="4:15" x14ac:dyDescent="0.3">
      <c r="D3904" s="33"/>
      <c r="E3904" s="127"/>
      <c r="F3904" s="128"/>
      <c r="G3904" s="128"/>
      <c r="H3904" s="129"/>
      <c r="I3904" s="130"/>
      <c r="J3904" s="23"/>
      <c r="K3904" s="23"/>
      <c r="L3904" s="23"/>
      <c r="M3904" s="131"/>
      <c r="N3904" s="131"/>
      <c r="O3904" s="131"/>
    </row>
    <row r="3905" spans="4:15" x14ac:dyDescent="0.3">
      <c r="D3905" s="33"/>
      <c r="E3905" s="127"/>
      <c r="F3905" s="128"/>
      <c r="G3905" s="128"/>
      <c r="H3905" s="129"/>
      <c r="I3905" s="130"/>
      <c r="J3905" s="23"/>
      <c r="K3905" s="23"/>
      <c r="L3905" s="23"/>
      <c r="M3905" s="131"/>
      <c r="N3905" s="131"/>
      <c r="O3905" s="131"/>
    </row>
    <row r="3906" spans="4:15" x14ac:dyDescent="0.3">
      <c r="D3906" s="33"/>
      <c r="E3906" s="127"/>
      <c r="F3906" s="128"/>
      <c r="G3906" s="128"/>
      <c r="H3906" s="129"/>
      <c r="I3906" s="130"/>
      <c r="J3906" s="23"/>
      <c r="K3906" s="23"/>
      <c r="L3906" s="23"/>
      <c r="M3906" s="131"/>
      <c r="N3906" s="131"/>
      <c r="O3906" s="131"/>
    </row>
    <row r="3907" spans="4:15" x14ac:dyDescent="0.3">
      <c r="D3907" s="33"/>
      <c r="E3907" s="127"/>
      <c r="F3907" s="128"/>
      <c r="G3907" s="128"/>
      <c r="H3907" s="129"/>
      <c r="I3907" s="130"/>
      <c r="J3907" s="23"/>
      <c r="K3907" s="23"/>
      <c r="L3907" s="23"/>
      <c r="M3907" s="131"/>
      <c r="N3907" s="131"/>
      <c r="O3907" s="131"/>
    </row>
    <row r="3908" spans="4:15" x14ac:dyDescent="0.3">
      <c r="D3908" s="33"/>
      <c r="E3908" s="127"/>
      <c r="F3908" s="128"/>
      <c r="G3908" s="128"/>
      <c r="H3908" s="129"/>
      <c r="I3908" s="130"/>
      <c r="J3908" s="23"/>
      <c r="K3908" s="23"/>
      <c r="L3908" s="23"/>
      <c r="M3908" s="131"/>
      <c r="N3908" s="131"/>
      <c r="O3908" s="131"/>
    </row>
    <row r="3909" spans="4:15" x14ac:dyDescent="0.3">
      <c r="D3909" s="33"/>
      <c r="E3909" s="127"/>
      <c r="F3909" s="128"/>
      <c r="G3909" s="128"/>
      <c r="H3909" s="129"/>
      <c r="I3909" s="130"/>
      <c r="J3909" s="23"/>
      <c r="K3909" s="23"/>
      <c r="L3909" s="23"/>
      <c r="M3909" s="131"/>
      <c r="N3909" s="131"/>
      <c r="O3909" s="131"/>
    </row>
    <row r="3910" spans="4:15" x14ac:dyDescent="0.3">
      <c r="D3910" s="33"/>
      <c r="E3910" s="127"/>
      <c r="F3910" s="128"/>
      <c r="G3910" s="128"/>
      <c r="H3910" s="129"/>
      <c r="I3910" s="130"/>
      <c r="J3910" s="23"/>
      <c r="K3910" s="23"/>
      <c r="L3910" s="23"/>
      <c r="M3910" s="131"/>
      <c r="N3910" s="131"/>
      <c r="O3910" s="131"/>
    </row>
    <row r="3911" spans="4:15" x14ac:dyDescent="0.3">
      <c r="D3911" s="33"/>
      <c r="E3911" s="127"/>
      <c r="F3911" s="128"/>
      <c r="G3911" s="128"/>
      <c r="H3911" s="129"/>
      <c r="I3911" s="130"/>
      <c r="J3911" s="23"/>
      <c r="K3911" s="23"/>
      <c r="L3911" s="23"/>
      <c r="M3911" s="131"/>
      <c r="N3911" s="131"/>
      <c r="O3911" s="131"/>
    </row>
    <row r="3912" spans="4:15" x14ac:dyDescent="0.3">
      <c r="D3912" s="33"/>
      <c r="E3912" s="127"/>
      <c r="F3912" s="128"/>
      <c r="G3912" s="128"/>
      <c r="H3912" s="129"/>
      <c r="I3912" s="130"/>
      <c r="J3912" s="23"/>
      <c r="K3912" s="23"/>
      <c r="L3912" s="23"/>
      <c r="M3912" s="131"/>
      <c r="N3912" s="131"/>
      <c r="O3912" s="131"/>
    </row>
    <row r="3913" spans="4:15" x14ac:dyDescent="0.3">
      <c r="D3913" s="33"/>
      <c r="E3913" s="127"/>
      <c r="F3913" s="128"/>
      <c r="G3913" s="128"/>
      <c r="H3913" s="129"/>
      <c r="I3913" s="130"/>
      <c r="J3913" s="23"/>
      <c r="K3913" s="23"/>
      <c r="L3913" s="23"/>
      <c r="M3913" s="131"/>
      <c r="N3913" s="131"/>
      <c r="O3913" s="131"/>
    </row>
    <row r="3914" spans="4:15" x14ac:dyDescent="0.3">
      <c r="D3914" s="33"/>
      <c r="E3914" s="127"/>
      <c r="F3914" s="128"/>
      <c r="G3914" s="128"/>
      <c r="H3914" s="129"/>
      <c r="I3914" s="130"/>
      <c r="J3914" s="23"/>
      <c r="K3914" s="23"/>
      <c r="L3914" s="23"/>
      <c r="M3914" s="131"/>
      <c r="N3914" s="131"/>
      <c r="O3914" s="131"/>
    </row>
    <row r="3915" spans="4:15" x14ac:dyDescent="0.3">
      <c r="D3915" s="33"/>
      <c r="E3915" s="127"/>
      <c r="F3915" s="128"/>
      <c r="G3915" s="128"/>
      <c r="H3915" s="129"/>
      <c r="I3915" s="130"/>
      <c r="J3915" s="23"/>
      <c r="K3915" s="23"/>
      <c r="L3915" s="23"/>
      <c r="M3915" s="131"/>
      <c r="N3915" s="131"/>
      <c r="O3915" s="131"/>
    </row>
    <row r="3916" spans="4:15" x14ac:dyDescent="0.3">
      <c r="D3916" s="33"/>
      <c r="E3916" s="127"/>
      <c r="F3916" s="128"/>
      <c r="G3916" s="128"/>
      <c r="H3916" s="129"/>
      <c r="I3916" s="130"/>
      <c r="J3916" s="23"/>
      <c r="K3916" s="23"/>
      <c r="L3916" s="23"/>
      <c r="M3916" s="131"/>
      <c r="N3916" s="131"/>
      <c r="O3916" s="131"/>
    </row>
    <row r="3917" spans="4:15" x14ac:dyDescent="0.3">
      <c r="D3917" s="33"/>
      <c r="E3917" s="127"/>
      <c r="F3917" s="128"/>
      <c r="G3917" s="128"/>
      <c r="H3917" s="129"/>
      <c r="I3917" s="130"/>
      <c r="J3917" s="23"/>
      <c r="K3917" s="23"/>
      <c r="L3917" s="23"/>
      <c r="M3917" s="131"/>
      <c r="N3917" s="131"/>
      <c r="O3917" s="131"/>
    </row>
    <row r="3918" spans="4:15" x14ac:dyDescent="0.3">
      <c r="D3918" s="33"/>
      <c r="E3918" s="127"/>
      <c r="F3918" s="128"/>
      <c r="G3918" s="128"/>
      <c r="H3918" s="129"/>
      <c r="I3918" s="130"/>
      <c r="J3918" s="23"/>
      <c r="K3918" s="23"/>
      <c r="L3918" s="23"/>
      <c r="M3918" s="131"/>
      <c r="N3918" s="131"/>
      <c r="O3918" s="131"/>
    </row>
    <row r="3919" spans="4:15" x14ac:dyDescent="0.3">
      <c r="D3919" s="33"/>
      <c r="E3919" s="127"/>
      <c r="F3919" s="128"/>
      <c r="G3919" s="128"/>
      <c r="H3919" s="129"/>
      <c r="I3919" s="130"/>
      <c r="J3919" s="23"/>
      <c r="K3919" s="23"/>
      <c r="L3919" s="23"/>
      <c r="M3919" s="131"/>
      <c r="N3919" s="131"/>
      <c r="O3919" s="131"/>
    </row>
    <row r="3920" spans="4:15" x14ac:dyDescent="0.3">
      <c r="D3920" s="33"/>
      <c r="E3920" s="127"/>
      <c r="F3920" s="128"/>
      <c r="G3920" s="128"/>
      <c r="H3920" s="129"/>
      <c r="I3920" s="130"/>
      <c r="J3920" s="23"/>
      <c r="K3920" s="23"/>
      <c r="L3920" s="23"/>
      <c r="M3920" s="131"/>
      <c r="N3920" s="131"/>
      <c r="O3920" s="131"/>
    </row>
    <row r="3921" spans="4:15" x14ac:dyDescent="0.3">
      <c r="D3921" s="33"/>
      <c r="E3921" s="127"/>
      <c r="F3921" s="128"/>
      <c r="G3921" s="128"/>
      <c r="H3921" s="129"/>
      <c r="I3921" s="130"/>
      <c r="J3921" s="23"/>
      <c r="K3921" s="23"/>
      <c r="L3921" s="23"/>
      <c r="M3921" s="131"/>
      <c r="N3921" s="131"/>
      <c r="O3921" s="131"/>
    </row>
    <row r="3922" spans="4:15" x14ac:dyDescent="0.3">
      <c r="D3922" s="33"/>
      <c r="E3922" s="127"/>
      <c r="F3922" s="128"/>
      <c r="G3922" s="128"/>
      <c r="H3922" s="129"/>
      <c r="I3922" s="130"/>
      <c r="J3922" s="23"/>
      <c r="K3922" s="23"/>
      <c r="L3922" s="23"/>
      <c r="M3922" s="131"/>
      <c r="N3922" s="131"/>
      <c r="O3922" s="131"/>
    </row>
    <row r="3923" spans="4:15" x14ac:dyDescent="0.3">
      <c r="D3923" s="33"/>
      <c r="E3923" s="127"/>
      <c r="F3923" s="128"/>
      <c r="G3923" s="128"/>
      <c r="H3923" s="129"/>
      <c r="I3923" s="130"/>
      <c r="J3923" s="23"/>
      <c r="K3923" s="23"/>
      <c r="L3923" s="23"/>
      <c r="M3923" s="131"/>
      <c r="N3923" s="131"/>
      <c r="O3923" s="131"/>
    </row>
    <row r="3924" spans="4:15" x14ac:dyDescent="0.3">
      <c r="D3924" s="33"/>
      <c r="E3924" s="127"/>
      <c r="F3924" s="128"/>
      <c r="G3924" s="128"/>
      <c r="H3924" s="129"/>
      <c r="I3924" s="130"/>
      <c r="J3924" s="23"/>
      <c r="K3924" s="23"/>
      <c r="L3924" s="23"/>
      <c r="M3924" s="131"/>
      <c r="N3924" s="131"/>
      <c r="O3924" s="131"/>
    </row>
    <row r="3925" spans="4:15" x14ac:dyDescent="0.3">
      <c r="D3925" s="33"/>
      <c r="E3925" s="127"/>
      <c r="F3925" s="128"/>
      <c r="G3925" s="128"/>
      <c r="H3925" s="129"/>
      <c r="I3925" s="130"/>
      <c r="J3925" s="23"/>
      <c r="K3925" s="23"/>
      <c r="L3925" s="23"/>
      <c r="M3925" s="131"/>
      <c r="N3925" s="131"/>
      <c r="O3925" s="131"/>
    </row>
    <row r="3926" spans="4:15" x14ac:dyDescent="0.3">
      <c r="D3926" s="33"/>
      <c r="E3926" s="127"/>
      <c r="F3926" s="128"/>
      <c r="G3926" s="128"/>
      <c r="H3926" s="129"/>
      <c r="I3926" s="130"/>
      <c r="J3926" s="23"/>
      <c r="K3926" s="23"/>
      <c r="L3926" s="23"/>
      <c r="M3926" s="131"/>
      <c r="N3926" s="131"/>
      <c r="O3926" s="131"/>
    </row>
    <row r="3927" spans="4:15" x14ac:dyDescent="0.3">
      <c r="D3927" s="33"/>
      <c r="E3927" s="127"/>
      <c r="F3927" s="128"/>
      <c r="G3927" s="128"/>
      <c r="H3927" s="129"/>
      <c r="I3927" s="130"/>
      <c r="J3927" s="23"/>
      <c r="K3927" s="23"/>
      <c r="L3927" s="23"/>
      <c r="M3927" s="131"/>
      <c r="N3927" s="131"/>
      <c r="O3927" s="131"/>
    </row>
    <row r="3928" spans="4:15" x14ac:dyDescent="0.3">
      <c r="D3928" s="33"/>
      <c r="E3928" s="127"/>
      <c r="F3928" s="128"/>
      <c r="G3928" s="128"/>
      <c r="H3928" s="129"/>
      <c r="I3928" s="130"/>
      <c r="J3928" s="23"/>
      <c r="K3928" s="23"/>
      <c r="L3928" s="23"/>
      <c r="M3928" s="131"/>
      <c r="N3928" s="131"/>
      <c r="O3928" s="131"/>
    </row>
    <row r="3929" spans="4:15" x14ac:dyDescent="0.3">
      <c r="D3929" s="33"/>
      <c r="E3929" s="127"/>
      <c r="F3929" s="128"/>
      <c r="G3929" s="128"/>
      <c r="H3929" s="129"/>
      <c r="I3929" s="130"/>
      <c r="J3929" s="23"/>
      <c r="K3929" s="23"/>
      <c r="L3929" s="23"/>
      <c r="M3929" s="131"/>
      <c r="N3929" s="131"/>
      <c r="O3929" s="131"/>
    </row>
    <row r="3930" spans="4:15" x14ac:dyDescent="0.3">
      <c r="D3930" s="33"/>
      <c r="E3930" s="127"/>
      <c r="F3930" s="128"/>
      <c r="G3930" s="128"/>
      <c r="H3930" s="129"/>
      <c r="I3930" s="130"/>
      <c r="J3930" s="23"/>
      <c r="K3930" s="23"/>
      <c r="L3930" s="23"/>
      <c r="M3930" s="131"/>
      <c r="N3930" s="131"/>
      <c r="O3930" s="131"/>
    </row>
    <row r="3931" spans="4:15" x14ac:dyDescent="0.3">
      <c r="D3931" s="33"/>
      <c r="E3931" s="127"/>
      <c r="F3931" s="128"/>
      <c r="G3931" s="128"/>
      <c r="H3931" s="129"/>
      <c r="I3931" s="130"/>
      <c r="J3931" s="23"/>
      <c r="K3931" s="23"/>
      <c r="L3931" s="23"/>
      <c r="M3931" s="131"/>
      <c r="N3931" s="131"/>
      <c r="O3931" s="131"/>
    </row>
    <row r="3932" spans="4:15" x14ac:dyDescent="0.3">
      <c r="D3932" s="33"/>
      <c r="E3932" s="127"/>
      <c r="F3932" s="128"/>
      <c r="G3932" s="128"/>
      <c r="H3932" s="129"/>
      <c r="I3932" s="130"/>
      <c r="J3932" s="23"/>
      <c r="K3932" s="23"/>
      <c r="L3932" s="23"/>
      <c r="M3932" s="131"/>
      <c r="N3932" s="131"/>
      <c r="O3932" s="131"/>
    </row>
    <row r="3933" spans="4:15" x14ac:dyDescent="0.3">
      <c r="D3933" s="33"/>
      <c r="E3933" s="127"/>
      <c r="F3933" s="128"/>
      <c r="G3933" s="128"/>
      <c r="H3933" s="129"/>
      <c r="I3933" s="130"/>
      <c r="J3933" s="23"/>
      <c r="K3933" s="23"/>
      <c r="L3933" s="23"/>
      <c r="M3933" s="131"/>
      <c r="N3933" s="131"/>
      <c r="O3933" s="131"/>
    </row>
    <row r="3934" spans="4:15" x14ac:dyDescent="0.3">
      <c r="D3934" s="33"/>
      <c r="E3934" s="127"/>
      <c r="F3934" s="128"/>
      <c r="G3934" s="128"/>
      <c r="H3934" s="129"/>
      <c r="I3934" s="130"/>
      <c r="J3934" s="23"/>
      <c r="K3934" s="23"/>
      <c r="L3934" s="23"/>
      <c r="M3934" s="131"/>
      <c r="N3934" s="131"/>
      <c r="O3934" s="131"/>
    </row>
    <row r="3935" spans="4:15" x14ac:dyDescent="0.3">
      <c r="D3935" s="33"/>
      <c r="E3935" s="127"/>
      <c r="F3935" s="128"/>
      <c r="G3935" s="128"/>
      <c r="H3935" s="129"/>
      <c r="I3935" s="130"/>
      <c r="J3935" s="23"/>
      <c r="K3935" s="23"/>
      <c r="L3935" s="23"/>
      <c r="M3935" s="131"/>
      <c r="N3935" s="131"/>
      <c r="O3935" s="131"/>
    </row>
    <row r="3936" spans="4:15" x14ac:dyDescent="0.3">
      <c r="D3936" s="33"/>
      <c r="E3936" s="127"/>
      <c r="F3936" s="128"/>
      <c r="G3936" s="128"/>
      <c r="H3936" s="129"/>
      <c r="I3936" s="130"/>
      <c r="J3936" s="23"/>
      <c r="K3936" s="23"/>
      <c r="L3936" s="23"/>
      <c r="M3936" s="131"/>
      <c r="N3936" s="131"/>
      <c r="O3936" s="131"/>
    </row>
    <row r="3937" spans="4:15" x14ac:dyDescent="0.3">
      <c r="D3937" s="33"/>
      <c r="E3937" s="127"/>
      <c r="F3937" s="128"/>
      <c r="G3937" s="128"/>
      <c r="H3937" s="129"/>
      <c r="I3937" s="130"/>
      <c r="J3937" s="23"/>
      <c r="K3937" s="23"/>
      <c r="L3937" s="23"/>
      <c r="M3937" s="131"/>
      <c r="N3937" s="131"/>
      <c r="O3937" s="131"/>
    </row>
    <row r="3938" spans="4:15" x14ac:dyDescent="0.3">
      <c r="D3938" s="33"/>
      <c r="E3938" s="127"/>
      <c r="F3938" s="128"/>
      <c r="G3938" s="128"/>
      <c r="H3938" s="129"/>
      <c r="I3938" s="130"/>
      <c r="J3938" s="23"/>
      <c r="K3938" s="23"/>
      <c r="L3938" s="23"/>
      <c r="M3938" s="131"/>
      <c r="N3938" s="131"/>
      <c r="O3938" s="131"/>
    </row>
    <row r="3939" spans="4:15" x14ac:dyDescent="0.3">
      <c r="D3939" s="33"/>
      <c r="E3939" s="127"/>
      <c r="F3939" s="128"/>
      <c r="G3939" s="128"/>
      <c r="H3939" s="129"/>
      <c r="I3939" s="130"/>
      <c r="J3939" s="23"/>
      <c r="K3939" s="23"/>
      <c r="L3939" s="23"/>
      <c r="M3939" s="131"/>
      <c r="N3939" s="131"/>
      <c r="O3939" s="131"/>
    </row>
    <row r="3940" spans="4:15" x14ac:dyDescent="0.3">
      <c r="D3940" s="33"/>
      <c r="E3940" s="127"/>
      <c r="F3940" s="128"/>
      <c r="G3940" s="128"/>
      <c r="H3940" s="129"/>
      <c r="I3940" s="130"/>
      <c r="J3940" s="23"/>
      <c r="K3940" s="23"/>
      <c r="L3940" s="23"/>
      <c r="M3940" s="131"/>
      <c r="N3940" s="131"/>
      <c r="O3940" s="131"/>
    </row>
    <row r="3941" spans="4:15" x14ac:dyDescent="0.3">
      <c r="D3941" s="33"/>
      <c r="E3941" s="127"/>
      <c r="F3941" s="128"/>
      <c r="G3941" s="128"/>
      <c r="H3941" s="129"/>
      <c r="I3941" s="130"/>
      <c r="J3941" s="23"/>
      <c r="K3941" s="23"/>
      <c r="L3941" s="23"/>
      <c r="M3941" s="131"/>
      <c r="N3941" s="131"/>
      <c r="O3941" s="131"/>
    </row>
    <row r="3942" spans="4:15" x14ac:dyDescent="0.3">
      <c r="D3942" s="33"/>
      <c r="E3942" s="127"/>
      <c r="F3942" s="128"/>
      <c r="G3942" s="128"/>
      <c r="H3942" s="129"/>
      <c r="I3942" s="130"/>
      <c r="J3942" s="23"/>
      <c r="K3942" s="23"/>
      <c r="L3942" s="23"/>
      <c r="M3942" s="131"/>
      <c r="N3942" s="131"/>
      <c r="O3942" s="131"/>
    </row>
    <row r="3943" spans="4:15" x14ac:dyDescent="0.3">
      <c r="D3943" s="33"/>
      <c r="E3943" s="127"/>
      <c r="F3943" s="128"/>
      <c r="G3943" s="128"/>
      <c r="H3943" s="129"/>
      <c r="I3943" s="130"/>
      <c r="J3943" s="23"/>
      <c r="K3943" s="23"/>
      <c r="L3943" s="23"/>
      <c r="M3943" s="131"/>
      <c r="N3943" s="131"/>
      <c r="O3943" s="131"/>
    </row>
    <row r="3944" spans="4:15" x14ac:dyDescent="0.3">
      <c r="D3944" s="33"/>
      <c r="E3944" s="127"/>
      <c r="F3944" s="128"/>
      <c r="G3944" s="128"/>
      <c r="H3944" s="129"/>
      <c r="I3944" s="130"/>
      <c r="J3944" s="23"/>
      <c r="K3944" s="23"/>
      <c r="L3944" s="23"/>
      <c r="M3944" s="131"/>
      <c r="N3944" s="131"/>
      <c r="O3944" s="131"/>
    </row>
    <row r="3945" spans="4:15" x14ac:dyDescent="0.3">
      <c r="D3945" s="33"/>
      <c r="E3945" s="127"/>
      <c r="F3945" s="128"/>
      <c r="G3945" s="128"/>
      <c r="H3945" s="129"/>
      <c r="I3945" s="130"/>
      <c r="J3945" s="23"/>
      <c r="K3945" s="23"/>
      <c r="L3945" s="23"/>
      <c r="M3945" s="131"/>
      <c r="N3945" s="131"/>
      <c r="O3945" s="131"/>
    </row>
    <row r="3946" spans="4:15" x14ac:dyDescent="0.3">
      <c r="D3946" s="33"/>
      <c r="E3946" s="127"/>
      <c r="F3946" s="128"/>
      <c r="G3946" s="128"/>
      <c r="H3946" s="129"/>
      <c r="I3946" s="130"/>
      <c r="J3946" s="23"/>
      <c r="K3946" s="23"/>
      <c r="L3946" s="23"/>
      <c r="M3946" s="131"/>
      <c r="N3946" s="131"/>
      <c r="O3946" s="131"/>
    </row>
    <row r="3947" spans="4:15" x14ac:dyDescent="0.3">
      <c r="D3947" s="33"/>
      <c r="E3947" s="127"/>
      <c r="F3947" s="128"/>
      <c r="G3947" s="128"/>
      <c r="H3947" s="129"/>
      <c r="I3947" s="130"/>
      <c r="J3947" s="23"/>
      <c r="K3947" s="23"/>
      <c r="L3947" s="23"/>
      <c r="M3947" s="131"/>
      <c r="N3947" s="131"/>
      <c r="O3947" s="131"/>
    </row>
    <row r="3948" spans="4:15" x14ac:dyDescent="0.3">
      <c r="D3948" s="33"/>
      <c r="E3948" s="127"/>
      <c r="F3948" s="128"/>
      <c r="G3948" s="128"/>
      <c r="H3948" s="129"/>
      <c r="I3948" s="130"/>
      <c r="J3948" s="23"/>
      <c r="K3948" s="23"/>
      <c r="L3948" s="23"/>
      <c r="M3948" s="131"/>
      <c r="N3948" s="131"/>
      <c r="O3948" s="131"/>
    </row>
    <row r="3949" spans="4:15" x14ac:dyDescent="0.3">
      <c r="D3949" s="33"/>
      <c r="E3949" s="127"/>
      <c r="F3949" s="128"/>
      <c r="G3949" s="128"/>
      <c r="H3949" s="129"/>
      <c r="I3949" s="130"/>
      <c r="J3949" s="23"/>
      <c r="K3949" s="23"/>
      <c r="L3949" s="23"/>
      <c r="M3949" s="131"/>
      <c r="N3949" s="131"/>
      <c r="O3949" s="131"/>
    </row>
    <row r="3950" spans="4:15" x14ac:dyDescent="0.3">
      <c r="D3950" s="33"/>
      <c r="E3950" s="127"/>
      <c r="F3950" s="128"/>
      <c r="G3950" s="128"/>
      <c r="H3950" s="129"/>
      <c r="I3950" s="130"/>
      <c r="J3950" s="23"/>
      <c r="K3950" s="23"/>
      <c r="L3950" s="23"/>
      <c r="M3950" s="131"/>
      <c r="N3950" s="131"/>
      <c r="O3950" s="131"/>
    </row>
    <row r="3951" spans="4:15" x14ac:dyDescent="0.3">
      <c r="D3951" s="33"/>
      <c r="E3951" s="127"/>
      <c r="F3951" s="128"/>
      <c r="G3951" s="128"/>
      <c r="H3951" s="129"/>
      <c r="I3951" s="130"/>
      <c r="J3951" s="23"/>
      <c r="K3951" s="23"/>
      <c r="L3951" s="23"/>
      <c r="M3951" s="131"/>
      <c r="N3951" s="131"/>
      <c r="O3951" s="131"/>
    </row>
    <row r="3952" spans="4:15" x14ac:dyDescent="0.3">
      <c r="D3952" s="33"/>
      <c r="E3952" s="127"/>
      <c r="F3952" s="128"/>
      <c r="G3952" s="128"/>
      <c r="H3952" s="129"/>
      <c r="I3952" s="130"/>
      <c r="J3952" s="23"/>
      <c r="K3952" s="23"/>
      <c r="L3952" s="23"/>
      <c r="M3952" s="131"/>
      <c r="N3952" s="131"/>
      <c r="O3952" s="131"/>
    </row>
    <row r="3953" spans="4:15" x14ac:dyDescent="0.3">
      <c r="D3953" s="33"/>
      <c r="E3953" s="127"/>
      <c r="F3953" s="128"/>
      <c r="G3953" s="128"/>
      <c r="H3953" s="129"/>
      <c r="I3953" s="130"/>
      <c r="J3953" s="23"/>
      <c r="K3953" s="23"/>
      <c r="L3953" s="23"/>
      <c r="M3953" s="131"/>
      <c r="N3953" s="131"/>
      <c r="O3953" s="131"/>
    </row>
    <row r="3954" spans="4:15" x14ac:dyDescent="0.3">
      <c r="D3954" s="33"/>
      <c r="E3954" s="127"/>
      <c r="F3954" s="128"/>
      <c r="G3954" s="128"/>
      <c r="H3954" s="129"/>
      <c r="I3954" s="130"/>
      <c r="J3954" s="23"/>
      <c r="K3954" s="23"/>
      <c r="L3954" s="23"/>
      <c r="M3954" s="131"/>
      <c r="N3954" s="131"/>
      <c r="O3954" s="131"/>
    </row>
    <row r="3955" spans="4:15" x14ac:dyDescent="0.3">
      <c r="D3955" s="33"/>
      <c r="E3955" s="127"/>
      <c r="F3955" s="128"/>
      <c r="G3955" s="128"/>
      <c r="H3955" s="129"/>
      <c r="I3955" s="130"/>
      <c r="J3955" s="23"/>
      <c r="K3955" s="23"/>
      <c r="L3955" s="23"/>
      <c r="M3955" s="131"/>
      <c r="N3955" s="131"/>
      <c r="O3955" s="131"/>
    </row>
    <row r="3956" spans="4:15" x14ac:dyDescent="0.3">
      <c r="D3956" s="33"/>
      <c r="E3956" s="127"/>
      <c r="F3956" s="128"/>
      <c r="G3956" s="128"/>
      <c r="H3956" s="129"/>
      <c r="I3956" s="130"/>
      <c r="J3956" s="23"/>
      <c r="K3956" s="23"/>
      <c r="L3956" s="23"/>
      <c r="M3956" s="131"/>
      <c r="N3956" s="131"/>
      <c r="O3956" s="131"/>
    </row>
    <row r="3957" spans="4:15" x14ac:dyDescent="0.3">
      <c r="D3957" s="33"/>
      <c r="E3957" s="127"/>
      <c r="F3957" s="128"/>
      <c r="G3957" s="128"/>
      <c r="H3957" s="129"/>
      <c r="I3957" s="130"/>
      <c r="J3957" s="23"/>
      <c r="K3957" s="23"/>
      <c r="L3957" s="23"/>
      <c r="M3957" s="131"/>
      <c r="N3957" s="131"/>
      <c r="O3957" s="131"/>
    </row>
    <row r="3958" spans="4:15" x14ac:dyDescent="0.3">
      <c r="D3958" s="33"/>
      <c r="E3958" s="127"/>
      <c r="F3958" s="128"/>
      <c r="G3958" s="128"/>
      <c r="H3958" s="129"/>
      <c r="I3958" s="130"/>
      <c r="J3958" s="23"/>
      <c r="K3958" s="23"/>
      <c r="L3958" s="23"/>
      <c r="M3958" s="131"/>
      <c r="N3958" s="131"/>
      <c r="O3958" s="131"/>
    </row>
    <row r="3959" spans="4:15" x14ac:dyDescent="0.3">
      <c r="D3959" s="33"/>
      <c r="E3959" s="127"/>
      <c r="F3959" s="128"/>
      <c r="G3959" s="128"/>
      <c r="H3959" s="129"/>
      <c r="I3959" s="130"/>
      <c r="J3959" s="23"/>
      <c r="K3959" s="23"/>
      <c r="L3959" s="23"/>
      <c r="M3959" s="131"/>
      <c r="N3959" s="131"/>
      <c r="O3959" s="131"/>
    </row>
    <row r="3960" spans="4:15" x14ac:dyDescent="0.3">
      <c r="D3960" s="33"/>
      <c r="E3960" s="127"/>
      <c r="F3960" s="128"/>
      <c r="G3960" s="128"/>
      <c r="H3960" s="129"/>
      <c r="I3960" s="130"/>
      <c r="J3960" s="23"/>
      <c r="K3960" s="23"/>
      <c r="L3960" s="23"/>
      <c r="M3960" s="131"/>
      <c r="N3960" s="131"/>
      <c r="O3960" s="131"/>
    </row>
    <row r="3961" spans="4:15" x14ac:dyDescent="0.3">
      <c r="D3961" s="33"/>
      <c r="E3961" s="127"/>
      <c r="F3961" s="128"/>
      <c r="G3961" s="128"/>
      <c r="H3961" s="129"/>
      <c r="I3961" s="130"/>
      <c r="J3961" s="23"/>
      <c r="K3961" s="23"/>
      <c r="L3961" s="23"/>
      <c r="M3961" s="131"/>
      <c r="N3961" s="131"/>
      <c r="O3961" s="131"/>
    </row>
    <row r="3962" spans="4:15" x14ac:dyDescent="0.3">
      <c r="D3962" s="33"/>
      <c r="E3962" s="127"/>
      <c r="F3962" s="128"/>
      <c r="G3962" s="128"/>
      <c r="H3962" s="129"/>
      <c r="I3962" s="130"/>
      <c r="J3962" s="23"/>
      <c r="K3962" s="23"/>
      <c r="L3962" s="23"/>
      <c r="M3962" s="131"/>
      <c r="N3962" s="131"/>
      <c r="O3962" s="131"/>
    </row>
    <row r="3963" spans="4:15" x14ac:dyDescent="0.3">
      <c r="D3963" s="33"/>
      <c r="E3963" s="127"/>
      <c r="F3963" s="128"/>
      <c r="G3963" s="128"/>
      <c r="H3963" s="129"/>
      <c r="I3963" s="130"/>
      <c r="J3963" s="23"/>
      <c r="K3963" s="23"/>
      <c r="L3963" s="23"/>
      <c r="M3963" s="131"/>
      <c r="N3963" s="131"/>
      <c r="O3963" s="131"/>
    </row>
    <row r="3964" spans="4:15" x14ac:dyDescent="0.3">
      <c r="D3964" s="33"/>
      <c r="E3964" s="127"/>
      <c r="F3964" s="128"/>
      <c r="G3964" s="128"/>
      <c r="H3964" s="129"/>
      <c r="I3964" s="130"/>
      <c r="J3964" s="23"/>
      <c r="K3964" s="23"/>
      <c r="L3964" s="23"/>
      <c r="M3964" s="131"/>
      <c r="N3964" s="131"/>
      <c r="O3964" s="131"/>
    </row>
    <row r="3965" spans="4:15" x14ac:dyDescent="0.3">
      <c r="D3965" s="33"/>
      <c r="E3965" s="127"/>
      <c r="F3965" s="128"/>
      <c r="G3965" s="128"/>
      <c r="H3965" s="129"/>
      <c r="I3965" s="130"/>
      <c r="J3965" s="23"/>
      <c r="K3965" s="23"/>
      <c r="L3965" s="23"/>
      <c r="M3965" s="131"/>
      <c r="N3965" s="131"/>
      <c r="O3965" s="131"/>
    </row>
    <row r="3966" spans="4:15" x14ac:dyDescent="0.3">
      <c r="D3966" s="33"/>
      <c r="E3966" s="127"/>
      <c r="F3966" s="128"/>
      <c r="G3966" s="128"/>
      <c r="H3966" s="129"/>
      <c r="I3966" s="130"/>
      <c r="J3966" s="23"/>
      <c r="K3966" s="23"/>
      <c r="L3966" s="23"/>
      <c r="M3966" s="131"/>
      <c r="N3966" s="131"/>
      <c r="O3966" s="131"/>
    </row>
    <row r="3967" spans="4:15" x14ac:dyDescent="0.3">
      <c r="D3967" s="33"/>
      <c r="E3967" s="127"/>
      <c r="F3967" s="128"/>
      <c r="G3967" s="128"/>
      <c r="H3967" s="129"/>
      <c r="I3967" s="130"/>
      <c r="J3967" s="23"/>
      <c r="K3967" s="23"/>
      <c r="L3967" s="23"/>
      <c r="M3967" s="131"/>
      <c r="N3967" s="131"/>
      <c r="O3967" s="131"/>
    </row>
    <row r="3968" spans="4:15" x14ac:dyDescent="0.3">
      <c r="D3968" s="33"/>
      <c r="E3968" s="127"/>
      <c r="F3968" s="128"/>
      <c r="G3968" s="128"/>
      <c r="H3968" s="129"/>
      <c r="I3968" s="130"/>
      <c r="J3968" s="23"/>
      <c r="K3968" s="23"/>
      <c r="L3968" s="23"/>
      <c r="M3968" s="131"/>
      <c r="N3968" s="131"/>
      <c r="O3968" s="131"/>
    </row>
    <row r="3969" spans="4:15" x14ac:dyDescent="0.3">
      <c r="D3969" s="33"/>
      <c r="E3969" s="127"/>
      <c r="F3969" s="128"/>
      <c r="G3969" s="128"/>
      <c r="H3969" s="129"/>
      <c r="I3969" s="130"/>
      <c r="J3969" s="23"/>
      <c r="K3969" s="23"/>
      <c r="L3969" s="23"/>
      <c r="M3969" s="131"/>
      <c r="N3969" s="131"/>
      <c r="O3969" s="131"/>
    </row>
    <row r="3970" spans="4:15" x14ac:dyDescent="0.3">
      <c r="D3970" s="33"/>
      <c r="E3970" s="127"/>
      <c r="F3970" s="128"/>
      <c r="G3970" s="128"/>
      <c r="H3970" s="129"/>
      <c r="I3970" s="130"/>
      <c r="J3970" s="23"/>
      <c r="K3970" s="23"/>
      <c r="L3970" s="23"/>
      <c r="M3970" s="131"/>
      <c r="N3970" s="131"/>
      <c r="O3970" s="131"/>
    </row>
    <row r="3971" spans="4:15" x14ac:dyDescent="0.3">
      <c r="D3971" s="33"/>
      <c r="E3971" s="127"/>
      <c r="F3971" s="128"/>
      <c r="G3971" s="128"/>
      <c r="H3971" s="129"/>
      <c r="I3971" s="130"/>
      <c r="J3971" s="23"/>
      <c r="K3971" s="23"/>
      <c r="L3971" s="23"/>
      <c r="M3971" s="131"/>
      <c r="N3971" s="131"/>
      <c r="O3971" s="131"/>
    </row>
    <row r="3972" spans="4:15" x14ac:dyDescent="0.3">
      <c r="D3972" s="33"/>
      <c r="E3972" s="127"/>
      <c r="F3972" s="128"/>
      <c r="G3972" s="128"/>
      <c r="H3972" s="129"/>
      <c r="I3972" s="130"/>
      <c r="J3972" s="23"/>
      <c r="K3972" s="23"/>
      <c r="L3972" s="23"/>
      <c r="M3972" s="131"/>
      <c r="N3972" s="131"/>
      <c r="O3972" s="131"/>
    </row>
    <row r="3973" spans="4:15" x14ac:dyDescent="0.3">
      <c r="D3973" s="33"/>
      <c r="E3973" s="127"/>
      <c r="F3973" s="128"/>
      <c r="G3973" s="128"/>
      <c r="H3973" s="129"/>
      <c r="I3973" s="130"/>
      <c r="J3973" s="23"/>
      <c r="K3973" s="23"/>
      <c r="L3973" s="23"/>
      <c r="M3973" s="131"/>
      <c r="N3973" s="131"/>
      <c r="O3973" s="131"/>
    </row>
    <row r="3974" spans="4:15" x14ac:dyDescent="0.3">
      <c r="D3974" s="33"/>
      <c r="E3974" s="127"/>
      <c r="F3974" s="128"/>
      <c r="G3974" s="128"/>
      <c r="H3974" s="129"/>
      <c r="I3974" s="130"/>
      <c r="J3974" s="23"/>
      <c r="K3974" s="23"/>
      <c r="L3974" s="23"/>
      <c r="M3974" s="131"/>
      <c r="N3974" s="131"/>
      <c r="O3974" s="131"/>
    </row>
    <row r="3975" spans="4:15" x14ac:dyDescent="0.3">
      <c r="D3975" s="33"/>
      <c r="E3975" s="127"/>
      <c r="F3975" s="128"/>
      <c r="G3975" s="128"/>
      <c r="H3975" s="129"/>
      <c r="I3975" s="130"/>
      <c r="J3975" s="23"/>
      <c r="K3975" s="23"/>
      <c r="L3975" s="23"/>
      <c r="M3975" s="131"/>
      <c r="N3975" s="131"/>
      <c r="O3975" s="131"/>
    </row>
    <row r="3976" spans="4:15" x14ac:dyDescent="0.3">
      <c r="D3976" s="33"/>
      <c r="E3976" s="127"/>
      <c r="F3976" s="128"/>
      <c r="G3976" s="128"/>
      <c r="H3976" s="129"/>
      <c r="I3976" s="130"/>
      <c r="J3976" s="23"/>
      <c r="K3976" s="23"/>
      <c r="L3976" s="23"/>
      <c r="M3976" s="131"/>
      <c r="N3976" s="131"/>
      <c r="O3976" s="131"/>
    </row>
    <row r="3977" spans="4:15" x14ac:dyDescent="0.3">
      <c r="D3977" s="33"/>
      <c r="E3977" s="127"/>
      <c r="F3977" s="128"/>
      <c r="G3977" s="128"/>
      <c r="H3977" s="129"/>
      <c r="I3977" s="130"/>
      <c r="J3977" s="23"/>
      <c r="K3977" s="23"/>
      <c r="L3977" s="23"/>
      <c r="M3977" s="131"/>
      <c r="N3977" s="131"/>
      <c r="O3977" s="131"/>
    </row>
    <row r="3978" spans="4:15" x14ac:dyDescent="0.3">
      <c r="D3978" s="33"/>
      <c r="E3978" s="127"/>
      <c r="F3978" s="128"/>
      <c r="G3978" s="128"/>
      <c r="H3978" s="129"/>
      <c r="I3978" s="130"/>
      <c r="J3978" s="23"/>
      <c r="K3978" s="23"/>
      <c r="L3978" s="23"/>
      <c r="M3978" s="131"/>
      <c r="N3978" s="131"/>
      <c r="O3978" s="131"/>
    </row>
    <row r="3979" spans="4:15" x14ac:dyDescent="0.3">
      <c r="D3979" s="33"/>
      <c r="E3979" s="127"/>
      <c r="F3979" s="128"/>
      <c r="G3979" s="128"/>
      <c r="H3979" s="129"/>
      <c r="I3979" s="130"/>
      <c r="J3979" s="23"/>
      <c r="K3979" s="23"/>
      <c r="L3979" s="23"/>
      <c r="M3979" s="131"/>
      <c r="N3979" s="131"/>
      <c r="O3979" s="131"/>
    </row>
    <row r="3980" spans="4:15" x14ac:dyDescent="0.3">
      <c r="D3980" s="33"/>
      <c r="E3980" s="127"/>
      <c r="F3980" s="128"/>
      <c r="G3980" s="128"/>
      <c r="H3980" s="129"/>
      <c r="I3980" s="130"/>
      <c r="J3980" s="23"/>
      <c r="K3980" s="23"/>
      <c r="L3980" s="23"/>
      <c r="M3980" s="131"/>
      <c r="N3980" s="131"/>
      <c r="O3980" s="131"/>
    </row>
    <row r="3981" spans="4:15" x14ac:dyDescent="0.3">
      <c r="D3981" s="33"/>
      <c r="E3981" s="127"/>
      <c r="F3981" s="128"/>
      <c r="G3981" s="128"/>
      <c r="H3981" s="129"/>
      <c r="I3981" s="130"/>
      <c r="J3981" s="23"/>
      <c r="K3981" s="23"/>
      <c r="L3981" s="23"/>
      <c r="M3981" s="131"/>
      <c r="N3981" s="131"/>
      <c r="O3981" s="131"/>
    </row>
    <row r="3982" spans="4:15" x14ac:dyDescent="0.3">
      <c r="D3982" s="33"/>
      <c r="E3982" s="127"/>
      <c r="F3982" s="128"/>
      <c r="G3982" s="128"/>
      <c r="H3982" s="129"/>
      <c r="I3982" s="130"/>
      <c r="J3982" s="23"/>
      <c r="K3982" s="23"/>
      <c r="L3982" s="23"/>
      <c r="M3982" s="131"/>
      <c r="N3982" s="131"/>
      <c r="O3982" s="131"/>
    </row>
    <row r="3983" spans="4:15" x14ac:dyDescent="0.3">
      <c r="D3983" s="33"/>
      <c r="E3983" s="127"/>
      <c r="F3983" s="128"/>
      <c r="G3983" s="128"/>
      <c r="H3983" s="129"/>
      <c r="I3983" s="130"/>
      <c r="J3983" s="23"/>
      <c r="K3983" s="23"/>
      <c r="L3983" s="23"/>
      <c r="M3983" s="131"/>
      <c r="N3983" s="131"/>
      <c r="O3983" s="131"/>
    </row>
    <row r="3984" spans="4:15" x14ac:dyDescent="0.3">
      <c r="D3984" s="33"/>
      <c r="E3984" s="127"/>
      <c r="F3984" s="128"/>
      <c r="G3984" s="128"/>
      <c r="H3984" s="129"/>
      <c r="I3984" s="130"/>
      <c r="J3984" s="23"/>
      <c r="K3984" s="23"/>
      <c r="L3984" s="23"/>
      <c r="M3984" s="131"/>
      <c r="N3984" s="131"/>
      <c r="O3984" s="131"/>
    </row>
    <row r="3985" spans="4:15" x14ac:dyDescent="0.3">
      <c r="D3985" s="33"/>
      <c r="E3985" s="127"/>
      <c r="F3985" s="128"/>
      <c r="G3985" s="128"/>
      <c r="H3985" s="129"/>
      <c r="I3985" s="130"/>
      <c r="J3985" s="23"/>
      <c r="K3985" s="23"/>
      <c r="L3985" s="23"/>
      <c r="M3985" s="131"/>
      <c r="N3985" s="131"/>
      <c r="O3985" s="131"/>
    </row>
    <row r="3986" spans="4:15" x14ac:dyDescent="0.3">
      <c r="D3986" s="33"/>
      <c r="E3986" s="127"/>
      <c r="F3986" s="128"/>
      <c r="G3986" s="128"/>
      <c r="H3986" s="129"/>
      <c r="I3986" s="130"/>
      <c r="J3986" s="23"/>
      <c r="K3986" s="23"/>
      <c r="L3986" s="23"/>
      <c r="M3986" s="131"/>
      <c r="N3986" s="131"/>
      <c r="O3986" s="131"/>
    </row>
    <row r="3987" spans="4:15" x14ac:dyDescent="0.3">
      <c r="D3987" s="33"/>
      <c r="E3987" s="127"/>
      <c r="F3987" s="128"/>
      <c r="G3987" s="128"/>
      <c r="H3987" s="129"/>
      <c r="I3987" s="130"/>
      <c r="J3987" s="23"/>
      <c r="K3987" s="23"/>
      <c r="L3987" s="23"/>
      <c r="M3987" s="131"/>
      <c r="N3987" s="131"/>
      <c r="O3987" s="131"/>
    </row>
    <row r="3988" spans="4:15" x14ac:dyDescent="0.3">
      <c r="D3988" s="33"/>
      <c r="E3988" s="127"/>
      <c r="F3988" s="128"/>
      <c r="G3988" s="128"/>
      <c r="H3988" s="129"/>
      <c r="I3988" s="130"/>
      <c r="J3988" s="23"/>
      <c r="K3988" s="23"/>
      <c r="L3988" s="23"/>
      <c r="M3988" s="131"/>
      <c r="N3988" s="131"/>
      <c r="O3988" s="131"/>
    </row>
    <row r="3989" spans="4:15" x14ac:dyDescent="0.3">
      <c r="D3989" s="33"/>
      <c r="E3989" s="127"/>
      <c r="F3989" s="128"/>
      <c r="G3989" s="128"/>
      <c r="H3989" s="129"/>
      <c r="I3989" s="130"/>
      <c r="J3989" s="23"/>
      <c r="K3989" s="23"/>
      <c r="L3989" s="23"/>
      <c r="M3989" s="131"/>
      <c r="N3989" s="131"/>
      <c r="O3989" s="131"/>
    </row>
    <row r="3990" spans="4:15" x14ac:dyDescent="0.3">
      <c r="D3990" s="33"/>
      <c r="E3990" s="127"/>
      <c r="F3990" s="128"/>
      <c r="G3990" s="128"/>
      <c r="H3990" s="129"/>
      <c r="I3990" s="130"/>
      <c r="J3990" s="23"/>
      <c r="K3990" s="23"/>
      <c r="L3990" s="23"/>
      <c r="M3990" s="131"/>
      <c r="N3990" s="131"/>
      <c r="O3990" s="131"/>
    </row>
    <row r="3991" spans="4:15" x14ac:dyDescent="0.3">
      <c r="D3991" s="33"/>
      <c r="E3991" s="127"/>
      <c r="F3991" s="128"/>
      <c r="G3991" s="128"/>
      <c r="H3991" s="129"/>
      <c r="I3991" s="130"/>
      <c r="J3991" s="23"/>
      <c r="K3991" s="23"/>
      <c r="L3991" s="23"/>
      <c r="M3991" s="131"/>
      <c r="N3991" s="131"/>
      <c r="O3991" s="131"/>
    </row>
    <row r="3992" spans="4:15" x14ac:dyDescent="0.3">
      <c r="D3992" s="33"/>
      <c r="E3992" s="127"/>
      <c r="F3992" s="128"/>
      <c r="G3992" s="128"/>
      <c r="H3992" s="129"/>
      <c r="I3992" s="130"/>
      <c r="J3992" s="23"/>
      <c r="K3992" s="23"/>
      <c r="L3992" s="23"/>
      <c r="M3992" s="131"/>
      <c r="N3992" s="131"/>
      <c r="O3992" s="131"/>
    </row>
    <row r="3993" spans="4:15" x14ac:dyDescent="0.3">
      <c r="D3993" s="33"/>
      <c r="E3993" s="127"/>
      <c r="F3993" s="128"/>
      <c r="G3993" s="128"/>
      <c r="H3993" s="129"/>
      <c r="I3993" s="130"/>
      <c r="J3993" s="23"/>
      <c r="K3993" s="23"/>
      <c r="L3993" s="23"/>
      <c r="M3993" s="131"/>
      <c r="N3993" s="131"/>
      <c r="O3993" s="131"/>
    </row>
    <row r="3994" spans="4:15" x14ac:dyDescent="0.3">
      <c r="D3994" s="33"/>
      <c r="E3994" s="127"/>
      <c r="F3994" s="128"/>
      <c r="G3994" s="128"/>
      <c r="H3994" s="129"/>
      <c r="I3994" s="130"/>
      <c r="J3994" s="23"/>
      <c r="K3994" s="23"/>
      <c r="L3994" s="23"/>
      <c r="M3994" s="131"/>
      <c r="N3994" s="131"/>
      <c r="O3994" s="131"/>
    </row>
    <row r="3995" spans="4:15" x14ac:dyDescent="0.3">
      <c r="D3995" s="33"/>
      <c r="E3995" s="127"/>
      <c r="F3995" s="128"/>
      <c r="G3995" s="128"/>
      <c r="H3995" s="129"/>
      <c r="I3995" s="130"/>
      <c r="J3995" s="23"/>
      <c r="K3995" s="23"/>
      <c r="L3995" s="23"/>
      <c r="M3995" s="131"/>
      <c r="N3995" s="131"/>
      <c r="O3995" s="131"/>
    </row>
    <row r="3996" spans="4:15" x14ac:dyDescent="0.3">
      <c r="D3996" s="33"/>
      <c r="E3996" s="127"/>
      <c r="F3996" s="128"/>
      <c r="G3996" s="128"/>
      <c r="H3996" s="129"/>
      <c r="I3996" s="130"/>
      <c r="J3996" s="23"/>
      <c r="K3996" s="23"/>
      <c r="L3996" s="23"/>
      <c r="M3996" s="131"/>
      <c r="N3996" s="131"/>
      <c r="O3996" s="131"/>
    </row>
    <row r="3997" spans="4:15" x14ac:dyDescent="0.3">
      <c r="D3997" s="33"/>
      <c r="E3997" s="127"/>
      <c r="F3997" s="128"/>
      <c r="G3997" s="128"/>
      <c r="H3997" s="129"/>
      <c r="I3997" s="130"/>
      <c r="J3997" s="23"/>
      <c r="K3997" s="23"/>
      <c r="L3997" s="23"/>
      <c r="M3997" s="131"/>
      <c r="N3997" s="131"/>
      <c r="O3997" s="131"/>
    </row>
    <row r="3998" spans="4:15" x14ac:dyDescent="0.3">
      <c r="D3998" s="33"/>
      <c r="E3998" s="127"/>
      <c r="F3998" s="128"/>
      <c r="G3998" s="128"/>
      <c r="H3998" s="129"/>
      <c r="I3998" s="130"/>
      <c r="J3998" s="23"/>
      <c r="K3998" s="23"/>
      <c r="L3998" s="23"/>
      <c r="M3998" s="131"/>
      <c r="N3998" s="131"/>
      <c r="O3998" s="131"/>
    </row>
    <row r="3999" spans="4:15" x14ac:dyDescent="0.3">
      <c r="D3999" s="33"/>
      <c r="E3999" s="127"/>
      <c r="F3999" s="128"/>
      <c r="G3999" s="128"/>
      <c r="H3999" s="129"/>
      <c r="I3999" s="130"/>
      <c r="J3999" s="23"/>
      <c r="K3999" s="23"/>
      <c r="L3999" s="23"/>
      <c r="M3999" s="131"/>
      <c r="N3999" s="131"/>
      <c r="O3999" s="131"/>
    </row>
    <row r="4000" spans="4:15" x14ac:dyDescent="0.3">
      <c r="D4000" s="33"/>
      <c r="E4000" s="127"/>
      <c r="F4000" s="128"/>
      <c r="G4000" s="128"/>
      <c r="H4000" s="129"/>
      <c r="I4000" s="130"/>
      <c r="J4000" s="23"/>
      <c r="K4000" s="23"/>
      <c r="L4000" s="23"/>
      <c r="M4000" s="131"/>
      <c r="N4000" s="131"/>
      <c r="O4000" s="131"/>
    </row>
    <row r="4001" spans="4:15" x14ac:dyDescent="0.3">
      <c r="D4001" s="33"/>
      <c r="E4001" s="127"/>
      <c r="F4001" s="128"/>
      <c r="G4001" s="128"/>
      <c r="H4001" s="129"/>
      <c r="I4001" s="130"/>
      <c r="J4001" s="23"/>
      <c r="K4001" s="23"/>
      <c r="L4001" s="23"/>
      <c r="M4001" s="131"/>
      <c r="N4001" s="131"/>
      <c r="O4001" s="131"/>
    </row>
    <row r="4002" spans="4:15" x14ac:dyDescent="0.3">
      <c r="D4002" s="33"/>
      <c r="E4002" s="127"/>
      <c r="F4002" s="128"/>
      <c r="G4002" s="128"/>
      <c r="H4002" s="129"/>
      <c r="I4002" s="130"/>
      <c r="J4002" s="23"/>
      <c r="K4002" s="23"/>
      <c r="L4002" s="23"/>
      <c r="M4002" s="131"/>
      <c r="N4002" s="131"/>
      <c r="O4002" s="131"/>
    </row>
    <row r="4003" spans="4:15" x14ac:dyDescent="0.3">
      <c r="D4003" s="33"/>
      <c r="E4003" s="127"/>
      <c r="F4003" s="128"/>
      <c r="G4003" s="128"/>
      <c r="H4003" s="129"/>
      <c r="I4003" s="130"/>
      <c r="J4003" s="23"/>
      <c r="K4003" s="23"/>
      <c r="L4003" s="23"/>
      <c r="M4003" s="131"/>
      <c r="N4003" s="131"/>
      <c r="O4003" s="131"/>
    </row>
    <row r="4004" spans="4:15" x14ac:dyDescent="0.3">
      <c r="D4004" s="33"/>
      <c r="E4004" s="127"/>
      <c r="F4004" s="128"/>
      <c r="G4004" s="128"/>
      <c r="H4004" s="129"/>
      <c r="I4004" s="130"/>
      <c r="J4004" s="23"/>
      <c r="K4004" s="23"/>
      <c r="L4004" s="23"/>
      <c r="M4004" s="131"/>
      <c r="N4004" s="131"/>
      <c r="O4004" s="131"/>
    </row>
    <row r="4005" spans="4:15" x14ac:dyDescent="0.3">
      <c r="D4005" s="33"/>
      <c r="E4005" s="127"/>
      <c r="F4005" s="128"/>
      <c r="G4005" s="128"/>
      <c r="H4005" s="129"/>
      <c r="I4005" s="130"/>
      <c r="J4005" s="23"/>
      <c r="K4005" s="23"/>
      <c r="L4005" s="23"/>
      <c r="M4005" s="131"/>
      <c r="N4005" s="131"/>
      <c r="O4005" s="131"/>
    </row>
    <row r="4006" spans="4:15" x14ac:dyDescent="0.3">
      <c r="D4006" s="33"/>
      <c r="E4006" s="127"/>
      <c r="F4006" s="128"/>
      <c r="G4006" s="128"/>
      <c r="H4006" s="129"/>
      <c r="I4006" s="130"/>
      <c r="J4006" s="23"/>
      <c r="K4006" s="23"/>
      <c r="L4006" s="23"/>
      <c r="M4006" s="131"/>
      <c r="N4006" s="131"/>
      <c r="O4006" s="131"/>
    </row>
    <row r="4007" spans="4:15" x14ac:dyDescent="0.3">
      <c r="D4007" s="33"/>
      <c r="E4007" s="127"/>
      <c r="F4007" s="128"/>
      <c r="G4007" s="128"/>
      <c r="H4007" s="129"/>
      <c r="I4007" s="130"/>
      <c r="J4007" s="23"/>
      <c r="K4007" s="23"/>
      <c r="L4007" s="23"/>
      <c r="M4007" s="131"/>
      <c r="N4007" s="131"/>
      <c r="O4007" s="131"/>
    </row>
    <row r="4008" spans="4:15" x14ac:dyDescent="0.3">
      <c r="D4008" s="33"/>
      <c r="E4008" s="127"/>
      <c r="F4008" s="128"/>
      <c r="G4008" s="128"/>
      <c r="H4008" s="129"/>
      <c r="I4008" s="130"/>
      <c r="J4008" s="23"/>
      <c r="K4008" s="23"/>
      <c r="L4008" s="23"/>
      <c r="M4008" s="131"/>
      <c r="N4008" s="131"/>
      <c r="O4008" s="131"/>
    </row>
    <row r="4009" spans="4:15" x14ac:dyDescent="0.3">
      <c r="D4009" s="33"/>
      <c r="E4009" s="127"/>
      <c r="F4009" s="128"/>
      <c r="G4009" s="128"/>
      <c r="H4009" s="129"/>
      <c r="I4009" s="130"/>
      <c r="J4009" s="23"/>
      <c r="K4009" s="23"/>
      <c r="L4009" s="23"/>
      <c r="M4009" s="131"/>
      <c r="N4009" s="131"/>
      <c r="O4009" s="131"/>
    </row>
    <row r="4010" spans="4:15" x14ac:dyDescent="0.3">
      <c r="D4010" s="33"/>
      <c r="E4010" s="127"/>
      <c r="F4010" s="128"/>
      <c r="G4010" s="128"/>
      <c r="H4010" s="129"/>
      <c r="I4010" s="130"/>
      <c r="J4010" s="23"/>
      <c r="K4010" s="23"/>
      <c r="L4010" s="23"/>
      <c r="M4010" s="131"/>
      <c r="N4010" s="131"/>
      <c r="O4010" s="131"/>
    </row>
    <row r="4011" spans="4:15" x14ac:dyDescent="0.3">
      <c r="D4011" s="33"/>
      <c r="E4011" s="127"/>
      <c r="F4011" s="128"/>
      <c r="G4011" s="128"/>
      <c r="H4011" s="129"/>
      <c r="I4011" s="130"/>
      <c r="J4011" s="23"/>
      <c r="K4011" s="23"/>
      <c r="L4011" s="23"/>
      <c r="M4011" s="131"/>
      <c r="N4011" s="131"/>
      <c r="O4011" s="131"/>
    </row>
    <row r="4012" spans="4:15" x14ac:dyDescent="0.3">
      <c r="D4012" s="33"/>
      <c r="E4012" s="127"/>
      <c r="F4012" s="128"/>
      <c r="G4012" s="128"/>
      <c r="H4012" s="129"/>
      <c r="I4012" s="130"/>
      <c r="J4012" s="23"/>
      <c r="K4012" s="23"/>
      <c r="L4012" s="23"/>
      <c r="M4012" s="131"/>
      <c r="N4012" s="131"/>
      <c r="O4012" s="131"/>
    </row>
    <row r="4013" spans="4:15" x14ac:dyDescent="0.3">
      <c r="D4013" s="33"/>
      <c r="E4013" s="127"/>
      <c r="F4013" s="128"/>
      <c r="G4013" s="128"/>
      <c r="H4013" s="129"/>
      <c r="I4013" s="130"/>
      <c r="J4013" s="23"/>
      <c r="K4013" s="23"/>
      <c r="L4013" s="23"/>
      <c r="M4013" s="131"/>
      <c r="N4013" s="131"/>
      <c r="O4013" s="131"/>
    </row>
    <row r="4014" spans="4:15" x14ac:dyDescent="0.3">
      <c r="D4014" s="33"/>
      <c r="E4014" s="127"/>
      <c r="F4014" s="128"/>
      <c r="G4014" s="128"/>
      <c r="H4014" s="129"/>
      <c r="I4014" s="130"/>
      <c r="J4014" s="23"/>
      <c r="K4014" s="23"/>
      <c r="L4014" s="23"/>
      <c r="M4014" s="131"/>
      <c r="N4014" s="131"/>
      <c r="O4014" s="131"/>
    </row>
    <row r="4015" spans="4:15" x14ac:dyDescent="0.3">
      <c r="D4015" s="33"/>
      <c r="E4015" s="127"/>
      <c r="F4015" s="128"/>
      <c r="G4015" s="128"/>
      <c r="H4015" s="129"/>
      <c r="I4015" s="130"/>
      <c r="J4015" s="23"/>
      <c r="K4015" s="23"/>
      <c r="L4015" s="23"/>
      <c r="M4015" s="131"/>
      <c r="N4015" s="131"/>
      <c r="O4015" s="131"/>
    </row>
    <row r="4016" spans="4:15" x14ac:dyDescent="0.3">
      <c r="D4016" s="33"/>
      <c r="E4016" s="127"/>
      <c r="F4016" s="128"/>
      <c r="G4016" s="128"/>
      <c r="H4016" s="129"/>
      <c r="I4016" s="130"/>
      <c r="J4016" s="23"/>
      <c r="K4016" s="23"/>
      <c r="L4016" s="23"/>
      <c r="M4016" s="131"/>
      <c r="N4016" s="131"/>
      <c r="O4016" s="131"/>
    </row>
    <row r="4017" spans="4:15" x14ac:dyDescent="0.3">
      <c r="D4017" s="33"/>
      <c r="E4017" s="127"/>
      <c r="F4017" s="128"/>
      <c r="G4017" s="128"/>
      <c r="H4017" s="129"/>
      <c r="I4017" s="130"/>
      <c r="J4017" s="23"/>
      <c r="K4017" s="23"/>
      <c r="L4017" s="23"/>
      <c r="M4017" s="131"/>
      <c r="N4017" s="131"/>
      <c r="O4017" s="131"/>
    </row>
    <row r="4018" spans="4:15" x14ac:dyDescent="0.3">
      <c r="D4018" s="33"/>
      <c r="E4018" s="127"/>
      <c r="F4018" s="128"/>
      <c r="G4018" s="128"/>
      <c r="H4018" s="129"/>
      <c r="I4018" s="130"/>
      <c r="J4018" s="23"/>
      <c r="K4018" s="23"/>
      <c r="L4018" s="23"/>
      <c r="M4018" s="131"/>
      <c r="N4018" s="131"/>
      <c r="O4018" s="131"/>
    </row>
    <row r="4019" spans="4:15" x14ac:dyDescent="0.3">
      <c r="D4019" s="33"/>
      <c r="E4019" s="127"/>
      <c r="F4019" s="128"/>
      <c r="G4019" s="128"/>
      <c r="H4019" s="129"/>
      <c r="I4019" s="130"/>
      <c r="J4019" s="23"/>
      <c r="K4019" s="23"/>
      <c r="L4019" s="23"/>
      <c r="M4019" s="131"/>
      <c r="N4019" s="131"/>
      <c r="O4019" s="131"/>
    </row>
    <row r="4020" spans="4:15" x14ac:dyDescent="0.3">
      <c r="D4020" s="33"/>
      <c r="E4020" s="127"/>
      <c r="F4020" s="128"/>
      <c r="G4020" s="128"/>
      <c r="H4020" s="129"/>
      <c r="I4020" s="130"/>
      <c r="J4020" s="23"/>
      <c r="K4020" s="23"/>
      <c r="L4020" s="23"/>
      <c r="M4020" s="131"/>
      <c r="N4020" s="131"/>
      <c r="O4020" s="131"/>
    </row>
    <row r="4021" spans="4:15" x14ac:dyDescent="0.3">
      <c r="D4021" s="33"/>
      <c r="E4021" s="127"/>
      <c r="F4021" s="128"/>
      <c r="G4021" s="128"/>
      <c r="H4021" s="129"/>
      <c r="I4021" s="130"/>
      <c r="J4021" s="23"/>
      <c r="K4021" s="23"/>
      <c r="L4021" s="23"/>
      <c r="M4021" s="131"/>
      <c r="N4021" s="131"/>
      <c r="O4021" s="131"/>
    </row>
    <row r="4022" spans="4:15" x14ac:dyDescent="0.3">
      <c r="D4022" s="33"/>
      <c r="E4022" s="127"/>
      <c r="F4022" s="128"/>
      <c r="G4022" s="128"/>
      <c r="H4022" s="129"/>
      <c r="I4022" s="130"/>
      <c r="J4022" s="23"/>
      <c r="K4022" s="23"/>
      <c r="L4022" s="23"/>
      <c r="M4022" s="131"/>
      <c r="N4022" s="131"/>
      <c r="O4022" s="131"/>
    </row>
    <row r="4023" spans="4:15" x14ac:dyDescent="0.3">
      <c r="D4023" s="33"/>
      <c r="E4023" s="127"/>
      <c r="F4023" s="128"/>
      <c r="G4023" s="128"/>
      <c r="H4023" s="129"/>
      <c r="I4023" s="130"/>
      <c r="J4023" s="23"/>
      <c r="K4023" s="23"/>
      <c r="L4023" s="23"/>
      <c r="M4023" s="131"/>
      <c r="N4023" s="131"/>
      <c r="O4023" s="131"/>
    </row>
    <row r="4024" spans="4:15" x14ac:dyDescent="0.3">
      <c r="D4024" s="33"/>
      <c r="E4024" s="127"/>
      <c r="F4024" s="128"/>
      <c r="G4024" s="128"/>
      <c r="H4024" s="129"/>
      <c r="I4024" s="130"/>
      <c r="J4024" s="23"/>
      <c r="K4024" s="23"/>
      <c r="L4024" s="23"/>
      <c r="M4024" s="131"/>
      <c r="N4024" s="131"/>
      <c r="O4024" s="131"/>
    </row>
    <row r="4025" spans="4:15" x14ac:dyDescent="0.3">
      <c r="D4025" s="33"/>
      <c r="E4025" s="127"/>
      <c r="F4025" s="128"/>
      <c r="G4025" s="128"/>
      <c r="H4025" s="129"/>
      <c r="I4025" s="130"/>
      <c r="J4025" s="23"/>
      <c r="K4025" s="23"/>
      <c r="L4025" s="23"/>
      <c r="M4025" s="131"/>
      <c r="N4025" s="131"/>
      <c r="O4025" s="131"/>
    </row>
    <row r="4026" spans="4:15" x14ac:dyDescent="0.3">
      <c r="D4026" s="33"/>
      <c r="E4026" s="127"/>
      <c r="F4026" s="128"/>
      <c r="G4026" s="128"/>
      <c r="H4026" s="129"/>
      <c r="I4026" s="130"/>
      <c r="J4026" s="23"/>
      <c r="K4026" s="23"/>
      <c r="L4026" s="23"/>
      <c r="M4026" s="131"/>
      <c r="N4026" s="131"/>
      <c r="O4026" s="131"/>
    </row>
    <row r="4027" spans="4:15" x14ac:dyDescent="0.3">
      <c r="D4027" s="33"/>
      <c r="E4027" s="127"/>
      <c r="F4027" s="128"/>
      <c r="G4027" s="128"/>
      <c r="H4027" s="129"/>
      <c r="I4027" s="130"/>
      <c r="J4027" s="23"/>
      <c r="K4027" s="23"/>
      <c r="L4027" s="23"/>
      <c r="M4027" s="131"/>
      <c r="N4027" s="131"/>
      <c r="O4027" s="131"/>
    </row>
    <row r="4028" spans="4:15" x14ac:dyDescent="0.3">
      <c r="D4028" s="33"/>
      <c r="E4028" s="127"/>
      <c r="F4028" s="128"/>
      <c r="G4028" s="128"/>
      <c r="H4028" s="129"/>
      <c r="I4028" s="130"/>
      <c r="J4028" s="23"/>
      <c r="K4028" s="23"/>
      <c r="L4028" s="23"/>
      <c r="M4028" s="131"/>
      <c r="N4028" s="131"/>
      <c r="O4028" s="131"/>
    </row>
    <row r="4029" spans="4:15" x14ac:dyDescent="0.3">
      <c r="D4029" s="33"/>
      <c r="E4029" s="127"/>
      <c r="F4029" s="128"/>
      <c r="G4029" s="128"/>
      <c r="H4029" s="129"/>
      <c r="I4029" s="130"/>
      <c r="J4029" s="23"/>
      <c r="K4029" s="23"/>
      <c r="L4029" s="23"/>
      <c r="M4029" s="131"/>
      <c r="N4029" s="131"/>
      <c r="O4029" s="131"/>
    </row>
    <row r="4030" spans="4:15" x14ac:dyDescent="0.3">
      <c r="D4030" s="33"/>
      <c r="E4030" s="127"/>
      <c r="F4030" s="128"/>
      <c r="G4030" s="128"/>
      <c r="H4030" s="129"/>
      <c r="I4030" s="130"/>
      <c r="J4030" s="23"/>
      <c r="K4030" s="23"/>
      <c r="L4030" s="23"/>
      <c r="M4030" s="131"/>
      <c r="N4030" s="131"/>
      <c r="O4030" s="131"/>
    </row>
    <row r="4031" spans="4:15" x14ac:dyDescent="0.3">
      <c r="D4031" s="33"/>
      <c r="E4031" s="127"/>
      <c r="F4031" s="128"/>
      <c r="G4031" s="128"/>
      <c r="H4031" s="129"/>
      <c r="I4031" s="130"/>
      <c r="J4031" s="23"/>
      <c r="K4031" s="23"/>
      <c r="L4031" s="23"/>
      <c r="M4031" s="131"/>
      <c r="N4031" s="131"/>
      <c r="O4031" s="131"/>
    </row>
    <row r="4032" spans="4:15" x14ac:dyDescent="0.3">
      <c r="D4032" s="33"/>
      <c r="E4032" s="127"/>
      <c r="F4032" s="128"/>
      <c r="G4032" s="128"/>
      <c r="H4032" s="129"/>
      <c r="I4032" s="130"/>
      <c r="J4032" s="23"/>
      <c r="K4032" s="23"/>
      <c r="L4032" s="23"/>
      <c r="M4032" s="131"/>
      <c r="N4032" s="131"/>
      <c r="O4032" s="131"/>
    </row>
    <row r="4033" spans="4:15" x14ac:dyDescent="0.3">
      <c r="D4033" s="33"/>
      <c r="E4033" s="127"/>
      <c r="F4033" s="128"/>
      <c r="G4033" s="128"/>
      <c r="H4033" s="129"/>
      <c r="I4033" s="130"/>
      <c r="J4033" s="23"/>
      <c r="K4033" s="23"/>
      <c r="L4033" s="23"/>
      <c r="M4033" s="131"/>
      <c r="N4033" s="131"/>
      <c r="O4033" s="131"/>
    </row>
    <row r="4034" spans="4:15" x14ac:dyDescent="0.3">
      <c r="D4034" s="33"/>
      <c r="E4034" s="127"/>
      <c r="F4034" s="128"/>
      <c r="G4034" s="128"/>
      <c r="H4034" s="129"/>
      <c r="I4034" s="130"/>
      <c r="J4034" s="23"/>
      <c r="K4034" s="23"/>
      <c r="L4034" s="23"/>
      <c r="M4034" s="131"/>
      <c r="N4034" s="131"/>
      <c r="O4034" s="131"/>
    </row>
    <row r="4035" spans="4:15" x14ac:dyDescent="0.3">
      <c r="D4035" s="33"/>
      <c r="E4035" s="127"/>
      <c r="F4035" s="128"/>
      <c r="G4035" s="128"/>
      <c r="H4035" s="129"/>
      <c r="I4035" s="130"/>
      <c r="J4035" s="23"/>
      <c r="K4035" s="23"/>
      <c r="L4035" s="23"/>
      <c r="M4035" s="131"/>
      <c r="N4035" s="131"/>
      <c r="O4035" s="131"/>
    </row>
    <row r="4036" spans="4:15" x14ac:dyDescent="0.3">
      <c r="D4036" s="33"/>
      <c r="E4036" s="127"/>
      <c r="F4036" s="128"/>
      <c r="G4036" s="128"/>
      <c r="H4036" s="129"/>
      <c r="I4036" s="130"/>
      <c r="J4036" s="23"/>
      <c r="K4036" s="23"/>
      <c r="L4036" s="23"/>
      <c r="M4036" s="131"/>
      <c r="N4036" s="131"/>
      <c r="O4036" s="131"/>
    </row>
    <row r="4037" spans="4:15" x14ac:dyDescent="0.3">
      <c r="D4037" s="33"/>
      <c r="E4037" s="127"/>
      <c r="F4037" s="128"/>
      <c r="G4037" s="128"/>
      <c r="H4037" s="129"/>
      <c r="I4037" s="130"/>
      <c r="J4037" s="23"/>
      <c r="K4037" s="23"/>
      <c r="L4037" s="23"/>
      <c r="M4037" s="131"/>
      <c r="N4037" s="131"/>
      <c r="O4037" s="131"/>
    </row>
    <row r="4038" spans="4:15" x14ac:dyDescent="0.3">
      <c r="D4038" s="33"/>
      <c r="E4038" s="127"/>
      <c r="F4038" s="128"/>
      <c r="G4038" s="128"/>
      <c r="H4038" s="129"/>
      <c r="I4038" s="130"/>
      <c r="J4038" s="23"/>
      <c r="K4038" s="23"/>
      <c r="L4038" s="23"/>
      <c r="M4038" s="131"/>
      <c r="N4038" s="131"/>
      <c r="O4038" s="131"/>
    </row>
    <row r="4039" spans="4:15" x14ac:dyDescent="0.3">
      <c r="D4039" s="33"/>
      <c r="E4039" s="127"/>
      <c r="F4039" s="128"/>
      <c r="G4039" s="128"/>
      <c r="H4039" s="129"/>
      <c r="I4039" s="130"/>
      <c r="J4039" s="23"/>
      <c r="K4039" s="23"/>
      <c r="L4039" s="23"/>
      <c r="M4039" s="131"/>
      <c r="N4039" s="131"/>
      <c r="O4039" s="131"/>
    </row>
    <row r="4040" spans="4:15" x14ac:dyDescent="0.3">
      <c r="D4040" s="33"/>
      <c r="E4040" s="127"/>
      <c r="F4040" s="128"/>
      <c r="G4040" s="128"/>
      <c r="H4040" s="129"/>
      <c r="I4040" s="130"/>
      <c r="J4040" s="23"/>
      <c r="K4040" s="23"/>
      <c r="L4040" s="23"/>
      <c r="M4040" s="131"/>
      <c r="N4040" s="131"/>
      <c r="O4040" s="131"/>
    </row>
    <row r="4041" spans="4:15" x14ac:dyDescent="0.3">
      <c r="D4041" s="33"/>
      <c r="E4041" s="127"/>
      <c r="F4041" s="128"/>
      <c r="G4041" s="128"/>
      <c r="H4041" s="129"/>
      <c r="I4041" s="130"/>
      <c r="J4041" s="23"/>
      <c r="K4041" s="23"/>
      <c r="L4041" s="23"/>
      <c r="M4041" s="131"/>
      <c r="N4041" s="131"/>
      <c r="O4041" s="131"/>
    </row>
    <row r="4042" spans="4:15" x14ac:dyDescent="0.3">
      <c r="D4042" s="33"/>
      <c r="E4042" s="127"/>
      <c r="F4042" s="128"/>
      <c r="G4042" s="128"/>
      <c r="H4042" s="129"/>
      <c r="I4042" s="130"/>
      <c r="J4042" s="23"/>
      <c r="K4042" s="23"/>
      <c r="L4042" s="23"/>
      <c r="M4042" s="131"/>
      <c r="N4042" s="131"/>
      <c r="O4042" s="131"/>
    </row>
    <row r="4043" spans="4:15" x14ac:dyDescent="0.3">
      <c r="D4043" s="33"/>
      <c r="E4043" s="127"/>
      <c r="F4043" s="128"/>
      <c r="G4043" s="128"/>
      <c r="H4043" s="129"/>
      <c r="I4043" s="130"/>
      <c r="J4043" s="23"/>
      <c r="K4043" s="23"/>
      <c r="L4043" s="23"/>
      <c r="M4043" s="131"/>
      <c r="N4043" s="131"/>
      <c r="O4043" s="131"/>
    </row>
    <row r="4044" spans="4:15" x14ac:dyDescent="0.3">
      <c r="D4044" s="33"/>
      <c r="E4044" s="127"/>
      <c r="F4044" s="128"/>
      <c r="G4044" s="128"/>
      <c r="H4044" s="129"/>
      <c r="I4044" s="130"/>
      <c r="J4044" s="23"/>
      <c r="K4044" s="23"/>
      <c r="L4044" s="23"/>
      <c r="M4044" s="131"/>
      <c r="N4044" s="131"/>
      <c r="O4044" s="131"/>
    </row>
    <row r="4045" spans="4:15" x14ac:dyDescent="0.3">
      <c r="D4045" s="33"/>
      <c r="E4045" s="127"/>
      <c r="F4045" s="128"/>
      <c r="G4045" s="128"/>
      <c r="H4045" s="129"/>
      <c r="I4045" s="130"/>
      <c r="J4045" s="23"/>
      <c r="K4045" s="23"/>
      <c r="L4045" s="23"/>
      <c r="M4045" s="131"/>
      <c r="N4045" s="131"/>
      <c r="O4045" s="131"/>
    </row>
    <row r="4046" spans="4:15" x14ac:dyDescent="0.3">
      <c r="D4046" s="33"/>
      <c r="E4046" s="127"/>
      <c r="F4046" s="128"/>
      <c r="G4046" s="128"/>
      <c r="H4046" s="129"/>
      <c r="I4046" s="130"/>
      <c r="J4046" s="23"/>
      <c r="K4046" s="23"/>
      <c r="L4046" s="23"/>
      <c r="M4046" s="131"/>
      <c r="N4046" s="131"/>
      <c r="O4046" s="131"/>
    </row>
    <row r="4047" spans="4:15" x14ac:dyDescent="0.3">
      <c r="D4047" s="33"/>
      <c r="E4047" s="127"/>
      <c r="F4047" s="128"/>
      <c r="G4047" s="128"/>
      <c r="H4047" s="129"/>
      <c r="I4047" s="130"/>
      <c r="J4047" s="23"/>
      <c r="K4047" s="23"/>
      <c r="L4047" s="23"/>
      <c r="M4047" s="131"/>
      <c r="N4047" s="131"/>
      <c r="O4047" s="131"/>
    </row>
    <row r="4048" spans="4:15" x14ac:dyDescent="0.3">
      <c r="D4048" s="33"/>
      <c r="E4048" s="127"/>
      <c r="F4048" s="128"/>
      <c r="G4048" s="128"/>
      <c r="H4048" s="129"/>
      <c r="I4048" s="130"/>
      <c r="J4048" s="23"/>
      <c r="K4048" s="23"/>
      <c r="L4048" s="23"/>
      <c r="M4048" s="131"/>
      <c r="N4048" s="131"/>
      <c r="O4048" s="131"/>
    </row>
    <row r="4049" spans="4:15" x14ac:dyDescent="0.3">
      <c r="D4049" s="33"/>
      <c r="E4049" s="127"/>
      <c r="F4049" s="128"/>
      <c r="G4049" s="128"/>
      <c r="H4049" s="129"/>
      <c r="I4049" s="130"/>
      <c r="J4049" s="23"/>
      <c r="K4049" s="23"/>
      <c r="L4049" s="23"/>
      <c r="M4049" s="131"/>
      <c r="N4049" s="131"/>
      <c r="O4049" s="131"/>
    </row>
    <row r="4050" spans="4:15" x14ac:dyDescent="0.3">
      <c r="D4050" s="33"/>
      <c r="E4050" s="127"/>
      <c r="F4050" s="128"/>
      <c r="G4050" s="128"/>
      <c r="H4050" s="129"/>
      <c r="I4050" s="130"/>
      <c r="J4050" s="23"/>
      <c r="K4050" s="23"/>
      <c r="L4050" s="23"/>
      <c r="M4050" s="131"/>
      <c r="N4050" s="131"/>
      <c r="O4050" s="131"/>
    </row>
    <row r="4051" spans="4:15" x14ac:dyDescent="0.3">
      <c r="D4051" s="33"/>
      <c r="E4051" s="127"/>
      <c r="F4051" s="128"/>
      <c r="G4051" s="128"/>
      <c r="H4051" s="129"/>
      <c r="I4051" s="130"/>
      <c r="J4051" s="23"/>
      <c r="K4051" s="23"/>
      <c r="L4051" s="23"/>
      <c r="M4051" s="131"/>
      <c r="N4051" s="131"/>
      <c r="O4051" s="131"/>
    </row>
    <row r="4052" spans="4:15" x14ac:dyDescent="0.3">
      <c r="D4052" s="33"/>
      <c r="E4052" s="127"/>
      <c r="F4052" s="128"/>
      <c r="G4052" s="128"/>
      <c r="H4052" s="129"/>
      <c r="I4052" s="130"/>
      <c r="J4052" s="23"/>
      <c r="K4052" s="23"/>
      <c r="L4052" s="23"/>
      <c r="M4052" s="131"/>
      <c r="N4052" s="131"/>
      <c r="O4052" s="131"/>
    </row>
    <row r="4053" spans="4:15" x14ac:dyDescent="0.3">
      <c r="D4053" s="33"/>
      <c r="E4053" s="127"/>
      <c r="F4053" s="128"/>
      <c r="G4053" s="128"/>
      <c r="H4053" s="129"/>
      <c r="I4053" s="130"/>
      <c r="J4053" s="23"/>
      <c r="K4053" s="23"/>
      <c r="L4053" s="23"/>
      <c r="M4053" s="131"/>
      <c r="N4053" s="131"/>
      <c r="O4053" s="131"/>
    </row>
    <row r="4054" spans="4:15" x14ac:dyDescent="0.3">
      <c r="D4054" s="33"/>
      <c r="E4054" s="127"/>
      <c r="F4054" s="128"/>
      <c r="G4054" s="128"/>
      <c r="H4054" s="129"/>
      <c r="I4054" s="130"/>
      <c r="J4054" s="23"/>
      <c r="K4054" s="23"/>
      <c r="L4054" s="23"/>
      <c r="M4054" s="131"/>
      <c r="N4054" s="131"/>
      <c r="O4054" s="131"/>
    </row>
    <row r="4055" spans="4:15" x14ac:dyDescent="0.3">
      <c r="D4055" s="33"/>
      <c r="E4055" s="127"/>
      <c r="F4055" s="128"/>
      <c r="G4055" s="128"/>
      <c r="H4055" s="129"/>
      <c r="I4055" s="130"/>
      <c r="J4055" s="23"/>
      <c r="K4055" s="23"/>
      <c r="L4055" s="23"/>
      <c r="M4055" s="131"/>
      <c r="N4055" s="131"/>
      <c r="O4055" s="131"/>
    </row>
    <row r="4056" spans="4:15" x14ac:dyDescent="0.3">
      <c r="D4056" s="33"/>
      <c r="E4056" s="127"/>
      <c r="F4056" s="128"/>
      <c r="G4056" s="128"/>
      <c r="H4056" s="129"/>
      <c r="I4056" s="130"/>
      <c r="J4056" s="23"/>
      <c r="K4056" s="23"/>
      <c r="L4056" s="23"/>
      <c r="M4056" s="131"/>
      <c r="N4056" s="131"/>
      <c r="O4056" s="131"/>
    </row>
    <row r="4057" spans="4:15" x14ac:dyDescent="0.3">
      <c r="D4057" s="33"/>
      <c r="E4057" s="127"/>
      <c r="F4057" s="128"/>
      <c r="G4057" s="128"/>
      <c r="H4057" s="129"/>
      <c r="I4057" s="130"/>
      <c r="J4057" s="23"/>
      <c r="K4057" s="23"/>
      <c r="L4057" s="23"/>
      <c r="M4057" s="131"/>
      <c r="N4057" s="131"/>
      <c r="O4057" s="131"/>
    </row>
    <row r="4058" spans="4:15" x14ac:dyDescent="0.3">
      <c r="D4058" s="33"/>
      <c r="E4058" s="127"/>
      <c r="F4058" s="128"/>
      <c r="G4058" s="128"/>
      <c r="H4058" s="129"/>
      <c r="I4058" s="130"/>
      <c r="J4058" s="23"/>
      <c r="K4058" s="23"/>
      <c r="L4058" s="23"/>
      <c r="M4058" s="131"/>
      <c r="N4058" s="131"/>
      <c r="O4058" s="131"/>
    </row>
    <row r="4059" spans="4:15" x14ac:dyDescent="0.3">
      <c r="D4059" s="33"/>
      <c r="E4059" s="127"/>
      <c r="F4059" s="128"/>
      <c r="G4059" s="128"/>
      <c r="H4059" s="129"/>
      <c r="I4059" s="130"/>
      <c r="J4059" s="23"/>
      <c r="K4059" s="23"/>
      <c r="L4059" s="23"/>
      <c r="M4059" s="131"/>
      <c r="N4059" s="131"/>
      <c r="O4059" s="131"/>
    </row>
    <row r="4060" spans="4:15" x14ac:dyDescent="0.3">
      <c r="D4060" s="33"/>
      <c r="E4060" s="127"/>
      <c r="F4060" s="128"/>
      <c r="G4060" s="128"/>
      <c r="H4060" s="129"/>
      <c r="I4060" s="130"/>
      <c r="J4060" s="23"/>
      <c r="K4060" s="23"/>
      <c r="L4060" s="23"/>
      <c r="M4060" s="131"/>
      <c r="N4060" s="131"/>
      <c r="O4060" s="131"/>
    </row>
    <row r="4061" spans="4:15" x14ac:dyDescent="0.3">
      <c r="D4061" s="33"/>
      <c r="E4061" s="127"/>
      <c r="F4061" s="128"/>
      <c r="G4061" s="128"/>
      <c r="H4061" s="129"/>
      <c r="I4061" s="130"/>
      <c r="J4061" s="23"/>
      <c r="K4061" s="23"/>
      <c r="L4061" s="23"/>
      <c r="M4061" s="131"/>
      <c r="N4061" s="131"/>
      <c r="O4061" s="131"/>
    </row>
    <row r="4062" spans="4:15" x14ac:dyDescent="0.3">
      <c r="D4062" s="33"/>
      <c r="E4062" s="127"/>
      <c r="F4062" s="128"/>
      <c r="G4062" s="128"/>
      <c r="H4062" s="129"/>
      <c r="I4062" s="130"/>
      <c r="J4062" s="23"/>
      <c r="K4062" s="23"/>
      <c r="L4062" s="23"/>
      <c r="M4062" s="131"/>
      <c r="N4062" s="131"/>
      <c r="O4062" s="131"/>
    </row>
    <row r="4063" spans="4:15" x14ac:dyDescent="0.3">
      <c r="D4063" s="33"/>
      <c r="E4063" s="127"/>
      <c r="F4063" s="128"/>
      <c r="G4063" s="128"/>
      <c r="H4063" s="129"/>
      <c r="I4063" s="130"/>
      <c r="J4063" s="23"/>
      <c r="K4063" s="23"/>
      <c r="L4063" s="23"/>
      <c r="M4063" s="131"/>
      <c r="N4063" s="131"/>
      <c r="O4063" s="131"/>
    </row>
    <row r="4064" spans="4:15" x14ac:dyDescent="0.3">
      <c r="D4064" s="33"/>
      <c r="E4064" s="127"/>
      <c r="F4064" s="128"/>
      <c r="G4064" s="128"/>
      <c r="H4064" s="129"/>
      <c r="I4064" s="130"/>
      <c r="J4064" s="23"/>
      <c r="K4064" s="23"/>
      <c r="L4064" s="23"/>
      <c r="M4064" s="131"/>
      <c r="N4064" s="131"/>
      <c r="O4064" s="131"/>
    </row>
    <row r="4065" spans="4:15" x14ac:dyDescent="0.3">
      <c r="D4065" s="33"/>
      <c r="E4065" s="127"/>
      <c r="F4065" s="128"/>
      <c r="G4065" s="128"/>
      <c r="H4065" s="129"/>
      <c r="I4065" s="130"/>
      <c r="J4065" s="23"/>
      <c r="K4065" s="23"/>
      <c r="L4065" s="23"/>
      <c r="M4065" s="131"/>
      <c r="N4065" s="131"/>
      <c r="O4065" s="131"/>
    </row>
    <row r="4066" spans="4:15" x14ac:dyDescent="0.3">
      <c r="D4066" s="33"/>
      <c r="E4066" s="127"/>
      <c r="F4066" s="128"/>
      <c r="G4066" s="128"/>
      <c r="H4066" s="129"/>
      <c r="I4066" s="130"/>
      <c r="J4066" s="23"/>
      <c r="K4066" s="23"/>
      <c r="L4066" s="23"/>
      <c r="M4066" s="131"/>
      <c r="N4066" s="131"/>
      <c r="O4066" s="131"/>
    </row>
    <row r="4067" spans="4:15" x14ac:dyDescent="0.3">
      <c r="D4067" s="33"/>
      <c r="E4067" s="127"/>
      <c r="F4067" s="128"/>
      <c r="G4067" s="128"/>
      <c r="H4067" s="129"/>
      <c r="I4067" s="130"/>
      <c r="J4067" s="23"/>
      <c r="K4067" s="23"/>
      <c r="L4067" s="23"/>
      <c r="M4067" s="131"/>
      <c r="N4067" s="131"/>
      <c r="O4067" s="131"/>
    </row>
    <row r="4068" spans="4:15" x14ac:dyDescent="0.3">
      <c r="D4068" s="33"/>
      <c r="E4068" s="127"/>
      <c r="F4068" s="128"/>
      <c r="G4068" s="128"/>
      <c r="H4068" s="129"/>
      <c r="I4068" s="130"/>
      <c r="J4068" s="23"/>
      <c r="K4068" s="23"/>
      <c r="L4068" s="23"/>
      <c r="M4068" s="131"/>
      <c r="N4068" s="131"/>
      <c r="O4068" s="131"/>
    </row>
    <row r="4069" spans="4:15" x14ac:dyDescent="0.3">
      <c r="D4069" s="33"/>
      <c r="E4069" s="127"/>
      <c r="F4069" s="128"/>
      <c r="G4069" s="128"/>
      <c r="H4069" s="129"/>
      <c r="I4069" s="130"/>
      <c r="J4069" s="23"/>
      <c r="K4069" s="23"/>
      <c r="L4069" s="23"/>
      <c r="M4069" s="131"/>
      <c r="N4069" s="131"/>
      <c r="O4069" s="131"/>
    </row>
    <row r="4070" spans="4:15" x14ac:dyDescent="0.3">
      <c r="D4070" s="33"/>
      <c r="E4070" s="127"/>
      <c r="F4070" s="128"/>
      <c r="G4070" s="128"/>
      <c r="H4070" s="129"/>
      <c r="I4070" s="130"/>
      <c r="J4070" s="23"/>
      <c r="K4070" s="23"/>
      <c r="L4070" s="23"/>
      <c r="M4070" s="131"/>
      <c r="N4070" s="131"/>
      <c r="O4070" s="131"/>
    </row>
    <row r="4071" spans="4:15" x14ac:dyDescent="0.3">
      <c r="D4071" s="33"/>
      <c r="E4071" s="127"/>
      <c r="F4071" s="128"/>
      <c r="G4071" s="128"/>
      <c r="H4071" s="129"/>
      <c r="I4071" s="130"/>
      <c r="J4071" s="23"/>
      <c r="K4071" s="23"/>
      <c r="L4071" s="23"/>
      <c r="M4071" s="131"/>
      <c r="N4071" s="131"/>
      <c r="O4071" s="131"/>
    </row>
    <row r="4072" spans="4:15" x14ac:dyDescent="0.3">
      <c r="D4072" s="33"/>
      <c r="E4072" s="127"/>
      <c r="F4072" s="128"/>
      <c r="G4072" s="128"/>
      <c r="H4072" s="129"/>
      <c r="I4072" s="130"/>
      <c r="J4072" s="23"/>
      <c r="K4072" s="23"/>
      <c r="L4072" s="23"/>
      <c r="M4072" s="131"/>
      <c r="N4072" s="131"/>
      <c r="O4072" s="131"/>
    </row>
    <row r="4073" spans="4:15" x14ac:dyDescent="0.3">
      <c r="D4073" s="33"/>
      <c r="E4073" s="127"/>
      <c r="F4073" s="128"/>
      <c r="G4073" s="128"/>
      <c r="H4073" s="129"/>
      <c r="I4073" s="130"/>
      <c r="J4073" s="23"/>
      <c r="K4073" s="23"/>
      <c r="L4073" s="23"/>
      <c r="M4073" s="131"/>
      <c r="N4073" s="131"/>
      <c r="O4073" s="131"/>
    </row>
    <row r="4074" spans="4:15" x14ac:dyDescent="0.3">
      <c r="D4074" s="33"/>
      <c r="E4074" s="127"/>
      <c r="F4074" s="128"/>
      <c r="G4074" s="128"/>
      <c r="H4074" s="129"/>
      <c r="I4074" s="130"/>
      <c r="J4074" s="23"/>
      <c r="K4074" s="23"/>
      <c r="L4074" s="23"/>
      <c r="M4074" s="131"/>
      <c r="N4074" s="131"/>
      <c r="O4074" s="131"/>
    </row>
    <row r="4075" spans="4:15" x14ac:dyDescent="0.3">
      <c r="D4075" s="33"/>
      <c r="E4075" s="127"/>
      <c r="F4075" s="128"/>
      <c r="G4075" s="128"/>
      <c r="H4075" s="129"/>
      <c r="I4075" s="130"/>
      <c r="J4075" s="23"/>
      <c r="K4075" s="23"/>
      <c r="L4075" s="23"/>
      <c r="M4075" s="131"/>
      <c r="N4075" s="131"/>
      <c r="O4075" s="131"/>
    </row>
    <row r="4076" spans="4:15" x14ac:dyDescent="0.3">
      <c r="D4076" s="33"/>
      <c r="E4076" s="127"/>
      <c r="F4076" s="128"/>
      <c r="G4076" s="128"/>
      <c r="H4076" s="129"/>
      <c r="I4076" s="130"/>
      <c r="J4076" s="23"/>
      <c r="K4076" s="23"/>
      <c r="L4076" s="23"/>
      <c r="M4076" s="131"/>
      <c r="N4076" s="131"/>
      <c r="O4076" s="131"/>
    </row>
    <row r="4077" spans="4:15" x14ac:dyDescent="0.3">
      <c r="D4077" s="33"/>
      <c r="E4077" s="127"/>
      <c r="F4077" s="128"/>
      <c r="G4077" s="128"/>
      <c r="H4077" s="129"/>
      <c r="I4077" s="130"/>
      <c r="J4077" s="23"/>
      <c r="K4077" s="23"/>
      <c r="L4077" s="23"/>
      <c r="M4077" s="131"/>
      <c r="N4077" s="131"/>
      <c r="O4077" s="131"/>
    </row>
    <row r="4078" spans="4:15" x14ac:dyDescent="0.3">
      <c r="D4078" s="33"/>
      <c r="E4078" s="127"/>
      <c r="F4078" s="128"/>
      <c r="G4078" s="128"/>
      <c r="H4078" s="129"/>
      <c r="I4078" s="130"/>
      <c r="J4078" s="23"/>
      <c r="K4078" s="23"/>
      <c r="L4078" s="23"/>
      <c r="M4078" s="131"/>
      <c r="N4078" s="131"/>
      <c r="O4078" s="131"/>
    </row>
    <row r="4079" spans="4:15" x14ac:dyDescent="0.3">
      <c r="D4079" s="33"/>
      <c r="E4079" s="127"/>
      <c r="F4079" s="128"/>
      <c r="G4079" s="128"/>
      <c r="H4079" s="129"/>
      <c r="I4079" s="130"/>
      <c r="J4079" s="23"/>
      <c r="K4079" s="23"/>
      <c r="L4079" s="23"/>
      <c r="M4079" s="131"/>
      <c r="N4079" s="131"/>
      <c r="O4079" s="131"/>
    </row>
    <row r="4080" spans="4:15" x14ac:dyDescent="0.3">
      <c r="D4080" s="33"/>
      <c r="E4080" s="127"/>
      <c r="F4080" s="128"/>
      <c r="G4080" s="128"/>
      <c r="H4080" s="129"/>
      <c r="I4080" s="130"/>
      <c r="J4080" s="23"/>
      <c r="K4080" s="23"/>
      <c r="L4080" s="23"/>
      <c r="M4080" s="131"/>
      <c r="N4080" s="131"/>
      <c r="O4080" s="131"/>
    </row>
    <row r="4081" spans="4:15" x14ac:dyDescent="0.3">
      <c r="D4081" s="33"/>
      <c r="E4081" s="127"/>
      <c r="F4081" s="128"/>
      <c r="G4081" s="128"/>
      <c r="H4081" s="129"/>
      <c r="I4081" s="130"/>
      <c r="J4081" s="23"/>
      <c r="K4081" s="23"/>
      <c r="L4081" s="23"/>
      <c r="M4081" s="131"/>
      <c r="N4081" s="131"/>
      <c r="O4081" s="131"/>
    </row>
    <row r="4082" spans="4:15" x14ac:dyDescent="0.3">
      <c r="D4082" s="33"/>
      <c r="E4082" s="127"/>
      <c r="F4082" s="128"/>
      <c r="G4082" s="128"/>
      <c r="H4082" s="129"/>
      <c r="I4082" s="130"/>
      <c r="J4082" s="23"/>
      <c r="K4082" s="23"/>
      <c r="L4082" s="23"/>
      <c r="M4082" s="131"/>
      <c r="N4082" s="131"/>
      <c r="O4082" s="131"/>
    </row>
    <row r="4083" spans="4:15" x14ac:dyDescent="0.3">
      <c r="D4083" s="33"/>
      <c r="E4083" s="127"/>
      <c r="F4083" s="128"/>
      <c r="G4083" s="128"/>
      <c r="H4083" s="129"/>
      <c r="I4083" s="130"/>
      <c r="J4083" s="23"/>
      <c r="K4083" s="23"/>
      <c r="L4083" s="23"/>
      <c r="M4083" s="131"/>
      <c r="N4083" s="131"/>
      <c r="O4083" s="131"/>
    </row>
    <row r="4084" spans="4:15" x14ac:dyDescent="0.3">
      <c r="D4084" s="33"/>
      <c r="E4084" s="127"/>
      <c r="F4084" s="128"/>
      <c r="G4084" s="128"/>
      <c r="H4084" s="129"/>
      <c r="I4084" s="130"/>
      <c r="J4084" s="23"/>
      <c r="K4084" s="23"/>
      <c r="L4084" s="23"/>
      <c r="M4084" s="131"/>
      <c r="N4084" s="131"/>
      <c r="O4084" s="131"/>
    </row>
    <row r="4085" spans="4:15" x14ac:dyDescent="0.3">
      <c r="D4085" s="33"/>
      <c r="E4085" s="127"/>
      <c r="F4085" s="128"/>
      <c r="G4085" s="128"/>
      <c r="H4085" s="129"/>
      <c r="I4085" s="130"/>
      <c r="J4085" s="23"/>
      <c r="K4085" s="23"/>
      <c r="L4085" s="23"/>
      <c r="M4085" s="131"/>
      <c r="N4085" s="131"/>
      <c r="O4085" s="131"/>
    </row>
    <row r="4086" spans="4:15" x14ac:dyDescent="0.3">
      <c r="D4086" s="33"/>
      <c r="E4086" s="127"/>
      <c r="F4086" s="128"/>
      <c r="G4086" s="128"/>
      <c r="H4086" s="129"/>
      <c r="I4086" s="130"/>
      <c r="J4086" s="23"/>
      <c r="K4086" s="23"/>
      <c r="L4086" s="23"/>
      <c r="M4086" s="131"/>
      <c r="N4086" s="131"/>
      <c r="O4086" s="131"/>
    </row>
    <row r="4087" spans="4:15" x14ac:dyDescent="0.3">
      <c r="D4087" s="33"/>
      <c r="E4087" s="127"/>
      <c r="F4087" s="128"/>
      <c r="G4087" s="128"/>
      <c r="H4087" s="129"/>
      <c r="I4087" s="130"/>
      <c r="J4087" s="23"/>
      <c r="K4087" s="23"/>
      <c r="L4087" s="23"/>
      <c r="M4087" s="131"/>
      <c r="N4087" s="131"/>
      <c r="O4087" s="131"/>
    </row>
    <row r="4088" spans="4:15" x14ac:dyDescent="0.3">
      <c r="D4088" s="33"/>
      <c r="E4088" s="127"/>
      <c r="F4088" s="128"/>
      <c r="G4088" s="128"/>
      <c r="H4088" s="129"/>
      <c r="I4088" s="130"/>
      <c r="J4088" s="23"/>
      <c r="K4088" s="23"/>
      <c r="L4088" s="23"/>
      <c r="M4088" s="131"/>
      <c r="N4088" s="131"/>
      <c r="O4088" s="131"/>
    </row>
    <row r="4089" spans="4:15" x14ac:dyDescent="0.3">
      <c r="D4089" s="33"/>
      <c r="E4089" s="127"/>
      <c r="F4089" s="128"/>
      <c r="G4089" s="128"/>
      <c r="H4089" s="129"/>
      <c r="I4089" s="130"/>
      <c r="J4089" s="23"/>
      <c r="K4089" s="23"/>
      <c r="L4089" s="23"/>
      <c r="M4089" s="131"/>
      <c r="N4089" s="131"/>
      <c r="O4089" s="131"/>
    </row>
    <row r="4090" spans="4:15" x14ac:dyDescent="0.3">
      <c r="D4090" s="33"/>
      <c r="E4090" s="127"/>
      <c r="F4090" s="128"/>
      <c r="G4090" s="128"/>
      <c r="H4090" s="129"/>
      <c r="I4090" s="130"/>
      <c r="J4090" s="23"/>
      <c r="K4090" s="23"/>
      <c r="L4090" s="23"/>
      <c r="M4090" s="131"/>
      <c r="N4090" s="131"/>
      <c r="O4090" s="131"/>
    </row>
    <row r="4091" spans="4:15" x14ac:dyDescent="0.3">
      <c r="D4091" s="33"/>
      <c r="E4091" s="127"/>
      <c r="F4091" s="128"/>
      <c r="G4091" s="128"/>
      <c r="H4091" s="129"/>
      <c r="I4091" s="130"/>
      <c r="J4091" s="23"/>
      <c r="K4091" s="23"/>
      <c r="L4091" s="23"/>
      <c r="M4091" s="131"/>
      <c r="N4091" s="131"/>
      <c r="O4091" s="131"/>
    </row>
    <row r="4092" spans="4:15" x14ac:dyDescent="0.3">
      <c r="D4092" s="33"/>
      <c r="E4092" s="127"/>
      <c r="F4092" s="128"/>
      <c r="G4092" s="128"/>
      <c r="H4092" s="129"/>
      <c r="I4092" s="130"/>
      <c r="J4092" s="23"/>
      <c r="K4092" s="23"/>
      <c r="L4092" s="23"/>
      <c r="M4092" s="131"/>
      <c r="N4092" s="131"/>
      <c r="O4092" s="131"/>
    </row>
    <row r="4093" spans="4:15" x14ac:dyDescent="0.3">
      <c r="D4093" s="33"/>
      <c r="E4093" s="127"/>
      <c r="F4093" s="128"/>
      <c r="G4093" s="128"/>
      <c r="H4093" s="129"/>
      <c r="I4093" s="130"/>
      <c r="J4093" s="23"/>
      <c r="K4093" s="23"/>
      <c r="L4093" s="23"/>
      <c r="M4093" s="131"/>
      <c r="N4093" s="131"/>
      <c r="O4093" s="131"/>
    </row>
    <row r="4094" spans="4:15" x14ac:dyDescent="0.3">
      <c r="D4094" s="33"/>
      <c r="E4094" s="127"/>
      <c r="F4094" s="128"/>
      <c r="G4094" s="128"/>
      <c r="H4094" s="129"/>
      <c r="I4094" s="130"/>
      <c r="J4094" s="23"/>
      <c r="K4094" s="23"/>
      <c r="L4094" s="23"/>
      <c r="M4094" s="131"/>
      <c r="N4094" s="131"/>
      <c r="O4094" s="131"/>
    </row>
    <row r="4095" spans="4:15" x14ac:dyDescent="0.3">
      <c r="D4095" s="33"/>
      <c r="E4095" s="127"/>
      <c r="F4095" s="128"/>
      <c r="G4095" s="128"/>
      <c r="H4095" s="129"/>
      <c r="I4095" s="130"/>
      <c r="J4095" s="23"/>
      <c r="K4095" s="23"/>
      <c r="L4095" s="23"/>
      <c r="M4095" s="131"/>
      <c r="N4095" s="131"/>
      <c r="O4095" s="131"/>
    </row>
    <row r="4096" spans="4:15" x14ac:dyDescent="0.3">
      <c r="D4096" s="33"/>
      <c r="E4096" s="127"/>
      <c r="F4096" s="128"/>
      <c r="G4096" s="128"/>
      <c r="H4096" s="129"/>
      <c r="I4096" s="130"/>
      <c r="J4096" s="23"/>
      <c r="K4096" s="23"/>
      <c r="L4096" s="23"/>
      <c r="M4096" s="131"/>
      <c r="N4096" s="131"/>
      <c r="O4096" s="131"/>
    </row>
    <row r="4097" spans="4:15" x14ac:dyDescent="0.3">
      <c r="D4097" s="33"/>
      <c r="E4097" s="127"/>
      <c r="F4097" s="128"/>
      <c r="G4097" s="128"/>
      <c r="H4097" s="129"/>
      <c r="I4097" s="130"/>
      <c r="J4097" s="23"/>
      <c r="K4097" s="23"/>
      <c r="L4097" s="23"/>
      <c r="M4097" s="131"/>
      <c r="N4097" s="131"/>
      <c r="O4097" s="131"/>
    </row>
    <row r="4098" spans="4:15" x14ac:dyDescent="0.3">
      <c r="D4098" s="33"/>
      <c r="E4098" s="127"/>
      <c r="F4098" s="128"/>
      <c r="G4098" s="128"/>
      <c r="H4098" s="129"/>
      <c r="I4098" s="130"/>
      <c r="J4098" s="23"/>
      <c r="K4098" s="23"/>
      <c r="L4098" s="23"/>
      <c r="M4098" s="131"/>
      <c r="N4098" s="131"/>
      <c r="O4098" s="131"/>
    </row>
    <row r="4099" spans="4:15" x14ac:dyDescent="0.3">
      <c r="D4099" s="33"/>
      <c r="E4099" s="127"/>
      <c r="F4099" s="128"/>
      <c r="G4099" s="128"/>
      <c r="H4099" s="129"/>
      <c r="I4099" s="130"/>
      <c r="J4099" s="23"/>
      <c r="K4099" s="23"/>
      <c r="L4099" s="23"/>
      <c r="M4099" s="131"/>
      <c r="N4099" s="131"/>
      <c r="O4099" s="131"/>
    </row>
    <row r="4100" spans="4:15" x14ac:dyDescent="0.3">
      <c r="D4100" s="33"/>
      <c r="E4100" s="127"/>
      <c r="F4100" s="128"/>
      <c r="G4100" s="128"/>
      <c r="H4100" s="129"/>
      <c r="I4100" s="130"/>
      <c r="J4100" s="23"/>
      <c r="K4100" s="23"/>
      <c r="L4100" s="23"/>
      <c r="M4100" s="131"/>
      <c r="N4100" s="131"/>
      <c r="O4100" s="131"/>
    </row>
    <row r="4101" spans="4:15" x14ac:dyDescent="0.3">
      <c r="D4101" s="33"/>
      <c r="E4101" s="127"/>
      <c r="F4101" s="128"/>
      <c r="G4101" s="128"/>
      <c r="H4101" s="129"/>
      <c r="I4101" s="130"/>
      <c r="J4101" s="23"/>
      <c r="K4101" s="23"/>
      <c r="L4101" s="23"/>
      <c r="M4101" s="131"/>
      <c r="N4101" s="131"/>
      <c r="O4101" s="131"/>
    </row>
    <row r="4102" spans="4:15" x14ac:dyDescent="0.3">
      <c r="D4102" s="33"/>
      <c r="E4102" s="127"/>
      <c r="F4102" s="128"/>
      <c r="G4102" s="128"/>
      <c r="H4102" s="129"/>
      <c r="I4102" s="130"/>
      <c r="J4102" s="23"/>
      <c r="K4102" s="23"/>
      <c r="L4102" s="23"/>
      <c r="M4102" s="131"/>
      <c r="N4102" s="131"/>
      <c r="O4102" s="131"/>
    </row>
    <row r="4103" spans="4:15" x14ac:dyDescent="0.3">
      <c r="D4103" s="33"/>
      <c r="E4103" s="127"/>
      <c r="F4103" s="128"/>
      <c r="G4103" s="128"/>
      <c r="H4103" s="129"/>
      <c r="I4103" s="130"/>
      <c r="J4103" s="23"/>
      <c r="K4103" s="23"/>
      <c r="L4103" s="23"/>
      <c r="M4103" s="131"/>
      <c r="N4103" s="131"/>
      <c r="O4103" s="131"/>
    </row>
    <row r="4104" spans="4:15" x14ac:dyDescent="0.3">
      <c r="D4104" s="33"/>
      <c r="E4104" s="127"/>
      <c r="F4104" s="128"/>
      <c r="G4104" s="128"/>
      <c r="H4104" s="129"/>
      <c r="I4104" s="130"/>
      <c r="J4104" s="23"/>
      <c r="K4104" s="23"/>
      <c r="L4104" s="23"/>
      <c r="M4104" s="131"/>
      <c r="N4104" s="131"/>
      <c r="O4104" s="131"/>
    </row>
    <row r="4105" spans="4:15" x14ac:dyDescent="0.3">
      <c r="D4105" s="33"/>
      <c r="E4105" s="127"/>
      <c r="F4105" s="128"/>
      <c r="G4105" s="128"/>
      <c r="H4105" s="129"/>
      <c r="I4105" s="130"/>
      <c r="J4105" s="23"/>
      <c r="K4105" s="23"/>
      <c r="L4105" s="23"/>
      <c r="M4105" s="131"/>
      <c r="N4105" s="131"/>
      <c r="O4105" s="131"/>
    </row>
    <row r="4106" spans="4:15" x14ac:dyDescent="0.3">
      <c r="D4106" s="33"/>
      <c r="E4106" s="127"/>
      <c r="F4106" s="128"/>
      <c r="G4106" s="128"/>
      <c r="H4106" s="129"/>
      <c r="I4106" s="130"/>
      <c r="J4106" s="23"/>
      <c r="K4106" s="23"/>
      <c r="L4106" s="23"/>
      <c r="M4106" s="131"/>
      <c r="N4106" s="131"/>
      <c r="O4106" s="131"/>
    </row>
    <row r="4107" spans="4:15" x14ac:dyDescent="0.3">
      <c r="D4107" s="33"/>
      <c r="E4107" s="127"/>
      <c r="F4107" s="128"/>
      <c r="G4107" s="128"/>
      <c r="H4107" s="129"/>
      <c r="I4107" s="130"/>
      <c r="J4107" s="23"/>
      <c r="K4107" s="23"/>
      <c r="L4107" s="23"/>
      <c r="M4107" s="131"/>
      <c r="N4107" s="131"/>
      <c r="O4107" s="131"/>
    </row>
    <row r="4108" spans="4:15" x14ac:dyDescent="0.3">
      <c r="D4108" s="33"/>
      <c r="E4108" s="127"/>
      <c r="F4108" s="128"/>
      <c r="G4108" s="128"/>
      <c r="H4108" s="129"/>
      <c r="I4108" s="130"/>
      <c r="J4108" s="23"/>
      <c r="K4108" s="23"/>
      <c r="L4108" s="23"/>
      <c r="M4108" s="131"/>
      <c r="N4108" s="131"/>
      <c r="O4108" s="131"/>
    </row>
    <row r="4109" spans="4:15" x14ac:dyDescent="0.3">
      <c r="D4109" s="33"/>
      <c r="E4109" s="127"/>
      <c r="F4109" s="128"/>
      <c r="G4109" s="128"/>
      <c r="H4109" s="129"/>
      <c r="I4109" s="130"/>
      <c r="J4109" s="23"/>
      <c r="K4109" s="23"/>
      <c r="L4109" s="23"/>
      <c r="M4109" s="131"/>
      <c r="N4109" s="131"/>
      <c r="O4109" s="131"/>
    </row>
    <row r="4110" spans="4:15" x14ac:dyDescent="0.3">
      <c r="D4110" s="33"/>
      <c r="E4110" s="127"/>
      <c r="F4110" s="128"/>
      <c r="G4110" s="128"/>
      <c r="H4110" s="129"/>
      <c r="I4110" s="130"/>
      <c r="J4110" s="23"/>
      <c r="K4110" s="23"/>
      <c r="L4110" s="23"/>
      <c r="M4110" s="131"/>
      <c r="N4110" s="131"/>
      <c r="O4110" s="131"/>
    </row>
    <row r="4111" spans="4:15" x14ac:dyDescent="0.3">
      <c r="D4111" s="33"/>
      <c r="E4111" s="127"/>
      <c r="F4111" s="128"/>
      <c r="G4111" s="128"/>
      <c r="H4111" s="129"/>
      <c r="I4111" s="130"/>
      <c r="J4111" s="23"/>
      <c r="K4111" s="23"/>
      <c r="L4111" s="23"/>
      <c r="M4111" s="131"/>
      <c r="N4111" s="131"/>
      <c r="O4111" s="131"/>
    </row>
    <row r="4112" spans="4:15" x14ac:dyDescent="0.3">
      <c r="D4112" s="33"/>
      <c r="E4112" s="127"/>
      <c r="F4112" s="128"/>
      <c r="G4112" s="128"/>
      <c r="H4112" s="129"/>
      <c r="I4112" s="130"/>
      <c r="J4112" s="23"/>
      <c r="K4112" s="23"/>
      <c r="L4112" s="23"/>
      <c r="M4112" s="131"/>
      <c r="N4112" s="131"/>
      <c r="O4112" s="131"/>
    </row>
    <row r="4113" spans="4:15" x14ac:dyDescent="0.3">
      <c r="D4113" s="33"/>
      <c r="E4113" s="127"/>
      <c r="F4113" s="128"/>
      <c r="G4113" s="128"/>
      <c r="H4113" s="129"/>
      <c r="I4113" s="130"/>
      <c r="J4113" s="23"/>
      <c r="K4113" s="23"/>
      <c r="L4113" s="23"/>
      <c r="M4113" s="131"/>
      <c r="N4113" s="131"/>
      <c r="O4113" s="131"/>
    </row>
    <row r="4114" spans="4:15" x14ac:dyDescent="0.3">
      <c r="D4114" s="33"/>
      <c r="E4114" s="127"/>
      <c r="F4114" s="128"/>
      <c r="G4114" s="128"/>
      <c r="H4114" s="129"/>
      <c r="I4114" s="130"/>
      <c r="J4114" s="23"/>
      <c r="K4114" s="23"/>
      <c r="L4114" s="23"/>
      <c r="M4114" s="131"/>
      <c r="N4114" s="131"/>
      <c r="O4114" s="131"/>
    </row>
    <row r="4115" spans="4:15" x14ac:dyDescent="0.3">
      <c r="D4115" s="33"/>
      <c r="E4115" s="127"/>
      <c r="F4115" s="128"/>
      <c r="G4115" s="128"/>
      <c r="H4115" s="129"/>
      <c r="I4115" s="130"/>
      <c r="J4115" s="23"/>
      <c r="K4115" s="23"/>
      <c r="L4115" s="23"/>
      <c r="M4115" s="131"/>
      <c r="N4115" s="131"/>
      <c r="O4115" s="131"/>
    </row>
    <row r="4116" spans="4:15" x14ac:dyDescent="0.3">
      <c r="D4116" s="33"/>
      <c r="E4116" s="127"/>
      <c r="F4116" s="128"/>
      <c r="G4116" s="128"/>
      <c r="H4116" s="129"/>
      <c r="I4116" s="130"/>
      <c r="J4116" s="23"/>
      <c r="K4116" s="23"/>
      <c r="L4116" s="23"/>
      <c r="M4116" s="131"/>
      <c r="N4116" s="131"/>
      <c r="O4116" s="131"/>
    </row>
    <row r="4117" spans="4:15" x14ac:dyDescent="0.3">
      <c r="D4117" s="33"/>
      <c r="E4117" s="127"/>
      <c r="F4117" s="128"/>
      <c r="G4117" s="128"/>
      <c r="H4117" s="129"/>
      <c r="I4117" s="130"/>
      <c r="J4117" s="23"/>
      <c r="K4117" s="23"/>
      <c r="L4117" s="23"/>
      <c r="M4117" s="131"/>
      <c r="N4117" s="131"/>
      <c r="O4117" s="131"/>
    </row>
    <row r="4118" spans="4:15" x14ac:dyDescent="0.3">
      <c r="D4118" s="33"/>
      <c r="E4118" s="127"/>
      <c r="F4118" s="128"/>
      <c r="G4118" s="128"/>
      <c r="H4118" s="129"/>
      <c r="I4118" s="130"/>
      <c r="J4118" s="23"/>
      <c r="K4118" s="23"/>
      <c r="L4118" s="23"/>
      <c r="M4118" s="131"/>
      <c r="N4118" s="131"/>
      <c r="O4118" s="131"/>
    </row>
    <row r="4119" spans="4:15" x14ac:dyDescent="0.3">
      <c r="D4119" s="33"/>
      <c r="E4119" s="127"/>
      <c r="F4119" s="128"/>
      <c r="G4119" s="128"/>
      <c r="H4119" s="129"/>
      <c r="I4119" s="130"/>
      <c r="J4119" s="23"/>
      <c r="K4119" s="23"/>
      <c r="L4119" s="23"/>
      <c r="M4119" s="131"/>
      <c r="N4119" s="131"/>
      <c r="O4119" s="131"/>
    </row>
    <row r="4120" spans="4:15" x14ac:dyDescent="0.3">
      <c r="D4120" s="33"/>
      <c r="E4120" s="127"/>
      <c r="F4120" s="128"/>
      <c r="G4120" s="128"/>
      <c r="H4120" s="129"/>
      <c r="I4120" s="130"/>
      <c r="J4120" s="23"/>
      <c r="K4120" s="23"/>
      <c r="L4120" s="23"/>
      <c r="M4120" s="131"/>
      <c r="N4120" s="131"/>
      <c r="O4120" s="131"/>
    </row>
    <row r="4121" spans="4:15" x14ac:dyDescent="0.3">
      <c r="D4121" s="33"/>
      <c r="E4121" s="127"/>
      <c r="F4121" s="128"/>
      <c r="G4121" s="128"/>
      <c r="H4121" s="129"/>
      <c r="I4121" s="130"/>
      <c r="J4121" s="23"/>
      <c r="K4121" s="23"/>
      <c r="L4121" s="23"/>
      <c r="M4121" s="131"/>
      <c r="N4121" s="131"/>
      <c r="O4121" s="131"/>
    </row>
    <row r="4122" spans="4:15" x14ac:dyDescent="0.3">
      <c r="D4122" s="33"/>
      <c r="E4122" s="127"/>
      <c r="F4122" s="128"/>
      <c r="G4122" s="128"/>
      <c r="H4122" s="129"/>
      <c r="I4122" s="130"/>
      <c r="J4122" s="23"/>
      <c r="K4122" s="23"/>
      <c r="L4122" s="23"/>
      <c r="M4122" s="131"/>
      <c r="N4122" s="131"/>
      <c r="O4122" s="131"/>
    </row>
    <row r="4123" spans="4:15" x14ac:dyDescent="0.3">
      <c r="D4123" s="33"/>
      <c r="E4123" s="127"/>
      <c r="F4123" s="128"/>
      <c r="G4123" s="128"/>
      <c r="H4123" s="129"/>
      <c r="I4123" s="130"/>
      <c r="J4123" s="23"/>
      <c r="K4123" s="23"/>
      <c r="L4123" s="23"/>
      <c r="M4123" s="131"/>
      <c r="N4123" s="131"/>
      <c r="O4123" s="131"/>
    </row>
    <row r="4124" spans="4:15" x14ac:dyDescent="0.3">
      <c r="D4124" s="33"/>
      <c r="E4124" s="127"/>
      <c r="F4124" s="128"/>
      <c r="G4124" s="128"/>
      <c r="H4124" s="129"/>
      <c r="I4124" s="130"/>
      <c r="J4124" s="23"/>
      <c r="K4124" s="23"/>
      <c r="L4124" s="23"/>
      <c r="M4124" s="131"/>
      <c r="N4124" s="131"/>
      <c r="O4124" s="131"/>
    </row>
    <row r="4125" spans="4:15" x14ac:dyDescent="0.3">
      <c r="D4125" s="33"/>
      <c r="E4125" s="127"/>
      <c r="F4125" s="128"/>
      <c r="G4125" s="128"/>
      <c r="H4125" s="129"/>
      <c r="I4125" s="130"/>
      <c r="J4125" s="23"/>
      <c r="K4125" s="23"/>
      <c r="L4125" s="23"/>
      <c r="M4125" s="131"/>
      <c r="N4125" s="131"/>
      <c r="O4125" s="131"/>
    </row>
    <row r="4126" spans="4:15" x14ac:dyDescent="0.3">
      <c r="D4126" s="33"/>
      <c r="E4126" s="127"/>
      <c r="F4126" s="128"/>
      <c r="G4126" s="128"/>
      <c r="H4126" s="129"/>
      <c r="I4126" s="130"/>
      <c r="J4126" s="23"/>
      <c r="K4126" s="23"/>
      <c r="L4126" s="23"/>
      <c r="M4126" s="131"/>
      <c r="N4126" s="131"/>
      <c r="O4126" s="131"/>
    </row>
    <row r="4127" spans="4:15" x14ac:dyDescent="0.3">
      <c r="D4127" s="33"/>
      <c r="E4127" s="127"/>
      <c r="F4127" s="128"/>
      <c r="G4127" s="128"/>
      <c r="H4127" s="129"/>
      <c r="I4127" s="130"/>
      <c r="J4127" s="23"/>
      <c r="K4127" s="23"/>
      <c r="L4127" s="23"/>
      <c r="M4127" s="131"/>
      <c r="N4127" s="131"/>
      <c r="O4127" s="131"/>
    </row>
    <row r="4128" spans="4:15" x14ac:dyDescent="0.3">
      <c r="D4128" s="33"/>
      <c r="E4128" s="127"/>
      <c r="F4128" s="128"/>
      <c r="G4128" s="128"/>
      <c r="H4128" s="129"/>
      <c r="I4128" s="130"/>
      <c r="J4128" s="23"/>
      <c r="K4128" s="23"/>
      <c r="L4128" s="23"/>
      <c r="M4128" s="131"/>
      <c r="N4128" s="131"/>
      <c r="O4128" s="131"/>
    </row>
    <row r="4129" spans="4:15" x14ac:dyDescent="0.3">
      <c r="D4129" s="33"/>
      <c r="E4129" s="127"/>
      <c r="F4129" s="128"/>
      <c r="G4129" s="128"/>
      <c r="H4129" s="129"/>
      <c r="I4129" s="130"/>
      <c r="J4129" s="23"/>
      <c r="K4129" s="23"/>
      <c r="L4129" s="23"/>
      <c r="M4129" s="131"/>
      <c r="N4129" s="131"/>
      <c r="O4129" s="131"/>
    </row>
    <row r="4130" spans="4:15" x14ac:dyDescent="0.3">
      <c r="D4130" s="33"/>
      <c r="E4130" s="127"/>
      <c r="F4130" s="128"/>
      <c r="G4130" s="128"/>
      <c r="H4130" s="129"/>
      <c r="I4130" s="130"/>
      <c r="J4130" s="23"/>
      <c r="K4130" s="23"/>
      <c r="L4130" s="23"/>
      <c r="M4130" s="131"/>
      <c r="N4130" s="131"/>
      <c r="O4130" s="131"/>
    </row>
    <row r="4131" spans="4:15" x14ac:dyDescent="0.3">
      <c r="D4131" s="33"/>
      <c r="E4131" s="127"/>
      <c r="F4131" s="128"/>
      <c r="G4131" s="128"/>
      <c r="H4131" s="129"/>
      <c r="I4131" s="130"/>
      <c r="J4131" s="23"/>
      <c r="K4131" s="23"/>
      <c r="L4131" s="23"/>
      <c r="M4131" s="131"/>
      <c r="N4131" s="131"/>
      <c r="O4131" s="131"/>
    </row>
    <row r="4132" spans="4:15" x14ac:dyDescent="0.3">
      <c r="D4132" s="33"/>
      <c r="E4132" s="127"/>
      <c r="F4132" s="128"/>
      <c r="G4132" s="128"/>
      <c r="H4132" s="129"/>
      <c r="I4132" s="130"/>
      <c r="J4132" s="23"/>
      <c r="K4132" s="23"/>
      <c r="L4132" s="23"/>
      <c r="M4132" s="131"/>
      <c r="N4132" s="131"/>
      <c r="O4132" s="131"/>
    </row>
    <row r="4133" spans="4:15" x14ac:dyDescent="0.3">
      <c r="D4133" s="33"/>
      <c r="E4133" s="127"/>
      <c r="F4133" s="128"/>
      <c r="G4133" s="128"/>
      <c r="H4133" s="129"/>
      <c r="I4133" s="130"/>
      <c r="J4133" s="23"/>
      <c r="K4133" s="23"/>
      <c r="L4133" s="23"/>
      <c r="M4133" s="131"/>
      <c r="N4133" s="131"/>
      <c r="O4133" s="131"/>
    </row>
    <row r="4134" spans="4:15" x14ac:dyDescent="0.3">
      <c r="D4134" s="33"/>
      <c r="E4134" s="127"/>
      <c r="F4134" s="128"/>
      <c r="G4134" s="128"/>
      <c r="H4134" s="129"/>
      <c r="I4134" s="130"/>
      <c r="J4134" s="23"/>
      <c r="K4134" s="23"/>
      <c r="L4134" s="23"/>
      <c r="M4134" s="131"/>
      <c r="N4134" s="131"/>
      <c r="O4134" s="131"/>
    </row>
    <row r="4135" spans="4:15" x14ac:dyDescent="0.3">
      <c r="D4135" s="33"/>
      <c r="E4135" s="127"/>
      <c r="F4135" s="128"/>
      <c r="G4135" s="128"/>
      <c r="H4135" s="129"/>
      <c r="I4135" s="130"/>
      <c r="J4135" s="23"/>
      <c r="K4135" s="23"/>
      <c r="L4135" s="23"/>
      <c r="M4135" s="131"/>
      <c r="N4135" s="131"/>
      <c r="O4135" s="131"/>
    </row>
    <row r="4136" spans="4:15" x14ac:dyDescent="0.3">
      <c r="D4136" s="33"/>
      <c r="E4136" s="127"/>
      <c r="F4136" s="128"/>
      <c r="G4136" s="128"/>
      <c r="H4136" s="129"/>
      <c r="I4136" s="130"/>
      <c r="J4136" s="23"/>
      <c r="K4136" s="23"/>
      <c r="L4136" s="23"/>
      <c r="M4136" s="131"/>
      <c r="N4136" s="131"/>
      <c r="O4136" s="131"/>
    </row>
    <row r="4137" spans="4:15" x14ac:dyDescent="0.3">
      <c r="D4137" s="33"/>
      <c r="E4137" s="127"/>
      <c r="F4137" s="128"/>
      <c r="G4137" s="128"/>
      <c r="H4137" s="129"/>
      <c r="I4137" s="130"/>
      <c r="J4137" s="23"/>
      <c r="K4137" s="23"/>
      <c r="L4137" s="23"/>
      <c r="M4137" s="131"/>
      <c r="N4137" s="131"/>
      <c r="O4137" s="131"/>
    </row>
    <row r="4138" spans="4:15" x14ac:dyDescent="0.3">
      <c r="D4138" s="33"/>
      <c r="E4138" s="127"/>
      <c r="F4138" s="128"/>
      <c r="G4138" s="128"/>
      <c r="H4138" s="129"/>
      <c r="I4138" s="130"/>
      <c r="J4138" s="23"/>
      <c r="K4138" s="23"/>
      <c r="L4138" s="23"/>
      <c r="M4138" s="131"/>
      <c r="N4138" s="131"/>
      <c r="O4138" s="131"/>
    </row>
    <row r="4139" spans="4:15" x14ac:dyDescent="0.3">
      <c r="D4139" s="33"/>
      <c r="E4139" s="127"/>
      <c r="F4139" s="128"/>
      <c r="G4139" s="128"/>
      <c r="H4139" s="129"/>
      <c r="I4139" s="130"/>
      <c r="J4139" s="23"/>
      <c r="K4139" s="23"/>
      <c r="L4139" s="23"/>
      <c r="M4139" s="131"/>
      <c r="N4139" s="131"/>
      <c r="O4139" s="131"/>
    </row>
    <row r="4140" spans="4:15" x14ac:dyDescent="0.3">
      <c r="D4140" s="33"/>
      <c r="E4140" s="127"/>
      <c r="F4140" s="128"/>
      <c r="G4140" s="128"/>
      <c r="H4140" s="129"/>
      <c r="I4140" s="130"/>
      <c r="J4140" s="23"/>
      <c r="K4140" s="23"/>
      <c r="L4140" s="23"/>
      <c r="M4140" s="131"/>
      <c r="N4140" s="131"/>
      <c r="O4140" s="131"/>
    </row>
    <row r="4141" spans="4:15" x14ac:dyDescent="0.3">
      <c r="D4141" s="33"/>
      <c r="E4141" s="127"/>
      <c r="F4141" s="128"/>
      <c r="G4141" s="128"/>
      <c r="H4141" s="129"/>
      <c r="I4141" s="130"/>
      <c r="J4141" s="23"/>
      <c r="K4141" s="23"/>
      <c r="L4141" s="23"/>
      <c r="M4141" s="131"/>
      <c r="N4141" s="131"/>
      <c r="O4141" s="131"/>
    </row>
    <row r="4142" spans="4:15" x14ac:dyDescent="0.3">
      <c r="D4142" s="33"/>
      <c r="E4142" s="127"/>
      <c r="F4142" s="128"/>
      <c r="G4142" s="128"/>
      <c r="H4142" s="129"/>
      <c r="I4142" s="130"/>
      <c r="J4142" s="23"/>
      <c r="K4142" s="23"/>
      <c r="L4142" s="23"/>
      <c r="M4142" s="131"/>
      <c r="N4142" s="131"/>
      <c r="O4142" s="131"/>
    </row>
    <row r="4143" spans="4:15" x14ac:dyDescent="0.3">
      <c r="D4143" s="33"/>
      <c r="E4143" s="127"/>
      <c r="F4143" s="128"/>
      <c r="G4143" s="128"/>
      <c r="H4143" s="129"/>
      <c r="I4143" s="130"/>
      <c r="J4143" s="23"/>
      <c r="K4143" s="23"/>
      <c r="L4143" s="23"/>
      <c r="M4143" s="131"/>
      <c r="N4143" s="131"/>
      <c r="O4143" s="131"/>
    </row>
    <row r="4144" spans="4:15" x14ac:dyDescent="0.3">
      <c r="D4144" s="33"/>
      <c r="E4144" s="127"/>
      <c r="F4144" s="128"/>
      <c r="G4144" s="128"/>
      <c r="H4144" s="129"/>
      <c r="I4144" s="130"/>
      <c r="J4144" s="23"/>
      <c r="K4144" s="23"/>
      <c r="L4144" s="23"/>
      <c r="M4144" s="131"/>
      <c r="N4144" s="131"/>
      <c r="O4144" s="131"/>
    </row>
    <row r="4145" spans="4:15" x14ac:dyDescent="0.3">
      <c r="D4145" s="33"/>
      <c r="E4145" s="127"/>
      <c r="F4145" s="128"/>
      <c r="G4145" s="128"/>
      <c r="H4145" s="129"/>
      <c r="I4145" s="130"/>
      <c r="J4145" s="23"/>
      <c r="K4145" s="23"/>
      <c r="L4145" s="23"/>
      <c r="M4145" s="131"/>
      <c r="N4145" s="131"/>
      <c r="O4145" s="131"/>
    </row>
    <row r="4146" spans="4:15" x14ac:dyDescent="0.3">
      <c r="D4146" s="33"/>
      <c r="E4146" s="127"/>
      <c r="F4146" s="128"/>
      <c r="G4146" s="128"/>
      <c r="H4146" s="129"/>
      <c r="I4146" s="130"/>
      <c r="J4146" s="23"/>
      <c r="K4146" s="23"/>
      <c r="L4146" s="23"/>
      <c r="M4146" s="131"/>
      <c r="N4146" s="131"/>
      <c r="O4146" s="131"/>
    </row>
    <row r="4147" spans="4:15" x14ac:dyDescent="0.3">
      <c r="D4147" s="33"/>
      <c r="E4147" s="127"/>
      <c r="F4147" s="128"/>
      <c r="G4147" s="128"/>
      <c r="H4147" s="129"/>
      <c r="I4147" s="130"/>
      <c r="J4147" s="23"/>
      <c r="K4147" s="23"/>
      <c r="L4147" s="23"/>
      <c r="M4147" s="131"/>
      <c r="N4147" s="131"/>
      <c r="O4147" s="131"/>
    </row>
    <row r="4148" spans="4:15" x14ac:dyDescent="0.3">
      <c r="D4148" s="33"/>
      <c r="E4148" s="127"/>
      <c r="F4148" s="128"/>
      <c r="G4148" s="128"/>
      <c r="H4148" s="129"/>
      <c r="I4148" s="130"/>
      <c r="J4148" s="23"/>
      <c r="K4148" s="23"/>
      <c r="L4148" s="23"/>
      <c r="M4148" s="131"/>
      <c r="N4148" s="131"/>
      <c r="O4148" s="131"/>
    </row>
    <row r="4149" spans="4:15" x14ac:dyDescent="0.3">
      <c r="D4149" s="33"/>
      <c r="E4149" s="127"/>
      <c r="F4149" s="128"/>
      <c r="G4149" s="128"/>
      <c r="H4149" s="129"/>
      <c r="I4149" s="130"/>
      <c r="J4149" s="23"/>
      <c r="K4149" s="23"/>
      <c r="L4149" s="23"/>
      <c r="M4149" s="131"/>
      <c r="N4149" s="131"/>
      <c r="O4149" s="131"/>
    </row>
    <row r="4150" spans="4:15" x14ac:dyDescent="0.3">
      <c r="D4150" s="33"/>
      <c r="E4150" s="127"/>
      <c r="F4150" s="128"/>
      <c r="G4150" s="128"/>
      <c r="H4150" s="129"/>
      <c r="I4150" s="130"/>
      <c r="J4150" s="23"/>
      <c r="K4150" s="23"/>
      <c r="L4150" s="23"/>
      <c r="M4150" s="131"/>
      <c r="N4150" s="131"/>
      <c r="O4150" s="131"/>
    </row>
    <row r="4151" spans="4:15" x14ac:dyDescent="0.3">
      <c r="D4151" s="33"/>
      <c r="E4151" s="127"/>
      <c r="F4151" s="128"/>
      <c r="G4151" s="128"/>
      <c r="H4151" s="129"/>
      <c r="I4151" s="130"/>
      <c r="J4151" s="23"/>
      <c r="K4151" s="23"/>
      <c r="L4151" s="23"/>
      <c r="M4151" s="131"/>
      <c r="N4151" s="131"/>
      <c r="O4151" s="131"/>
    </row>
    <row r="4152" spans="4:15" x14ac:dyDescent="0.3">
      <c r="D4152" s="33"/>
      <c r="E4152" s="127"/>
      <c r="F4152" s="128"/>
      <c r="G4152" s="128"/>
      <c r="H4152" s="129"/>
      <c r="I4152" s="130"/>
      <c r="J4152" s="23"/>
      <c r="K4152" s="23"/>
      <c r="L4152" s="23"/>
      <c r="M4152" s="131"/>
      <c r="N4152" s="131"/>
      <c r="O4152" s="131"/>
    </row>
    <row r="4153" spans="4:15" x14ac:dyDescent="0.3">
      <c r="D4153" s="33"/>
      <c r="E4153" s="127"/>
      <c r="F4153" s="128"/>
      <c r="G4153" s="128"/>
      <c r="H4153" s="129"/>
      <c r="I4153" s="130"/>
      <c r="J4153" s="23"/>
      <c r="K4153" s="23"/>
      <c r="L4153" s="23"/>
      <c r="M4153" s="131"/>
      <c r="N4153" s="131"/>
      <c r="O4153" s="131"/>
    </row>
    <row r="4154" spans="4:15" x14ac:dyDescent="0.3">
      <c r="D4154" s="33"/>
      <c r="E4154" s="127"/>
      <c r="F4154" s="128"/>
      <c r="G4154" s="128"/>
      <c r="H4154" s="129"/>
      <c r="I4154" s="130"/>
      <c r="J4154" s="23"/>
      <c r="K4154" s="23"/>
      <c r="L4154" s="23"/>
      <c r="M4154" s="131"/>
      <c r="N4154" s="131"/>
      <c r="O4154" s="131"/>
    </row>
    <row r="4155" spans="4:15" x14ac:dyDescent="0.3">
      <c r="D4155" s="33"/>
      <c r="E4155" s="127"/>
      <c r="F4155" s="128"/>
      <c r="G4155" s="128"/>
      <c r="H4155" s="129"/>
      <c r="I4155" s="130"/>
      <c r="J4155" s="23"/>
      <c r="K4155" s="23"/>
      <c r="L4155" s="23"/>
      <c r="M4155" s="131"/>
      <c r="N4155" s="131"/>
      <c r="O4155" s="131"/>
    </row>
    <row r="4156" spans="4:15" x14ac:dyDescent="0.3">
      <c r="D4156" s="33"/>
      <c r="E4156" s="127"/>
      <c r="F4156" s="128"/>
      <c r="G4156" s="128"/>
      <c r="H4156" s="129"/>
      <c r="I4156" s="130"/>
      <c r="J4156" s="23"/>
      <c r="K4156" s="23"/>
      <c r="L4156" s="23"/>
      <c r="M4156" s="131"/>
      <c r="N4156" s="131"/>
      <c r="O4156" s="131"/>
    </row>
    <row r="4157" spans="4:15" x14ac:dyDescent="0.3">
      <c r="D4157" s="33"/>
      <c r="E4157" s="127"/>
      <c r="F4157" s="128"/>
      <c r="G4157" s="128"/>
      <c r="H4157" s="129"/>
      <c r="I4157" s="130"/>
      <c r="J4157" s="23"/>
      <c r="K4157" s="23"/>
      <c r="L4157" s="23"/>
      <c r="M4157" s="131"/>
      <c r="N4157" s="131"/>
      <c r="O4157" s="131"/>
    </row>
    <row r="4158" spans="4:15" x14ac:dyDescent="0.3">
      <c r="D4158" s="33"/>
      <c r="E4158" s="127"/>
      <c r="F4158" s="128"/>
      <c r="G4158" s="128"/>
      <c r="H4158" s="129"/>
      <c r="I4158" s="130"/>
      <c r="J4158" s="23"/>
      <c r="K4158" s="23"/>
      <c r="L4158" s="23"/>
      <c r="M4158" s="131"/>
      <c r="N4158" s="131"/>
      <c r="O4158" s="131"/>
    </row>
    <row r="4159" spans="4:15" x14ac:dyDescent="0.3">
      <c r="D4159" s="33"/>
      <c r="E4159" s="127"/>
      <c r="F4159" s="128"/>
      <c r="G4159" s="128"/>
      <c r="H4159" s="129"/>
      <c r="I4159" s="130"/>
      <c r="J4159" s="23"/>
      <c r="K4159" s="23"/>
      <c r="L4159" s="23"/>
      <c r="M4159" s="131"/>
      <c r="N4159" s="131"/>
      <c r="O4159" s="131"/>
    </row>
    <row r="4160" spans="4:15" x14ac:dyDescent="0.3">
      <c r="D4160" s="33"/>
      <c r="E4160" s="127"/>
      <c r="F4160" s="128"/>
      <c r="G4160" s="128"/>
      <c r="H4160" s="129"/>
      <c r="I4160" s="130"/>
      <c r="J4160" s="23"/>
      <c r="K4160" s="23"/>
      <c r="L4160" s="23"/>
      <c r="M4160" s="131"/>
      <c r="N4160" s="131"/>
      <c r="O4160" s="131"/>
    </row>
    <row r="4161" spans="4:15" x14ac:dyDescent="0.3">
      <c r="D4161" s="33"/>
      <c r="E4161" s="127"/>
      <c r="F4161" s="128"/>
      <c r="G4161" s="128"/>
      <c r="H4161" s="129"/>
      <c r="I4161" s="130"/>
      <c r="J4161" s="23"/>
      <c r="K4161" s="23"/>
      <c r="L4161" s="23"/>
      <c r="M4161" s="131"/>
      <c r="N4161" s="131"/>
      <c r="O4161" s="131"/>
    </row>
    <row r="4162" spans="4:15" x14ac:dyDescent="0.3">
      <c r="D4162" s="33"/>
      <c r="E4162" s="127"/>
      <c r="F4162" s="128"/>
      <c r="G4162" s="128"/>
      <c r="H4162" s="129"/>
      <c r="I4162" s="130"/>
      <c r="J4162" s="23"/>
      <c r="K4162" s="23"/>
      <c r="L4162" s="23"/>
      <c r="M4162" s="131"/>
      <c r="N4162" s="131"/>
      <c r="O4162" s="131"/>
    </row>
    <row r="4163" spans="4:15" x14ac:dyDescent="0.3">
      <c r="D4163" s="33"/>
      <c r="E4163" s="127"/>
      <c r="F4163" s="128"/>
      <c r="G4163" s="128"/>
      <c r="H4163" s="129"/>
      <c r="I4163" s="130"/>
      <c r="J4163" s="23"/>
      <c r="K4163" s="23"/>
      <c r="L4163" s="23"/>
      <c r="M4163" s="131"/>
      <c r="N4163" s="131"/>
      <c r="O4163" s="131"/>
    </row>
    <row r="4164" spans="4:15" x14ac:dyDescent="0.3">
      <c r="D4164" s="33"/>
      <c r="E4164" s="127"/>
      <c r="F4164" s="128"/>
      <c r="G4164" s="128"/>
      <c r="H4164" s="129"/>
      <c r="I4164" s="130"/>
      <c r="J4164" s="23"/>
      <c r="K4164" s="23"/>
      <c r="L4164" s="23"/>
      <c r="M4164" s="131"/>
      <c r="N4164" s="131"/>
      <c r="O4164" s="131"/>
    </row>
    <row r="4165" spans="4:15" x14ac:dyDescent="0.3">
      <c r="D4165" s="33"/>
      <c r="E4165" s="127"/>
      <c r="F4165" s="128"/>
      <c r="G4165" s="128"/>
      <c r="H4165" s="129"/>
      <c r="I4165" s="130"/>
      <c r="J4165" s="23"/>
      <c r="K4165" s="23"/>
      <c r="L4165" s="23"/>
      <c r="M4165" s="131"/>
      <c r="N4165" s="131"/>
      <c r="O4165" s="131"/>
    </row>
    <row r="4166" spans="4:15" x14ac:dyDescent="0.3">
      <c r="D4166" s="33"/>
      <c r="E4166" s="127"/>
      <c r="F4166" s="128"/>
      <c r="G4166" s="128"/>
      <c r="H4166" s="129"/>
      <c r="I4166" s="130"/>
      <c r="J4166" s="23"/>
      <c r="K4166" s="23"/>
      <c r="L4166" s="23"/>
      <c r="M4166" s="131"/>
      <c r="N4166" s="131"/>
      <c r="O4166" s="131"/>
    </row>
    <row r="4167" spans="4:15" x14ac:dyDescent="0.3">
      <c r="D4167" s="33"/>
      <c r="E4167" s="127"/>
      <c r="F4167" s="128"/>
      <c r="G4167" s="128"/>
      <c r="H4167" s="129"/>
      <c r="I4167" s="130"/>
      <c r="J4167" s="23"/>
      <c r="K4167" s="23"/>
      <c r="L4167" s="23"/>
      <c r="M4167" s="131"/>
      <c r="N4167" s="131"/>
      <c r="O4167" s="131"/>
    </row>
    <row r="4168" spans="4:15" x14ac:dyDescent="0.3">
      <c r="D4168" s="33"/>
      <c r="E4168" s="127"/>
      <c r="F4168" s="128"/>
      <c r="G4168" s="128"/>
      <c r="H4168" s="129"/>
      <c r="I4168" s="130"/>
      <c r="J4168" s="23"/>
      <c r="K4168" s="23"/>
      <c r="L4168" s="23"/>
      <c r="M4168" s="131"/>
      <c r="N4168" s="131"/>
      <c r="O4168" s="131"/>
    </row>
    <row r="4169" spans="4:15" x14ac:dyDescent="0.3">
      <c r="D4169" s="33"/>
      <c r="E4169" s="127"/>
      <c r="F4169" s="128"/>
      <c r="G4169" s="128"/>
      <c r="H4169" s="129"/>
      <c r="I4169" s="130"/>
      <c r="J4169" s="23"/>
      <c r="K4169" s="23"/>
      <c r="L4169" s="23"/>
      <c r="M4169" s="131"/>
      <c r="N4169" s="131"/>
      <c r="O4169" s="131"/>
    </row>
    <row r="4170" spans="4:15" x14ac:dyDescent="0.3">
      <c r="D4170" s="33"/>
      <c r="E4170" s="127"/>
      <c r="F4170" s="128"/>
      <c r="G4170" s="128"/>
      <c r="H4170" s="129"/>
      <c r="I4170" s="130"/>
      <c r="J4170" s="23"/>
      <c r="K4170" s="23"/>
      <c r="L4170" s="23"/>
      <c r="M4170" s="131"/>
      <c r="N4170" s="131"/>
      <c r="O4170" s="131"/>
    </row>
    <row r="4171" spans="4:15" x14ac:dyDescent="0.3">
      <c r="D4171" s="33"/>
      <c r="E4171" s="127"/>
      <c r="F4171" s="128"/>
      <c r="G4171" s="128"/>
      <c r="H4171" s="129"/>
      <c r="I4171" s="130"/>
      <c r="J4171" s="23"/>
      <c r="K4171" s="23"/>
      <c r="L4171" s="23"/>
      <c r="M4171" s="131"/>
      <c r="N4171" s="131"/>
      <c r="O4171" s="131"/>
    </row>
    <row r="4172" spans="4:15" x14ac:dyDescent="0.3">
      <c r="D4172" s="33"/>
      <c r="E4172" s="127"/>
      <c r="F4172" s="128"/>
      <c r="G4172" s="128"/>
      <c r="H4172" s="129"/>
      <c r="I4172" s="130"/>
      <c r="J4172" s="23"/>
      <c r="K4172" s="23"/>
      <c r="L4172" s="23"/>
      <c r="M4172" s="131"/>
      <c r="N4172" s="131"/>
      <c r="O4172" s="131"/>
    </row>
    <row r="4173" spans="4:15" x14ac:dyDescent="0.3">
      <c r="D4173" s="33"/>
      <c r="E4173" s="127"/>
      <c r="F4173" s="128"/>
      <c r="G4173" s="128"/>
      <c r="H4173" s="129"/>
      <c r="I4173" s="130"/>
      <c r="J4173" s="23"/>
      <c r="K4173" s="23"/>
      <c r="L4173" s="23"/>
      <c r="M4173" s="131"/>
      <c r="N4173" s="131"/>
      <c r="O4173" s="131"/>
    </row>
    <row r="4174" spans="4:15" x14ac:dyDescent="0.3">
      <c r="D4174" s="33"/>
      <c r="E4174" s="127"/>
      <c r="F4174" s="128"/>
      <c r="G4174" s="128"/>
      <c r="H4174" s="129"/>
      <c r="I4174" s="130"/>
      <c r="J4174" s="23"/>
      <c r="K4174" s="23"/>
      <c r="L4174" s="23"/>
      <c r="M4174" s="131"/>
      <c r="N4174" s="131"/>
      <c r="O4174" s="131"/>
    </row>
    <row r="4175" spans="4:15" x14ac:dyDescent="0.3">
      <c r="D4175" s="33"/>
      <c r="E4175" s="127"/>
      <c r="F4175" s="128"/>
      <c r="G4175" s="128"/>
      <c r="H4175" s="129"/>
      <c r="I4175" s="130"/>
      <c r="J4175" s="23"/>
      <c r="K4175" s="23"/>
      <c r="L4175" s="23"/>
      <c r="M4175" s="131"/>
      <c r="N4175" s="131"/>
      <c r="O4175" s="131"/>
    </row>
    <row r="4176" spans="4:15" x14ac:dyDescent="0.3">
      <c r="D4176" s="33"/>
      <c r="E4176" s="127"/>
      <c r="F4176" s="128"/>
      <c r="G4176" s="128"/>
      <c r="H4176" s="129"/>
      <c r="I4176" s="130"/>
      <c r="J4176" s="23"/>
      <c r="K4176" s="23"/>
      <c r="L4176" s="23"/>
      <c r="M4176" s="131"/>
      <c r="N4176" s="131"/>
      <c r="O4176" s="131"/>
    </row>
    <row r="4177" spans="4:15" x14ac:dyDescent="0.3">
      <c r="D4177" s="33"/>
      <c r="E4177" s="127"/>
      <c r="F4177" s="128"/>
      <c r="G4177" s="128"/>
      <c r="H4177" s="129"/>
      <c r="I4177" s="130"/>
      <c r="J4177" s="23"/>
      <c r="K4177" s="23"/>
      <c r="L4177" s="23"/>
      <c r="M4177" s="131"/>
      <c r="N4177" s="131"/>
      <c r="O4177" s="131"/>
    </row>
    <row r="4178" spans="4:15" x14ac:dyDescent="0.3">
      <c r="D4178" s="33"/>
      <c r="E4178" s="127"/>
      <c r="F4178" s="128"/>
      <c r="G4178" s="128"/>
      <c r="H4178" s="129"/>
      <c r="I4178" s="130"/>
      <c r="J4178" s="23"/>
      <c r="K4178" s="23"/>
      <c r="L4178" s="23"/>
      <c r="M4178" s="131"/>
      <c r="N4178" s="131"/>
      <c r="O4178" s="131"/>
    </row>
    <row r="4179" spans="4:15" x14ac:dyDescent="0.3">
      <c r="D4179" s="33"/>
      <c r="E4179" s="127"/>
      <c r="F4179" s="128"/>
      <c r="G4179" s="128"/>
      <c r="H4179" s="129"/>
      <c r="I4179" s="130"/>
      <c r="J4179" s="23"/>
      <c r="K4179" s="23"/>
      <c r="L4179" s="23"/>
      <c r="M4179" s="131"/>
      <c r="N4179" s="131"/>
      <c r="O4179" s="131"/>
    </row>
    <row r="4180" spans="4:15" x14ac:dyDescent="0.3">
      <c r="D4180" s="33"/>
      <c r="E4180" s="127"/>
      <c r="F4180" s="128"/>
      <c r="G4180" s="128"/>
      <c r="H4180" s="129"/>
      <c r="I4180" s="130"/>
      <c r="J4180" s="23"/>
      <c r="K4180" s="23"/>
      <c r="L4180" s="23"/>
      <c r="M4180" s="131"/>
      <c r="N4180" s="131"/>
      <c r="O4180" s="131"/>
    </row>
    <row r="4181" spans="4:15" x14ac:dyDescent="0.3">
      <c r="D4181" s="33"/>
      <c r="E4181" s="127"/>
      <c r="F4181" s="128"/>
      <c r="G4181" s="128"/>
      <c r="H4181" s="129"/>
      <c r="I4181" s="130"/>
      <c r="J4181" s="23"/>
      <c r="K4181" s="23"/>
      <c r="L4181" s="23"/>
      <c r="M4181" s="131"/>
      <c r="N4181" s="131"/>
      <c r="O4181" s="131"/>
    </row>
    <row r="4182" spans="4:15" x14ac:dyDescent="0.3">
      <c r="D4182" s="33"/>
      <c r="E4182" s="127"/>
      <c r="F4182" s="128"/>
      <c r="G4182" s="128"/>
      <c r="H4182" s="129"/>
      <c r="I4182" s="130"/>
      <c r="J4182" s="23"/>
      <c r="K4182" s="23"/>
      <c r="L4182" s="23"/>
      <c r="M4182" s="131"/>
      <c r="N4182" s="131"/>
      <c r="O4182" s="131"/>
    </row>
    <row r="4183" spans="4:15" x14ac:dyDescent="0.3">
      <c r="D4183" s="33"/>
      <c r="E4183" s="127"/>
      <c r="F4183" s="128"/>
      <c r="G4183" s="128"/>
      <c r="H4183" s="129"/>
      <c r="I4183" s="130"/>
      <c r="J4183" s="23"/>
      <c r="K4183" s="23"/>
      <c r="L4183" s="23"/>
      <c r="M4183" s="131"/>
      <c r="N4183" s="131"/>
      <c r="O4183" s="131"/>
    </row>
    <row r="4184" spans="4:15" x14ac:dyDescent="0.3">
      <c r="D4184" s="33"/>
      <c r="E4184" s="127"/>
      <c r="F4184" s="128"/>
      <c r="G4184" s="128"/>
      <c r="H4184" s="129"/>
      <c r="I4184" s="130"/>
      <c r="J4184" s="23"/>
      <c r="K4184" s="23"/>
      <c r="L4184" s="23"/>
      <c r="M4184" s="131"/>
      <c r="N4184" s="131"/>
      <c r="O4184" s="131"/>
    </row>
    <row r="4185" spans="4:15" x14ac:dyDescent="0.3">
      <c r="D4185" s="33"/>
      <c r="E4185" s="127"/>
      <c r="F4185" s="128"/>
      <c r="G4185" s="128"/>
      <c r="H4185" s="129"/>
      <c r="I4185" s="130"/>
      <c r="J4185" s="23"/>
      <c r="K4185" s="23"/>
      <c r="L4185" s="23"/>
      <c r="M4185" s="131"/>
      <c r="N4185" s="131"/>
      <c r="O4185" s="131"/>
    </row>
    <row r="4186" spans="4:15" x14ac:dyDescent="0.3">
      <c r="D4186" s="33"/>
      <c r="E4186" s="127"/>
      <c r="F4186" s="128"/>
      <c r="G4186" s="128"/>
      <c r="H4186" s="129"/>
      <c r="I4186" s="130"/>
      <c r="J4186" s="23"/>
      <c r="K4186" s="23"/>
      <c r="L4186" s="23"/>
      <c r="M4186" s="131"/>
      <c r="N4186" s="131"/>
      <c r="O4186" s="131"/>
    </row>
    <row r="4187" spans="4:15" x14ac:dyDescent="0.3">
      <c r="D4187" s="33"/>
      <c r="E4187" s="127"/>
      <c r="F4187" s="128"/>
      <c r="G4187" s="128"/>
      <c r="H4187" s="129"/>
      <c r="I4187" s="130"/>
      <c r="J4187" s="23"/>
      <c r="K4187" s="23"/>
      <c r="L4187" s="23"/>
      <c r="M4187" s="131"/>
      <c r="N4187" s="131"/>
      <c r="O4187" s="131"/>
    </row>
    <row r="4188" spans="4:15" x14ac:dyDescent="0.3">
      <c r="D4188" s="33"/>
      <c r="E4188" s="127"/>
      <c r="F4188" s="128"/>
      <c r="G4188" s="128"/>
      <c r="H4188" s="129"/>
      <c r="I4188" s="130"/>
      <c r="J4188" s="23"/>
      <c r="K4188" s="23"/>
      <c r="L4188" s="23"/>
      <c r="M4188" s="131"/>
      <c r="N4188" s="131"/>
      <c r="O4188" s="131"/>
    </row>
    <row r="4189" spans="4:15" x14ac:dyDescent="0.3">
      <c r="D4189" s="33"/>
      <c r="E4189" s="127"/>
      <c r="F4189" s="128"/>
      <c r="G4189" s="128"/>
      <c r="H4189" s="129"/>
      <c r="I4189" s="130"/>
      <c r="J4189" s="23"/>
      <c r="K4189" s="23"/>
      <c r="L4189" s="23"/>
      <c r="M4189" s="131"/>
      <c r="N4189" s="131"/>
      <c r="O4189" s="131"/>
    </row>
    <row r="4190" spans="4:15" x14ac:dyDescent="0.3">
      <c r="D4190" s="33"/>
      <c r="E4190" s="127"/>
      <c r="F4190" s="128"/>
      <c r="G4190" s="128"/>
      <c r="H4190" s="129"/>
      <c r="I4190" s="130"/>
      <c r="J4190" s="23"/>
      <c r="K4190" s="23"/>
      <c r="L4190" s="23"/>
      <c r="M4190" s="131"/>
      <c r="N4190" s="131"/>
      <c r="O4190" s="131"/>
    </row>
    <row r="4191" spans="4:15" x14ac:dyDescent="0.3">
      <c r="D4191" s="33"/>
      <c r="E4191" s="127"/>
      <c r="F4191" s="128"/>
      <c r="G4191" s="128"/>
      <c r="H4191" s="129"/>
      <c r="I4191" s="130"/>
      <c r="J4191" s="23"/>
      <c r="K4191" s="23"/>
      <c r="L4191" s="23"/>
      <c r="M4191" s="131"/>
      <c r="N4191" s="131"/>
      <c r="O4191" s="131"/>
    </row>
    <row r="4192" spans="4:15" x14ac:dyDescent="0.3">
      <c r="D4192" s="33"/>
      <c r="E4192" s="127"/>
      <c r="F4192" s="128"/>
      <c r="G4192" s="128"/>
      <c r="H4192" s="129"/>
      <c r="I4192" s="130"/>
      <c r="J4192" s="23"/>
      <c r="K4192" s="23"/>
      <c r="L4192" s="23"/>
      <c r="M4192" s="131"/>
      <c r="N4192" s="131"/>
      <c r="O4192" s="131"/>
    </row>
    <row r="4193" spans="4:15" x14ac:dyDescent="0.3">
      <c r="D4193" s="33"/>
      <c r="E4193" s="127"/>
      <c r="F4193" s="128"/>
      <c r="G4193" s="128"/>
      <c r="H4193" s="129"/>
      <c r="I4193" s="130"/>
      <c r="J4193" s="23"/>
      <c r="K4193" s="23"/>
      <c r="L4193" s="23"/>
      <c r="M4193" s="131"/>
      <c r="N4193" s="131"/>
      <c r="O4193" s="131"/>
    </row>
    <row r="4194" spans="4:15" x14ac:dyDescent="0.3">
      <c r="D4194" s="33"/>
      <c r="E4194" s="127"/>
      <c r="F4194" s="128"/>
      <c r="G4194" s="128"/>
      <c r="H4194" s="129"/>
      <c r="I4194" s="130"/>
      <c r="J4194" s="23"/>
      <c r="K4194" s="23"/>
      <c r="L4194" s="23"/>
      <c r="M4194" s="131"/>
      <c r="N4194" s="131"/>
      <c r="O4194" s="131"/>
    </row>
    <row r="4195" spans="4:15" x14ac:dyDescent="0.3">
      <c r="D4195" s="33"/>
      <c r="E4195" s="127"/>
      <c r="F4195" s="128"/>
      <c r="G4195" s="128"/>
      <c r="H4195" s="129"/>
      <c r="I4195" s="130"/>
      <c r="J4195" s="23"/>
      <c r="K4195" s="23"/>
      <c r="L4195" s="23"/>
      <c r="M4195" s="131"/>
      <c r="N4195" s="131"/>
      <c r="O4195" s="131"/>
    </row>
    <row r="4196" spans="4:15" x14ac:dyDescent="0.3">
      <c r="D4196" s="33"/>
      <c r="E4196" s="127"/>
      <c r="F4196" s="128"/>
      <c r="G4196" s="128"/>
      <c r="H4196" s="129"/>
      <c r="I4196" s="130"/>
      <c r="J4196" s="23"/>
      <c r="K4196" s="23"/>
      <c r="L4196" s="23"/>
      <c r="M4196" s="131"/>
      <c r="N4196" s="131"/>
      <c r="O4196" s="131"/>
    </row>
    <row r="4197" spans="4:15" x14ac:dyDescent="0.3">
      <c r="D4197" s="33"/>
      <c r="E4197" s="127"/>
      <c r="F4197" s="128"/>
      <c r="G4197" s="128"/>
      <c r="H4197" s="129"/>
      <c r="I4197" s="130"/>
      <c r="J4197" s="23"/>
      <c r="K4197" s="23"/>
      <c r="L4197" s="23"/>
      <c r="M4197" s="131"/>
      <c r="N4197" s="131"/>
      <c r="O4197" s="131"/>
    </row>
    <row r="4198" spans="4:15" x14ac:dyDescent="0.3">
      <c r="D4198" s="33"/>
      <c r="E4198" s="127"/>
      <c r="F4198" s="128"/>
      <c r="G4198" s="128"/>
      <c r="H4198" s="129"/>
      <c r="I4198" s="130"/>
      <c r="J4198" s="23"/>
      <c r="K4198" s="23"/>
      <c r="L4198" s="23"/>
      <c r="M4198" s="131"/>
      <c r="N4198" s="131"/>
      <c r="O4198" s="131"/>
    </row>
    <row r="4199" spans="4:15" x14ac:dyDescent="0.3">
      <c r="D4199" s="33"/>
      <c r="E4199" s="127"/>
      <c r="F4199" s="128"/>
      <c r="G4199" s="128"/>
      <c r="H4199" s="129"/>
      <c r="I4199" s="130"/>
      <c r="J4199" s="23"/>
      <c r="K4199" s="23"/>
      <c r="L4199" s="23"/>
      <c r="M4199" s="131"/>
      <c r="N4199" s="131"/>
      <c r="O4199" s="131"/>
    </row>
    <row r="4200" spans="4:15" x14ac:dyDescent="0.3">
      <c r="D4200" s="33"/>
      <c r="E4200" s="127"/>
      <c r="F4200" s="128"/>
      <c r="G4200" s="128"/>
      <c r="H4200" s="129"/>
      <c r="I4200" s="130"/>
      <c r="J4200" s="23"/>
      <c r="K4200" s="23"/>
      <c r="L4200" s="23"/>
      <c r="M4200" s="131"/>
      <c r="N4200" s="131"/>
      <c r="O4200" s="131"/>
    </row>
    <row r="4201" spans="4:15" x14ac:dyDescent="0.3">
      <c r="D4201" s="33"/>
      <c r="E4201" s="127"/>
      <c r="F4201" s="128"/>
      <c r="G4201" s="128"/>
      <c r="H4201" s="129"/>
      <c r="I4201" s="130"/>
      <c r="J4201" s="23"/>
      <c r="K4201" s="23"/>
      <c r="L4201" s="23"/>
      <c r="M4201" s="131"/>
      <c r="N4201" s="131"/>
      <c r="O4201" s="131"/>
    </row>
    <row r="4202" spans="4:15" x14ac:dyDescent="0.3">
      <c r="D4202" s="33"/>
      <c r="E4202" s="127"/>
      <c r="F4202" s="128"/>
      <c r="G4202" s="128"/>
      <c r="H4202" s="129"/>
      <c r="I4202" s="130"/>
      <c r="J4202" s="23"/>
      <c r="K4202" s="23"/>
      <c r="L4202" s="23"/>
      <c r="M4202" s="131"/>
      <c r="N4202" s="131"/>
      <c r="O4202" s="131"/>
    </row>
    <row r="4203" spans="4:15" x14ac:dyDescent="0.3">
      <c r="D4203" s="33"/>
      <c r="E4203" s="127"/>
      <c r="F4203" s="128"/>
      <c r="G4203" s="128"/>
      <c r="H4203" s="129"/>
      <c r="I4203" s="130"/>
      <c r="J4203" s="23"/>
      <c r="K4203" s="23"/>
      <c r="L4203" s="23"/>
      <c r="M4203" s="131"/>
      <c r="N4203" s="131"/>
      <c r="O4203" s="131"/>
    </row>
    <row r="4204" spans="4:15" x14ac:dyDescent="0.3">
      <c r="D4204" s="33"/>
      <c r="E4204" s="127"/>
      <c r="F4204" s="128"/>
      <c r="G4204" s="128"/>
      <c r="H4204" s="129"/>
      <c r="I4204" s="130"/>
      <c r="J4204" s="23"/>
      <c r="K4204" s="23"/>
      <c r="L4204" s="23"/>
      <c r="M4204" s="131"/>
      <c r="N4204" s="131"/>
      <c r="O4204" s="131"/>
    </row>
    <row r="4205" spans="4:15" x14ac:dyDescent="0.3">
      <c r="D4205" s="33"/>
      <c r="E4205" s="127"/>
      <c r="F4205" s="128"/>
      <c r="G4205" s="128"/>
      <c r="H4205" s="129"/>
      <c r="I4205" s="130"/>
      <c r="J4205" s="23"/>
      <c r="K4205" s="23"/>
      <c r="L4205" s="23"/>
      <c r="M4205" s="131"/>
      <c r="N4205" s="131"/>
      <c r="O4205" s="131"/>
    </row>
    <row r="4206" spans="4:15" x14ac:dyDescent="0.3">
      <c r="D4206" s="33"/>
      <c r="E4206" s="127"/>
      <c r="F4206" s="128"/>
      <c r="G4206" s="128"/>
      <c r="H4206" s="129"/>
      <c r="I4206" s="130"/>
      <c r="J4206" s="23"/>
      <c r="K4206" s="23"/>
      <c r="L4206" s="23"/>
      <c r="M4206" s="131"/>
      <c r="N4206" s="131"/>
      <c r="O4206" s="131"/>
    </row>
    <row r="4207" spans="4:15" x14ac:dyDescent="0.3">
      <c r="D4207" s="33"/>
      <c r="E4207" s="127"/>
      <c r="F4207" s="128"/>
      <c r="G4207" s="128"/>
      <c r="H4207" s="129"/>
      <c r="I4207" s="130"/>
      <c r="J4207" s="23"/>
      <c r="K4207" s="23"/>
      <c r="L4207" s="23"/>
      <c r="M4207" s="131"/>
      <c r="N4207" s="131"/>
      <c r="O4207" s="131"/>
    </row>
    <row r="4208" spans="4:15" x14ac:dyDescent="0.3">
      <c r="D4208" s="33"/>
      <c r="E4208" s="127"/>
      <c r="F4208" s="128"/>
      <c r="G4208" s="128"/>
      <c r="H4208" s="129"/>
      <c r="I4208" s="130"/>
      <c r="J4208" s="23"/>
      <c r="K4208" s="23"/>
      <c r="L4208" s="23"/>
      <c r="M4208" s="131"/>
      <c r="N4208" s="131"/>
      <c r="O4208" s="131"/>
    </row>
    <row r="4209" spans="4:15" x14ac:dyDescent="0.3">
      <c r="D4209" s="33"/>
      <c r="E4209" s="127"/>
      <c r="F4209" s="128"/>
      <c r="G4209" s="128"/>
      <c r="H4209" s="129"/>
      <c r="I4209" s="130"/>
      <c r="J4209" s="23"/>
      <c r="K4209" s="23"/>
      <c r="L4209" s="23"/>
      <c r="M4209" s="131"/>
      <c r="N4209" s="131"/>
      <c r="O4209" s="131"/>
    </row>
    <row r="4210" spans="4:15" x14ac:dyDescent="0.3">
      <c r="D4210" s="33"/>
      <c r="E4210" s="127"/>
      <c r="F4210" s="128"/>
      <c r="G4210" s="128"/>
      <c r="H4210" s="129"/>
      <c r="I4210" s="130"/>
      <c r="J4210" s="23"/>
      <c r="K4210" s="23"/>
      <c r="L4210" s="23"/>
      <c r="M4210" s="131"/>
      <c r="N4210" s="131"/>
      <c r="O4210" s="131"/>
    </row>
    <row r="4211" spans="4:15" x14ac:dyDescent="0.3">
      <c r="D4211" s="33"/>
      <c r="E4211" s="127"/>
      <c r="F4211" s="128"/>
      <c r="G4211" s="128"/>
      <c r="H4211" s="129"/>
      <c r="I4211" s="130"/>
      <c r="J4211" s="23"/>
      <c r="K4211" s="23"/>
      <c r="L4211" s="23"/>
      <c r="M4211" s="131"/>
      <c r="N4211" s="131"/>
      <c r="O4211" s="131"/>
    </row>
    <row r="4212" spans="4:15" x14ac:dyDescent="0.3">
      <c r="D4212" s="33"/>
      <c r="E4212" s="127"/>
      <c r="F4212" s="128"/>
      <c r="G4212" s="128"/>
      <c r="H4212" s="129"/>
      <c r="I4212" s="130"/>
      <c r="J4212" s="23"/>
      <c r="K4212" s="23"/>
      <c r="L4212" s="23"/>
      <c r="M4212" s="131"/>
      <c r="N4212" s="131"/>
      <c r="O4212" s="131"/>
    </row>
    <row r="4213" spans="4:15" x14ac:dyDescent="0.3">
      <c r="D4213" s="33"/>
      <c r="E4213" s="127"/>
      <c r="F4213" s="128"/>
      <c r="G4213" s="128"/>
      <c r="H4213" s="129"/>
      <c r="I4213" s="130"/>
      <c r="J4213" s="23"/>
      <c r="K4213" s="23"/>
      <c r="L4213" s="23"/>
      <c r="M4213" s="131"/>
      <c r="N4213" s="131"/>
      <c r="O4213" s="131"/>
    </row>
    <row r="4214" spans="4:15" x14ac:dyDescent="0.3">
      <c r="D4214" s="33"/>
      <c r="E4214" s="127"/>
      <c r="F4214" s="128"/>
      <c r="G4214" s="128"/>
      <c r="H4214" s="129"/>
      <c r="I4214" s="130"/>
      <c r="J4214" s="23"/>
      <c r="K4214" s="23"/>
      <c r="L4214" s="23"/>
      <c r="M4214" s="131"/>
      <c r="N4214" s="131"/>
      <c r="O4214" s="131"/>
    </row>
    <row r="4215" spans="4:15" x14ac:dyDescent="0.3">
      <c r="D4215" s="33"/>
      <c r="E4215" s="127"/>
      <c r="F4215" s="128"/>
      <c r="G4215" s="128"/>
      <c r="H4215" s="129"/>
      <c r="I4215" s="130"/>
      <c r="J4215" s="23"/>
      <c r="K4215" s="23"/>
      <c r="L4215" s="23"/>
      <c r="M4215" s="131"/>
      <c r="N4215" s="131"/>
      <c r="O4215" s="131"/>
    </row>
    <row r="4216" spans="4:15" x14ac:dyDescent="0.3">
      <c r="D4216" s="33"/>
      <c r="E4216" s="127"/>
      <c r="F4216" s="128"/>
      <c r="G4216" s="128"/>
      <c r="H4216" s="129"/>
      <c r="I4216" s="130"/>
      <c r="J4216" s="23"/>
      <c r="K4216" s="23"/>
      <c r="L4216" s="23"/>
      <c r="M4216" s="131"/>
      <c r="N4216" s="131"/>
      <c r="O4216" s="131"/>
    </row>
    <row r="4217" spans="4:15" x14ac:dyDescent="0.3">
      <c r="D4217" s="33"/>
      <c r="E4217" s="127"/>
      <c r="F4217" s="128"/>
      <c r="G4217" s="128"/>
      <c r="H4217" s="129"/>
      <c r="I4217" s="130"/>
      <c r="J4217" s="23"/>
      <c r="K4217" s="23"/>
      <c r="L4217" s="23"/>
      <c r="M4217" s="131"/>
      <c r="N4217" s="131"/>
      <c r="O4217" s="131"/>
    </row>
    <row r="4218" spans="4:15" x14ac:dyDescent="0.3">
      <c r="D4218" s="33"/>
      <c r="E4218" s="127"/>
      <c r="F4218" s="128"/>
      <c r="G4218" s="128"/>
      <c r="H4218" s="129"/>
      <c r="I4218" s="130"/>
      <c r="J4218" s="23"/>
      <c r="K4218" s="23"/>
      <c r="L4218" s="23"/>
      <c r="M4218" s="131"/>
      <c r="N4218" s="131"/>
      <c r="O4218" s="131"/>
    </row>
    <row r="4219" spans="4:15" x14ac:dyDescent="0.3">
      <c r="D4219" s="33"/>
      <c r="E4219" s="127"/>
      <c r="F4219" s="128"/>
      <c r="G4219" s="128"/>
      <c r="H4219" s="129"/>
      <c r="I4219" s="130"/>
      <c r="J4219" s="23"/>
      <c r="K4219" s="23"/>
      <c r="L4219" s="23"/>
      <c r="M4219" s="131"/>
      <c r="N4219" s="131"/>
      <c r="O4219" s="131"/>
    </row>
    <row r="4220" spans="4:15" x14ac:dyDescent="0.3">
      <c r="D4220" s="33"/>
      <c r="E4220" s="127"/>
      <c r="F4220" s="128"/>
      <c r="G4220" s="128"/>
      <c r="H4220" s="129"/>
      <c r="I4220" s="130"/>
      <c r="J4220" s="23"/>
      <c r="K4220" s="23"/>
      <c r="L4220" s="23"/>
      <c r="M4220" s="131"/>
      <c r="N4220" s="131"/>
      <c r="O4220" s="131"/>
    </row>
    <row r="4221" spans="4:15" x14ac:dyDescent="0.3">
      <c r="D4221" s="33"/>
      <c r="E4221" s="127"/>
      <c r="F4221" s="128"/>
      <c r="G4221" s="128"/>
      <c r="H4221" s="129"/>
      <c r="I4221" s="130"/>
      <c r="J4221" s="23"/>
      <c r="K4221" s="23"/>
      <c r="L4221" s="23"/>
      <c r="M4221" s="131"/>
      <c r="N4221" s="131"/>
      <c r="O4221" s="131"/>
    </row>
    <row r="4222" spans="4:15" x14ac:dyDescent="0.3">
      <c r="D4222" s="33"/>
      <c r="E4222" s="127"/>
      <c r="F4222" s="128"/>
      <c r="G4222" s="128"/>
      <c r="H4222" s="129"/>
      <c r="I4222" s="130"/>
      <c r="J4222" s="23"/>
      <c r="K4222" s="23"/>
      <c r="L4222" s="23"/>
      <c r="M4222" s="131"/>
      <c r="N4222" s="131"/>
      <c r="O4222" s="131"/>
    </row>
    <row r="4223" spans="4:15" x14ac:dyDescent="0.3">
      <c r="D4223" s="33"/>
      <c r="E4223" s="127"/>
      <c r="F4223" s="128"/>
      <c r="G4223" s="128"/>
      <c r="H4223" s="129"/>
      <c r="I4223" s="130"/>
      <c r="J4223" s="23"/>
      <c r="K4223" s="23"/>
      <c r="L4223" s="23"/>
      <c r="M4223" s="131"/>
      <c r="N4223" s="131"/>
      <c r="O4223" s="131"/>
    </row>
    <row r="4224" spans="4:15" x14ac:dyDescent="0.3">
      <c r="D4224" s="33"/>
      <c r="E4224" s="127"/>
      <c r="F4224" s="128"/>
      <c r="G4224" s="128"/>
      <c r="H4224" s="129"/>
      <c r="I4224" s="130"/>
      <c r="J4224" s="23"/>
      <c r="K4224" s="23"/>
      <c r="L4224" s="23"/>
      <c r="M4224" s="131"/>
      <c r="N4224" s="131"/>
      <c r="O4224" s="131"/>
    </row>
    <row r="4225" spans="4:15" x14ac:dyDescent="0.3">
      <c r="D4225" s="33"/>
      <c r="E4225" s="127"/>
      <c r="F4225" s="128"/>
      <c r="G4225" s="128"/>
      <c r="H4225" s="129"/>
      <c r="I4225" s="130"/>
      <c r="J4225" s="23"/>
      <c r="K4225" s="23"/>
      <c r="L4225" s="23"/>
      <c r="M4225" s="131"/>
      <c r="N4225" s="131"/>
      <c r="O4225" s="131"/>
    </row>
    <row r="4226" spans="4:15" x14ac:dyDescent="0.3">
      <c r="D4226" s="33"/>
      <c r="E4226" s="127"/>
      <c r="F4226" s="128"/>
      <c r="G4226" s="128"/>
      <c r="H4226" s="129"/>
      <c r="I4226" s="130"/>
      <c r="J4226" s="23"/>
      <c r="K4226" s="23"/>
      <c r="L4226" s="23"/>
      <c r="M4226" s="131"/>
      <c r="N4226" s="131"/>
      <c r="O4226" s="131"/>
    </row>
    <row r="4227" spans="4:15" x14ac:dyDescent="0.3">
      <c r="D4227" s="33"/>
      <c r="E4227" s="127"/>
      <c r="F4227" s="128"/>
      <c r="G4227" s="128"/>
      <c r="H4227" s="129"/>
      <c r="I4227" s="130"/>
      <c r="J4227" s="23"/>
      <c r="K4227" s="23"/>
      <c r="L4227" s="23"/>
      <c r="M4227" s="131"/>
      <c r="N4227" s="131"/>
      <c r="O4227" s="131"/>
    </row>
    <row r="4228" spans="4:15" x14ac:dyDescent="0.3">
      <c r="D4228" s="33"/>
      <c r="E4228" s="127"/>
      <c r="F4228" s="128"/>
      <c r="G4228" s="128"/>
      <c r="H4228" s="129"/>
      <c r="I4228" s="130"/>
      <c r="J4228" s="23"/>
      <c r="K4228" s="23"/>
      <c r="L4228" s="23"/>
      <c r="M4228" s="131"/>
      <c r="N4228" s="131"/>
      <c r="O4228" s="131"/>
    </row>
    <row r="4229" spans="4:15" x14ac:dyDescent="0.3">
      <c r="D4229" s="33"/>
      <c r="E4229" s="127"/>
      <c r="F4229" s="128"/>
      <c r="G4229" s="128"/>
      <c r="H4229" s="129"/>
      <c r="I4229" s="130"/>
      <c r="J4229" s="23"/>
      <c r="K4229" s="23"/>
      <c r="L4229" s="23"/>
      <c r="M4229" s="131"/>
      <c r="N4229" s="131"/>
      <c r="O4229" s="131"/>
    </row>
    <row r="4230" spans="4:15" x14ac:dyDescent="0.3">
      <c r="D4230" s="33"/>
      <c r="E4230" s="127"/>
      <c r="F4230" s="128"/>
      <c r="G4230" s="128"/>
      <c r="H4230" s="129"/>
      <c r="I4230" s="130"/>
      <c r="J4230" s="23"/>
      <c r="K4230" s="23"/>
      <c r="L4230" s="23"/>
      <c r="M4230" s="131"/>
      <c r="N4230" s="131"/>
      <c r="O4230" s="131"/>
    </row>
    <row r="4231" spans="4:15" x14ac:dyDescent="0.3">
      <c r="D4231" s="33"/>
      <c r="E4231" s="127"/>
      <c r="F4231" s="128"/>
      <c r="G4231" s="128"/>
      <c r="H4231" s="129"/>
      <c r="I4231" s="130"/>
      <c r="J4231" s="23"/>
      <c r="K4231" s="23"/>
      <c r="L4231" s="23"/>
      <c r="M4231" s="131"/>
      <c r="N4231" s="131"/>
      <c r="O4231" s="131"/>
    </row>
    <row r="4232" spans="4:15" x14ac:dyDescent="0.3">
      <c r="D4232" s="33"/>
      <c r="E4232" s="127"/>
      <c r="F4232" s="128"/>
      <c r="G4232" s="128"/>
      <c r="H4232" s="129"/>
      <c r="I4232" s="130"/>
      <c r="J4232" s="23"/>
      <c r="K4232" s="23"/>
      <c r="L4232" s="23"/>
      <c r="M4232" s="131"/>
      <c r="N4232" s="131"/>
      <c r="O4232" s="131"/>
    </row>
    <row r="4233" spans="4:15" x14ac:dyDescent="0.3">
      <c r="D4233" s="33"/>
      <c r="E4233" s="127"/>
      <c r="F4233" s="128"/>
      <c r="G4233" s="128"/>
      <c r="H4233" s="129"/>
      <c r="I4233" s="130"/>
      <c r="J4233" s="23"/>
      <c r="K4233" s="23"/>
      <c r="L4233" s="23"/>
      <c r="M4233" s="131"/>
      <c r="N4233" s="131"/>
      <c r="O4233" s="131"/>
    </row>
    <row r="4234" spans="4:15" x14ac:dyDescent="0.3">
      <c r="D4234" s="33"/>
      <c r="E4234" s="127"/>
      <c r="F4234" s="128"/>
      <c r="G4234" s="128"/>
      <c r="H4234" s="129"/>
      <c r="I4234" s="130"/>
      <c r="J4234" s="23"/>
      <c r="K4234" s="23"/>
      <c r="L4234" s="23"/>
      <c r="M4234" s="131"/>
      <c r="N4234" s="131"/>
      <c r="O4234" s="131"/>
    </row>
    <row r="4235" spans="4:15" x14ac:dyDescent="0.3">
      <c r="D4235" s="33"/>
      <c r="E4235" s="127"/>
      <c r="F4235" s="128"/>
      <c r="G4235" s="128"/>
      <c r="H4235" s="129"/>
      <c r="I4235" s="130"/>
      <c r="J4235" s="23"/>
      <c r="K4235" s="23"/>
      <c r="L4235" s="23"/>
      <c r="M4235" s="131"/>
      <c r="N4235" s="131"/>
      <c r="O4235" s="131"/>
    </row>
    <row r="4236" spans="4:15" x14ac:dyDescent="0.3">
      <c r="D4236" s="33"/>
      <c r="E4236" s="127"/>
      <c r="F4236" s="128"/>
      <c r="G4236" s="128"/>
      <c r="H4236" s="129"/>
      <c r="I4236" s="130"/>
      <c r="J4236" s="23"/>
      <c r="K4236" s="23"/>
      <c r="L4236" s="23"/>
      <c r="M4236" s="131"/>
      <c r="N4236" s="131"/>
      <c r="O4236" s="131"/>
    </row>
    <row r="4237" spans="4:15" x14ac:dyDescent="0.3">
      <c r="D4237" s="33"/>
      <c r="E4237" s="127"/>
      <c r="F4237" s="128"/>
      <c r="G4237" s="128"/>
      <c r="H4237" s="129"/>
      <c r="I4237" s="130"/>
      <c r="J4237" s="23"/>
      <c r="K4237" s="23"/>
      <c r="L4237" s="23"/>
      <c r="M4237" s="131"/>
      <c r="N4237" s="131"/>
      <c r="O4237" s="131"/>
    </row>
    <row r="4238" spans="4:15" x14ac:dyDescent="0.3">
      <c r="D4238" s="33"/>
      <c r="E4238" s="127"/>
      <c r="F4238" s="128"/>
      <c r="G4238" s="128"/>
      <c r="H4238" s="129"/>
      <c r="I4238" s="130"/>
      <c r="J4238" s="23"/>
      <c r="K4238" s="23"/>
      <c r="L4238" s="23"/>
      <c r="M4238" s="131"/>
      <c r="N4238" s="131"/>
      <c r="O4238" s="131"/>
    </row>
    <row r="4239" spans="4:15" x14ac:dyDescent="0.3">
      <c r="D4239" s="33"/>
      <c r="E4239" s="127"/>
      <c r="F4239" s="128"/>
      <c r="G4239" s="128"/>
      <c r="H4239" s="129"/>
      <c r="I4239" s="130"/>
      <c r="J4239" s="23"/>
      <c r="K4239" s="23"/>
      <c r="L4239" s="23"/>
      <c r="M4239" s="131"/>
      <c r="N4239" s="131"/>
      <c r="O4239" s="131"/>
    </row>
    <row r="4240" spans="4:15" x14ac:dyDescent="0.3">
      <c r="D4240" s="33"/>
      <c r="E4240" s="127"/>
      <c r="F4240" s="128"/>
      <c r="G4240" s="128"/>
      <c r="H4240" s="129"/>
      <c r="I4240" s="130"/>
      <c r="J4240" s="23"/>
      <c r="K4240" s="23"/>
      <c r="L4240" s="23"/>
      <c r="M4240" s="131"/>
      <c r="N4240" s="131"/>
      <c r="O4240" s="131"/>
    </row>
    <row r="4241" spans="4:15" x14ac:dyDescent="0.3">
      <c r="D4241" s="33"/>
      <c r="E4241" s="127"/>
      <c r="F4241" s="128"/>
      <c r="G4241" s="128"/>
      <c r="H4241" s="129"/>
      <c r="I4241" s="130"/>
      <c r="J4241" s="23"/>
      <c r="K4241" s="23"/>
      <c r="L4241" s="23"/>
      <c r="M4241" s="131"/>
      <c r="N4241" s="131"/>
      <c r="O4241" s="131"/>
    </row>
    <row r="4242" spans="4:15" x14ac:dyDescent="0.3">
      <c r="D4242" s="33"/>
      <c r="E4242" s="127"/>
      <c r="F4242" s="128"/>
      <c r="G4242" s="128"/>
      <c r="H4242" s="129"/>
      <c r="I4242" s="130"/>
      <c r="J4242" s="23"/>
      <c r="K4242" s="23"/>
      <c r="L4242" s="23"/>
      <c r="M4242" s="131"/>
      <c r="N4242" s="131"/>
      <c r="O4242" s="131"/>
    </row>
    <row r="4243" spans="4:15" x14ac:dyDescent="0.3">
      <c r="D4243" s="33"/>
      <c r="E4243" s="127"/>
      <c r="F4243" s="128"/>
      <c r="G4243" s="128"/>
      <c r="H4243" s="129"/>
      <c r="I4243" s="130"/>
      <c r="J4243" s="23"/>
      <c r="K4243" s="23"/>
      <c r="L4243" s="23"/>
      <c r="M4243" s="131"/>
      <c r="N4243" s="131"/>
      <c r="O4243" s="131"/>
    </row>
    <row r="4244" spans="4:15" x14ac:dyDescent="0.3">
      <c r="D4244" s="33"/>
      <c r="E4244" s="127"/>
      <c r="F4244" s="128"/>
      <c r="G4244" s="128"/>
      <c r="H4244" s="129"/>
      <c r="I4244" s="130"/>
      <c r="J4244" s="23"/>
      <c r="K4244" s="23"/>
      <c r="L4244" s="23"/>
      <c r="M4244" s="131"/>
      <c r="N4244" s="131"/>
      <c r="O4244" s="131"/>
    </row>
    <row r="4245" spans="4:15" x14ac:dyDescent="0.3">
      <c r="D4245" s="33"/>
      <c r="E4245" s="127"/>
      <c r="F4245" s="128"/>
      <c r="G4245" s="128"/>
      <c r="H4245" s="129"/>
      <c r="I4245" s="130"/>
      <c r="J4245" s="23"/>
      <c r="K4245" s="23"/>
      <c r="L4245" s="23"/>
      <c r="M4245" s="131"/>
      <c r="N4245" s="131"/>
      <c r="O4245" s="131"/>
    </row>
    <row r="4246" spans="4:15" x14ac:dyDescent="0.3">
      <c r="D4246" s="33"/>
      <c r="E4246" s="127"/>
      <c r="F4246" s="128"/>
      <c r="G4246" s="128"/>
      <c r="H4246" s="129"/>
      <c r="I4246" s="130"/>
      <c r="J4246" s="23"/>
      <c r="K4246" s="23"/>
      <c r="L4246" s="23"/>
      <c r="M4246" s="131"/>
      <c r="N4246" s="131"/>
      <c r="O4246" s="131"/>
    </row>
    <row r="4247" spans="4:15" x14ac:dyDescent="0.3">
      <c r="D4247" s="33"/>
      <c r="E4247" s="127"/>
      <c r="F4247" s="128"/>
      <c r="G4247" s="128"/>
      <c r="H4247" s="129"/>
      <c r="I4247" s="130"/>
      <c r="J4247" s="23"/>
      <c r="K4247" s="23"/>
      <c r="L4247" s="23"/>
      <c r="M4247" s="131"/>
      <c r="N4247" s="131"/>
      <c r="O4247" s="131"/>
    </row>
    <row r="4248" spans="4:15" x14ac:dyDescent="0.3">
      <c r="D4248" s="33"/>
      <c r="E4248" s="127"/>
      <c r="F4248" s="128"/>
      <c r="G4248" s="128"/>
      <c r="H4248" s="129"/>
      <c r="I4248" s="130"/>
      <c r="J4248" s="23"/>
      <c r="K4248" s="23"/>
      <c r="L4248" s="23"/>
      <c r="M4248" s="131"/>
      <c r="N4248" s="131"/>
      <c r="O4248" s="131"/>
    </row>
    <row r="4249" spans="4:15" x14ac:dyDescent="0.3">
      <c r="D4249" s="33"/>
      <c r="E4249" s="127"/>
      <c r="F4249" s="128"/>
      <c r="G4249" s="128"/>
      <c r="H4249" s="129"/>
      <c r="I4249" s="130"/>
      <c r="J4249" s="23"/>
      <c r="K4249" s="23"/>
      <c r="L4249" s="23"/>
      <c r="M4249" s="131"/>
      <c r="N4249" s="131"/>
      <c r="O4249" s="131"/>
    </row>
    <row r="4250" spans="4:15" x14ac:dyDescent="0.3">
      <c r="D4250" s="33"/>
      <c r="E4250" s="127"/>
      <c r="F4250" s="128"/>
      <c r="G4250" s="128"/>
      <c r="H4250" s="129"/>
      <c r="I4250" s="130"/>
      <c r="J4250" s="23"/>
      <c r="K4250" s="23"/>
      <c r="L4250" s="23"/>
      <c r="M4250" s="131"/>
      <c r="N4250" s="131"/>
      <c r="O4250" s="131"/>
    </row>
    <row r="4251" spans="4:15" x14ac:dyDescent="0.3">
      <c r="D4251" s="33"/>
      <c r="E4251" s="127"/>
      <c r="F4251" s="128"/>
      <c r="G4251" s="128"/>
      <c r="H4251" s="129"/>
      <c r="I4251" s="130"/>
      <c r="J4251" s="23"/>
      <c r="K4251" s="23"/>
      <c r="L4251" s="23"/>
      <c r="M4251" s="131"/>
      <c r="N4251" s="131"/>
      <c r="O4251" s="131"/>
    </row>
    <row r="4252" spans="4:15" x14ac:dyDescent="0.3">
      <c r="D4252" s="33"/>
      <c r="E4252" s="127"/>
      <c r="F4252" s="128"/>
      <c r="G4252" s="128"/>
      <c r="H4252" s="129"/>
      <c r="I4252" s="130"/>
      <c r="J4252" s="23"/>
      <c r="K4252" s="23"/>
      <c r="L4252" s="23"/>
      <c r="M4252" s="131"/>
      <c r="N4252" s="131"/>
      <c r="O4252" s="131"/>
    </row>
    <row r="4253" spans="4:15" x14ac:dyDescent="0.3">
      <c r="D4253" s="33"/>
      <c r="E4253" s="127"/>
      <c r="F4253" s="128"/>
      <c r="G4253" s="128"/>
      <c r="H4253" s="129"/>
      <c r="I4253" s="130"/>
      <c r="J4253" s="23"/>
      <c r="K4253" s="23"/>
      <c r="L4253" s="23"/>
      <c r="M4253" s="131"/>
      <c r="N4253" s="131"/>
      <c r="O4253" s="131"/>
    </row>
    <row r="4254" spans="4:15" x14ac:dyDescent="0.3">
      <c r="D4254" s="33"/>
      <c r="E4254" s="127"/>
      <c r="F4254" s="128"/>
      <c r="G4254" s="128"/>
      <c r="H4254" s="129"/>
      <c r="I4254" s="130"/>
      <c r="J4254" s="23"/>
      <c r="K4254" s="23"/>
      <c r="L4254" s="23"/>
      <c r="M4254" s="131"/>
      <c r="N4254" s="131"/>
      <c r="O4254" s="131"/>
    </row>
    <row r="4255" spans="4:15" x14ac:dyDescent="0.3">
      <c r="D4255" s="33"/>
      <c r="E4255" s="127"/>
      <c r="F4255" s="128"/>
      <c r="G4255" s="128"/>
      <c r="H4255" s="129"/>
      <c r="I4255" s="130"/>
      <c r="J4255" s="23"/>
      <c r="K4255" s="23"/>
      <c r="L4255" s="23"/>
      <c r="M4255" s="131"/>
      <c r="N4255" s="131"/>
      <c r="O4255" s="131"/>
    </row>
    <row r="4256" spans="4:15" x14ac:dyDescent="0.3">
      <c r="D4256" s="33"/>
      <c r="E4256" s="127"/>
      <c r="F4256" s="128"/>
      <c r="G4256" s="128"/>
      <c r="H4256" s="129"/>
      <c r="I4256" s="130"/>
      <c r="J4256" s="23"/>
      <c r="K4256" s="23"/>
      <c r="L4256" s="23"/>
      <c r="M4256" s="131"/>
      <c r="N4256" s="131"/>
      <c r="O4256" s="131"/>
    </row>
    <row r="4257" spans="4:15" x14ac:dyDescent="0.3">
      <c r="D4257" s="33"/>
      <c r="E4257" s="127"/>
      <c r="F4257" s="128"/>
      <c r="G4257" s="128"/>
      <c r="H4257" s="129"/>
      <c r="I4257" s="130"/>
      <c r="J4257" s="23"/>
      <c r="K4257" s="23"/>
      <c r="L4257" s="23"/>
      <c r="M4257" s="131"/>
      <c r="N4257" s="131"/>
      <c r="O4257" s="131"/>
    </row>
    <row r="4258" spans="4:15" x14ac:dyDescent="0.3">
      <c r="D4258" s="33"/>
      <c r="E4258" s="127"/>
      <c r="F4258" s="128"/>
      <c r="G4258" s="128"/>
      <c r="H4258" s="129"/>
      <c r="I4258" s="130"/>
      <c r="J4258" s="23"/>
      <c r="K4258" s="23"/>
      <c r="L4258" s="23"/>
      <c r="M4258" s="131"/>
      <c r="N4258" s="131"/>
      <c r="O4258" s="131"/>
    </row>
    <row r="4259" spans="4:15" x14ac:dyDescent="0.3">
      <c r="D4259" s="33"/>
      <c r="E4259" s="127"/>
      <c r="F4259" s="128"/>
      <c r="G4259" s="128"/>
      <c r="H4259" s="129"/>
      <c r="I4259" s="130"/>
      <c r="J4259" s="23"/>
      <c r="K4259" s="23"/>
      <c r="L4259" s="23"/>
      <c r="M4259" s="131"/>
      <c r="N4259" s="131"/>
      <c r="O4259" s="131"/>
    </row>
    <row r="4260" spans="4:15" x14ac:dyDescent="0.3">
      <c r="D4260" s="33"/>
      <c r="E4260" s="127"/>
      <c r="F4260" s="128"/>
      <c r="G4260" s="128"/>
      <c r="H4260" s="129"/>
      <c r="I4260" s="130"/>
      <c r="J4260" s="23"/>
      <c r="K4260" s="23"/>
      <c r="L4260" s="23"/>
      <c r="M4260" s="131"/>
      <c r="N4260" s="131"/>
      <c r="O4260" s="131"/>
    </row>
    <row r="4261" spans="4:15" x14ac:dyDescent="0.3">
      <c r="D4261" s="33"/>
      <c r="E4261" s="127"/>
      <c r="F4261" s="128"/>
      <c r="G4261" s="128"/>
      <c r="H4261" s="129"/>
      <c r="I4261" s="130"/>
      <c r="J4261" s="23"/>
      <c r="K4261" s="23"/>
      <c r="L4261" s="23"/>
      <c r="M4261" s="131"/>
      <c r="N4261" s="131"/>
      <c r="O4261" s="131"/>
    </row>
    <row r="4262" spans="4:15" x14ac:dyDescent="0.3">
      <c r="D4262" s="33"/>
      <c r="E4262" s="127"/>
      <c r="F4262" s="128"/>
      <c r="G4262" s="128"/>
      <c r="H4262" s="129"/>
      <c r="I4262" s="130"/>
      <c r="J4262" s="23"/>
      <c r="K4262" s="23"/>
      <c r="L4262" s="23"/>
      <c r="M4262" s="131"/>
      <c r="N4262" s="131"/>
      <c r="O4262" s="131"/>
    </row>
    <row r="4263" spans="4:15" x14ac:dyDescent="0.3">
      <c r="D4263" s="33"/>
      <c r="E4263" s="127"/>
      <c r="F4263" s="128"/>
      <c r="G4263" s="128"/>
      <c r="H4263" s="129"/>
      <c r="I4263" s="130"/>
      <c r="J4263" s="23"/>
      <c r="K4263" s="23"/>
      <c r="L4263" s="23"/>
      <c r="M4263" s="131"/>
      <c r="N4263" s="131"/>
      <c r="O4263" s="131"/>
    </row>
    <row r="4264" spans="4:15" x14ac:dyDescent="0.3">
      <c r="D4264" s="33"/>
      <c r="E4264" s="127"/>
      <c r="F4264" s="128"/>
      <c r="G4264" s="128"/>
      <c r="H4264" s="129"/>
      <c r="I4264" s="130"/>
      <c r="J4264" s="23"/>
      <c r="K4264" s="23"/>
      <c r="L4264" s="23"/>
      <c r="M4264" s="131"/>
      <c r="N4264" s="131"/>
      <c r="O4264" s="131"/>
    </row>
    <row r="4265" spans="4:15" x14ac:dyDescent="0.3">
      <c r="D4265" s="33"/>
      <c r="E4265" s="127"/>
      <c r="F4265" s="128"/>
      <c r="G4265" s="128"/>
      <c r="H4265" s="129"/>
      <c r="I4265" s="130"/>
      <c r="J4265" s="23"/>
      <c r="K4265" s="23"/>
      <c r="L4265" s="23"/>
      <c r="M4265" s="131"/>
      <c r="N4265" s="131"/>
      <c r="O4265" s="131"/>
    </row>
    <row r="4266" spans="4:15" x14ac:dyDescent="0.3">
      <c r="D4266" s="33"/>
      <c r="E4266" s="127"/>
      <c r="F4266" s="128"/>
      <c r="G4266" s="128"/>
      <c r="H4266" s="129"/>
      <c r="I4266" s="130"/>
      <c r="J4266" s="23"/>
      <c r="K4266" s="23"/>
      <c r="L4266" s="23"/>
      <c r="M4266" s="131"/>
      <c r="N4266" s="131"/>
      <c r="O4266" s="131"/>
    </row>
    <row r="4267" spans="4:15" x14ac:dyDescent="0.3">
      <c r="D4267" s="33"/>
      <c r="E4267" s="127"/>
      <c r="F4267" s="128"/>
      <c r="G4267" s="128"/>
      <c r="H4267" s="129"/>
      <c r="I4267" s="130"/>
      <c r="J4267" s="23"/>
      <c r="K4267" s="23"/>
      <c r="L4267" s="23"/>
      <c r="M4267" s="131"/>
      <c r="N4267" s="131"/>
      <c r="O4267" s="131"/>
    </row>
    <row r="4268" spans="4:15" x14ac:dyDescent="0.3">
      <c r="D4268" s="33"/>
      <c r="E4268" s="127"/>
      <c r="F4268" s="128"/>
      <c r="G4268" s="128"/>
      <c r="H4268" s="129"/>
      <c r="I4268" s="130"/>
      <c r="J4268" s="23"/>
      <c r="K4268" s="23"/>
      <c r="L4268" s="23"/>
      <c r="M4268" s="131"/>
      <c r="N4268" s="131"/>
      <c r="O4268" s="131"/>
    </row>
    <row r="4269" spans="4:15" x14ac:dyDescent="0.3">
      <c r="D4269" s="33"/>
      <c r="E4269" s="127"/>
      <c r="F4269" s="128"/>
      <c r="G4269" s="128"/>
      <c r="H4269" s="129"/>
      <c r="I4269" s="130"/>
      <c r="J4269" s="23"/>
      <c r="K4269" s="23"/>
      <c r="L4269" s="23"/>
      <c r="M4269" s="131"/>
      <c r="N4269" s="131"/>
      <c r="O4269" s="131"/>
    </row>
    <row r="4270" spans="4:15" x14ac:dyDescent="0.3">
      <c r="D4270" s="33"/>
      <c r="E4270" s="127"/>
      <c r="F4270" s="128"/>
      <c r="G4270" s="128"/>
      <c r="H4270" s="129"/>
      <c r="I4270" s="130"/>
      <c r="J4270" s="23"/>
      <c r="K4270" s="23"/>
      <c r="L4270" s="23"/>
      <c r="M4270" s="131"/>
      <c r="N4270" s="131"/>
      <c r="O4270" s="131"/>
    </row>
    <row r="4271" spans="4:15" x14ac:dyDescent="0.3">
      <c r="D4271" s="33"/>
      <c r="E4271" s="127"/>
      <c r="F4271" s="128"/>
      <c r="G4271" s="128"/>
      <c r="H4271" s="129"/>
      <c r="I4271" s="130"/>
      <c r="J4271" s="23"/>
      <c r="K4271" s="23"/>
      <c r="L4271" s="23"/>
      <c r="M4271" s="131"/>
      <c r="N4271" s="131"/>
      <c r="O4271" s="131"/>
    </row>
    <row r="4272" spans="4:15" x14ac:dyDescent="0.3">
      <c r="D4272" s="33"/>
      <c r="E4272" s="127"/>
      <c r="F4272" s="128"/>
      <c r="G4272" s="128"/>
      <c r="H4272" s="129"/>
      <c r="I4272" s="130"/>
      <c r="J4272" s="23"/>
      <c r="K4272" s="23"/>
      <c r="L4272" s="23"/>
      <c r="M4272" s="131"/>
      <c r="N4272" s="131"/>
      <c r="O4272" s="131"/>
    </row>
    <row r="4273" spans="4:15" x14ac:dyDescent="0.3">
      <c r="D4273" s="33"/>
      <c r="E4273" s="127"/>
      <c r="F4273" s="128"/>
      <c r="G4273" s="128"/>
      <c r="H4273" s="129"/>
      <c r="I4273" s="130"/>
      <c r="J4273" s="23"/>
      <c r="K4273" s="23"/>
      <c r="L4273" s="23"/>
      <c r="M4273" s="131"/>
      <c r="N4273" s="131"/>
      <c r="O4273" s="131"/>
    </row>
    <row r="4274" spans="4:15" x14ac:dyDescent="0.3">
      <c r="D4274" s="33"/>
      <c r="E4274" s="127"/>
      <c r="F4274" s="128"/>
      <c r="G4274" s="128"/>
      <c r="H4274" s="129"/>
      <c r="I4274" s="130"/>
      <c r="J4274" s="23"/>
      <c r="K4274" s="23"/>
      <c r="L4274" s="23"/>
      <c r="M4274" s="131"/>
      <c r="N4274" s="131"/>
      <c r="O4274" s="131"/>
    </row>
    <row r="4275" spans="4:15" x14ac:dyDescent="0.3">
      <c r="D4275" s="33"/>
      <c r="E4275" s="127"/>
      <c r="F4275" s="128"/>
      <c r="G4275" s="128"/>
      <c r="H4275" s="129"/>
      <c r="I4275" s="130"/>
      <c r="J4275" s="23"/>
      <c r="K4275" s="23"/>
      <c r="L4275" s="23"/>
      <c r="M4275" s="131"/>
      <c r="N4275" s="131"/>
      <c r="O4275" s="131"/>
    </row>
    <row r="4276" spans="4:15" x14ac:dyDescent="0.3">
      <c r="D4276" s="33"/>
      <c r="E4276" s="127"/>
      <c r="F4276" s="128"/>
      <c r="G4276" s="128"/>
      <c r="H4276" s="129"/>
      <c r="I4276" s="130"/>
      <c r="J4276" s="23"/>
      <c r="K4276" s="23"/>
      <c r="L4276" s="23"/>
      <c r="M4276" s="131"/>
      <c r="N4276" s="131"/>
      <c r="O4276" s="131"/>
    </row>
    <row r="4277" spans="4:15" x14ac:dyDescent="0.3">
      <c r="D4277" s="33"/>
      <c r="E4277" s="127"/>
      <c r="F4277" s="128"/>
      <c r="G4277" s="128"/>
      <c r="H4277" s="129"/>
      <c r="I4277" s="130"/>
      <c r="J4277" s="23"/>
      <c r="K4277" s="23"/>
      <c r="L4277" s="23"/>
      <c r="M4277" s="131"/>
      <c r="N4277" s="131"/>
      <c r="O4277" s="131"/>
    </row>
    <row r="4278" spans="4:15" x14ac:dyDescent="0.3">
      <c r="D4278" s="33"/>
      <c r="E4278" s="127"/>
      <c r="F4278" s="128"/>
      <c r="G4278" s="128"/>
      <c r="H4278" s="129"/>
      <c r="I4278" s="130"/>
      <c r="J4278" s="23"/>
      <c r="K4278" s="23"/>
      <c r="L4278" s="23"/>
      <c r="M4278" s="131"/>
      <c r="N4278" s="131"/>
      <c r="O4278" s="131"/>
    </row>
    <row r="4279" spans="4:15" x14ac:dyDescent="0.3">
      <c r="D4279" s="33"/>
      <c r="E4279" s="127"/>
      <c r="F4279" s="128"/>
      <c r="G4279" s="128"/>
      <c r="H4279" s="129"/>
      <c r="I4279" s="130"/>
      <c r="J4279" s="23"/>
      <c r="K4279" s="23"/>
      <c r="L4279" s="23"/>
      <c r="M4279" s="131"/>
      <c r="N4279" s="131"/>
      <c r="O4279" s="131"/>
    </row>
    <row r="4280" spans="4:15" x14ac:dyDescent="0.3">
      <c r="D4280" s="33"/>
      <c r="E4280" s="127"/>
      <c r="F4280" s="128"/>
      <c r="G4280" s="128"/>
      <c r="H4280" s="129"/>
      <c r="I4280" s="130"/>
      <c r="J4280" s="23"/>
      <c r="K4280" s="23"/>
      <c r="L4280" s="23"/>
      <c r="M4280" s="131"/>
      <c r="N4280" s="131"/>
      <c r="O4280" s="131"/>
    </row>
    <row r="4281" spans="4:15" x14ac:dyDescent="0.3">
      <c r="D4281" s="33"/>
      <c r="E4281" s="127"/>
      <c r="F4281" s="128"/>
      <c r="G4281" s="128"/>
      <c r="H4281" s="129"/>
      <c r="I4281" s="130"/>
      <c r="J4281" s="23"/>
      <c r="K4281" s="23"/>
      <c r="L4281" s="23"/>
      <c r="M4281" s="131"/>
      <c r="N4281" s="131"/>
      <c r="O4281" s="131"/>
    </row>
    <row r="4282" spans="4:15" x14ac:dyDescent="0.3">
      <c r="D4282" s="33"/>
      <c r="E4282" s="127"/>
      <c r="F4282" s="128"/>
      <c r="G4282" s="128"/>
      <c r="H4282" s="129"/>
      <c r="I4282" s="130"/>
      <c r="J4282" s="23"/>
      <c r="K4282" s="23"/>
      <c r="L4282" s="23"/>
      <c r="M4282" s="131"/>
      <c r="N4282" s="131"/>
      <c r="O4282" s="131"/>
    </row>
    <row r="4283" spans="4:15" x14ac:dyDescent="0.3">
      <c r="D4283" s="33"/>
      <c r="E4283" s="127"/>
      <c r="F4283" s="128"/>
      <c r="G4283" s="128"/>
      <c r="H4283" s="129"/>
      <c r="I4283" s="130"/>
      <c r="J4283" s="23"/>
      <c r="K4283" s="23"/>
      <c r="L4283" s="23"/>
      <c r="M4283" s="131"/>
      <c r="N4283" s="131"/>
      <c r="O4283" s="131"/>
    </row>
    <row r="4284" spans="4:15" x14ac:dyDescent="0.3">
      <c r="D4284" s="33"/>
      <c r="E4284" s="127"/>
      <c r="F4284" s="128"/>
      <c r="G4284" s="128"/>
      <c r="H4284" s="129"/>
      <c r="I4284" s="130"/>
      <c r="J4284" s="23"/>
      <c r="K4284" s="23"/>
      <c r="L4284" s="23"/>
      <c r="M4284" s="131"/>
      <c r="N4284" s="131"/>
      <c r="O4284" s="131"/>
    </row>
    <row r="4285" spans="4:15" x14ac:dyDescent="0.3">
      <c r="D4285" s="33"/>
      <c r="E4285" s="127"/>
      <c r="F4285" s="128"/>
      <c r="G4285" s="128"/>
      <c r="H4285" s="129"/>
      <c r="I4285" s="130"/>
      <c r="J4285" s="23"/>
      <c r="K4285" s="23"/>
      <c r="L4285" s="23"/>
      <c r="M4285" s="131"/>
      <c r="N4285" s="131"/>
      <c r="O4285" s="131"/>
    </row>
    <row r="4286" spans="4:15" x14ac:dyDescent="0.3">
      <c r="D4286" s="33"/>
      <c r="E4286" s="127"/>
      <c r="F4286" s="128"/>
      <c r="G4286" s="128"/>
      <c r="H4286" s="129"/>
      <c r="I4286" s="130"/>
      <c r="J4286" s="23"/>
      <c r="K4286" s="23"/>
      <c r="L4286" s="23"/>
      <c r="M4286" s="131"/>
      <c r="N4286" s="131"/>
      <c r="O4286" s="131"/>
    </row>
    <row r="4287" spans="4:15" x14ac:dyDescent="0.3">
      <c r="D4287" s="33"/>
      <c r="E4287" s="127"/>
      <c r="F4287" s="128"/>
      <c r="G4287" s="128"/>
      <c r="H4287" s="129"/>
      <c r="I4287" s="130"/>
      <c r="J4287" s="23"/>
      <c r="K4287" s="23"/>
      <c r="L4287" s="23"/>
      <c r="M4287" s="131"/>
      <c r="N4287" s="131"/>
      <c r="O4287" s="131"/>
    </row>
    <row r="4288" spans="4:15" x14ac:dyDescent="0.3">
      <c r="D4288" s="33"/>
      <c r="E4288" s="127"/>
      <c r="F4288" s="128"/>
      <c r="G4288" s="128"/>
      <c r="H4288" s="129"/>
      <c r="I4288" s="130"/>
      <c r="J4288" s="23"/>
      <c r="K4288" s="23"/>
      <c r="L4288" s="23"/>
      <c r="M4288" s="131"/>
      <c r="N4288" s="131"/>
      <c r="O4288" s="131"/>
    </row>
    <row r="4289" spans="4:15" x14ac:dyDescent="0.3">
      <c r="D4289" s="33"/>
      <c r="E4289" s="127"/>
      <c r="F4289" s="128"/>
      <c r="G4289" s="128"/>
      <c r="H4289" s="129"/>
      <c r="I4289" s="130"/>
      <c r="J4289" s="23"/>
      <c r="K4289" s="23"/>
      <c r="L4289" s="23"/>
      <c r="M4289" s="131"/>
      <c r="N4289" s="131"/>
      <c r="O4289" s="131"/>
    </row>
    <row r="4290" spans="4:15" x14ac:dyDescent="0.3">
      <c r="D4290" s="33"/>
      <c r="E4290" s="127"/>
      <c r="F4290" s="128"/>
      <c r="G4290" s="128"/>
      <c r="H4290" s="129"/>
      <c r="I4290" s="130"/>
      <c r="J4290" s="23"/>
      <c r="K4290" s="23"/>
      <c r="L4290" s="23"/>
      <c r="M4290" s="131"/>
      <c r="N4290" s="131"/>
      <c r="O4290" s="131"/>
    </row>
    <row r="4291" spans="4:15" x14ac:dyDescent="0.3">
      <c r="D4291" s="33"/>
      <c r="E4291" s="127"/>
      <c r="F4291" s="128"/>
      <c r="G4291" s="128"/>
      <c r="H4291" s="129"/>
      <c r="I4291" s="130"/>
      <c r="J4291" s="23"/>
      <c r="K4291" s="23"/>
      <c r="L4291" s="23"/>
      <c r="M4291" s="131"/>
      <c r="N4291" s="131"/>
      <c r="O4291" s="131"/>
    </row>
    <row r="4292" spans="4:15" x14ac:dyDescent="0.3">
      <c r="D4292" s="33"/>
      <c r="E4292" s="127"/>
      <c r="F4292" s="128"/>
      <c r="G4292" s="128"/>
      <c r="H4292" s="129"/>
      <c r="I4292" s="130"/>
      <c r="J4292" s="23"/>
      <c r="K4292" s="23"/>
      <c r="L4292" s="23"/>
      <c r="M4292" s="131"/>
      <c r="N4292" s="131"/>
      <c r="O4292" s="131"/>
    </row>
    <row r="4293" spans="4:15" x14ac:dyDescent="0.3">
      <c r="D4293" s="33"/>
      <c r="E4293" s="127"/>
      <c r="F4293" s="128"/>
      <c r="G4293" s="128"/>
      <c r="H4293" s="129"/>
      <c r="I4293" s="130"/>
      <c r="J4293" s="23"/>
      <c r="K4293" s="23"/>
      <c r="L4293" s="23"/>
      <c r="M4293" s="131"/>
      <c r="N4293" s="131"/>
      <c r="O4293" s="131"/>
    </row>
    <row r="4294" spans="4:15" x14ac:dyDescent="0.3">
      <c r="D4294" s="33"/>
      <c r="E4294" s="127"/>
      <c r="F4294" s="128"/>
      <c r="G4294" s="128"/>
      <c r="H4294" s="129"/>
      <c r="I4294" s="130"/>
      <c r="J4294" s="23"/>
      <c r="K4294" s="23"/>
      <c r="L4294" s="23"/>
      <c r="M4294" s="131"/>
      <c r="N4294" s="131"/>
      <c r="O4294" s="131"/>
    </row>
    <row r="4295" spans="4:15" x14ac:dyDescent="0.3">
      <c r="D4295" s="33"/>
      <c r="E4295" s="127"/>
      <c r="F4295" s="128"/>
      <c r="G4295" s="128"/>
      <c r="H4295" s="129"/>
      <c r="I4295" s="130"/>
      <c r="J4295" s="23"/>
      <c r="K4295" s="23"/>
      <c r="L4295" s="23"/>
      <c r="M4295" s="131"/>
      <c r="N4295" s="131"/>
      <c r="O4295" s="131"/>
    </row>
    <row r="4296" spans="4:15" x14ac:dyDescent="0.3">
      <c r="D4296" s="33"/>
      <c r="E4296" s="127"/>
      <c r="F4296" s="128"/>
      <c r="G4296" s="128"/>
      <c r="H4296" s="129"/>
      <c r="I4296" s="130"/>
      <c r="J4296" s="23"/>
      <c r="K4296" s="23"/>
      <c r="L4296" s="23"/>
      <c r="M4296" s="131"/>
      <c r="N4296" s="131"/>
      <c r="O4296" s="131"/>
    </row>
    <row r="4297" spans="4:15" x14ac:dyDescent="0.3">
      <c r="D4297" s="33"/>
      <c r="E4297" s="127"/>
      <c r="F4297" s="128"/>
      <c r="G4297" s="128"/>
      <c r="H4297" s="129"/>
      <c r="I4297" s="130"/>
      <c r="J4297" s="23"/>
      <c r="K4297" s="23"/>
      <c r="L4297" s="23"/>
      <c r="M4297" s="131"/>
      <c r="N4297" s="131"/>
      <c r="O4297" s="131"/>
    </row>
    <row r="4298" spans="4:15" x14ac:dyDescent="0.3">
      <c r="D4298" s="33"/>
      <c r="E4298" s="127"/>
      <c r="F4298" s="128"/>
      <c r="G4298" s="128"/>
      <c r="H4298" s="129"/>
      <c r="I4298" s="130"/>
      <c r="J4298" s="23"/>
      <c r="K4298" s="23"/>
      <c r="L4298" s="23"/>
      <c r="M4298" s="131"/>
      <c r="N4298" s="131"/>
      <c r="O4298" s="131"/>
    </row>
    <row r="4299" spans="4:15" x14ac:dyDescent="0.3">
      <c r="D4299" s="33"/>
      <c r="E4299" s="127"/>
      <c r="F4299" s="128"/>
      <c r="G4299" s="128"/>
      <c r="H4299" s="129"/>
      <c r="I4299" s="130"/>
      <c r="J4299" s="23"/>
      <c r="K4299" s="23"/>
      <c r="L4299" s="23"/>
      <c r="M4299" s="131"/>
      <c r="N4299" s="131"/>
      <c r="O4299" s="131"/>
    </row>
    <row r="4300" spans="4:15" x14ac:dyDescent="0.3">
      <c r="D4300" s="33"/>
      <c r="E4300" s="127"/>
      <c r="F4300" s="128"/>
      <c r="G4300" s="128"/>
      <c r="H4300" s="129"/>
      <c r="I4300" s="130"/>
      <c r="J4300" s="23"/>
      <c r="K4300" s="23"/>
      <c r="L4300" s="23"/>
      <c r="M4300" s="131"/>
      <c r="N4300" s="131"/>
      <c r="O4300" s="131"/>
    </row>
    <row r="4301" spans="4:15" x14ac:dyDescent="0.3">
      <c r="D4301" s="33"/>
      <c r="E4301" s="127"/>
      <c r="F4301" s="128"/>
      <c r="G4301" s="128"/>
      <c r="H4301" s="129"/>
      <c r="I4301" s="130"/>
      <c r="J4301" s="23"/>
      <c r="K4301" s="23"/>
      <c r="L4301" s="23"/>
      <c r="M4301" s="131"/>
      <c r="N4301" s="131"/>
      <c r="O4301" s="131"/>
    </row>
    <row r="4302" spans="4:15" x14ac:dyDescent="0.3">
      <c r="D4302" s="33"/>
      <c r="E4302" s="127"/>
      <c r="F4302" s="128"/>
      <c r="G4302" s="128"/>
      <c r="H4302" s="129"/>
      <c r="I4302" s="130"/>
      <c r="J4302" s="23"/>
      <c r="K4302" s="23"/>
      <c r="L4302" s="23"/>
      <c r="M4302" s="131"/>
      <c r="N4302" s="131"/>
      <c r="O4302" s="131"/>
    </row>
    <row r="4303" spans="4:15" x14ac:dyDescent="0.3">
      <c r="D4303" s="33"/>
      <c r="E4303" s="127"/>
      <c r="F4303" s="128"/>
      <c r="G4303" s="128"/>
      <c r="H4303" s="129"/>
      <c r="I4303" s="130"/>
      <c r="J4303" s="23"/>
      <c r="K4303" s="23"/>
      <c r="L4303" s="23"/>
      <c r="M4303" s="131"/>
      <c r="N4303" s="131"/>
      <c r="O4303" s="131"/>
    </row>
    <row r="4304" spans="4:15" x14ac:dyDescent="0.3">
      <c r="D4304" s="33"/>
      <c r="E4304" s="127"/>
      <c r="F4304" s="128"/>
      <c r="G4304" s="128"/>
      <c r="H4304" s="129"/>
      <c r="I4304" s="130"/>
      <c r="J4304" s="23"/>
      <c r="K4304" s="23"/>
      <c r="L4304" s="23"/>
      <c r="M4304" s="131"/>
      <c r="N4304" s="131"/>
      <c r="O4304" s="131"/>
    </row>
    <row r="4305" spans="4:15" x14ac:dyDescent="0.3">
      <c r="D4305" s="33"/>
      <c r="E4305" s="127"/>
      <c r="F4305" s="128"/>
      <c r="G4305" s="128"/>
      <c r="H4305" s="129"/>
      <c r="I4305" s="130"/>
      <c r="J4305" s="23"/>
      <c r="K4305" s="23"/>
      <c r="L4305" s="23"/>
      <c r="M4305" s="131"/>
      <c r="N4305" s="131"/>
      <c r="O4305" s="131"/>
    </row>
    <row r="4306" spans="4:15" x14ac:dyDescent="0.3">
      <c r="D4306" s="33"/>
      <c r="E4306" s="127"/>
      <c r="F4306" s="128"/>
      <c r="G4306" s="128"/>
      <c r="H4306" s="129"/>
      <c r="I4306" s="130"/>
      <c r="J4306" s="23"/>
      <c r="K4306" s="23"/>
      <c r="L4306" s="23"/>
      <c r="M4306" s="131"/>
      <c r="N4306" s="131"/>
      <c r="O4306" s="131"/>
    </row>
    <row r="4307" spans="4:15" x14ac:dyDescent="0.3">
      <c r="D4307" s="33"/>
      <c r="E4307" s="127"/>
      <c r="F4307" s="128"/>
      <c r="G4307" s="128"/>
      <c r="H4307" s="129"/>
      <c r="I4307" s="130"/>
      <c r="J4307" s="23"/>
      <c r="K4307" s="23"/>
      <c r="L4307" s="23"/>
      <c r="M4307" s="131"/>
      <c r="N4307" s="131"/>
      <c r="O4307" s="131"/>
    </row>
    <row r="4308" spans="4:15" x14ac:dyDescent="0.3">
      <c r="D4308" s="33"/>
      <c r="E4308" s="127"/>
      <c r="F4308" s="128"/>
      <c r="G4308" s="128"/>
      <c r="H4308" s="129"/>
      <c r="I4308" s="130"/>
      <c r="J4308" s="23"/>
      <c r="K4308" s="23"/>
      <c r="L4308" s="23"/>
      <c r="M4308" s="131"/>
      <c r="N4308" s="131"/>
      <c r="O4308" s="131"/>
    </row>
    <row r="4309" spans="4:15" x14ac:dyDescent="0.3">
      <c r="D4309" s="33"/>
      <c r="E4309" s="127"/>
      <c r="F4309" s="128"/>
      <c r="G4309" s="128"/>
      <c r="H4309" s="129"/>
      <c r="I4309" s="130"/>
      <c r="J4309" s="23"/>
      <c r="K4309" s="23"/>
      <c r="L4309" s="23"/>
      <c r="M4309" s="131"/>
      <c r="N4309" s="131"/>
      <c r="O4309" s="131"/>
    </row>
    <row r="4310" spans="4:15" x14ac:dyDescent="0.3">
      <c r="D4310" s="33"/>
      <c r="E4310" s="127"/>
      <c r="F4310" s="128"/>
      <c r="G4310" s="128"/>
      <c r="H4310" s="129"/>
      <c r="I4310" s="130"/>
      <c r="J4310" s="23"/>
      <c r="K4310" s="23"/>
      <c r="L4310" s="23"/>
      <c r="M4310" s="131"/>
      <c r="N4310" s="131"/>
      <c r="O4310" s="131"/>
    </row>
    <row r="4311" spans="4:15" x14ac:dyDescent="0.3">
      <c r="D4311" s="33"/>
      <c r="E4311" s="127"/>
      <c r="F4311" s="128"/>
      <c r="G4311" s="128"/>
      <c r="H4311" s="129"/>
      <c r="I4311" s="130"/>
      <c r="J4311" s="23"/>
      <c r="K4311" s="23"/>
      <c r="L4311" s="23"/>
      <c r="M4311" s="131"/>
      <c r="N4311" s="131"/>
      <c r="O4311" s="131"/>
    </row>
    <row r="4312" spans="4:15" x14ac:dyDescent="0.3">
      <c r="D4312" s="33"/>
      <c r="E4312" s="127"/>
      <c r="F4312" s="128"/>
      <c r="G4312" s="128"/>
      <c r="H4312" s="129"/>
      <c r="I4312" s="130"/>
      <c r="J4312" s="23"/>
      <c r="K4312" s="23"/>
      <c r="L4312" s="23"/>
      <c r="M4312" s="131"/>
      <c r="N4312" s="131"/>
      <c r="O4312" s="131"/>
    </row>
    <row r="4313" spans="4:15" x14ac:dyDescent="0.3">
      <c r="D4313" s="33"/>
      <c r="E4313" s="127"/>
      <c r="F4313" s="128"/>
      <c r="G4313" s="128"/>
      <c r="H4313" s="129"/>
      <c r="I4313" s="130"/>
      <c r="J4313" s="23"/>
      <c r="K4313" s="23"/>
      <c r="L4313" s="23"/>
      <c r="M4313" s="131"/>
      <c r="N4313" s="131"/>
      <c r="O4313" s="131"/>
    </row>
    <row r="4314" spans="4:15" x14ac:dyDescent="0.3">
      <c r="D4314" s="33"/>
      <c r="E4314" s="127"/>
      <c r="F4314" s="128"/>
      <c r="G4314" s="128"/>
      <c r="H4314" s="129"/>
      <c r="I4314" s="130"/>
      <c r="J4314" s="23"/>
      <c r="K4314" s="23"/>
      <c r="L4314" s="23"/>
      <c r="M4314" s="131"/>
      <c r="N4314" s="131"/>
      <c r="O4314" s="131"/>
    </row>
    <row r="4315" spans="4:15" x14ac:dyDescent="0.3">
      <c r="D4315" s="33"/>
      <c r="E4315" s="127"/>
      <c r="F4315" s="128"/>
      <c r="G4315" s="128"/>
      <c r="H4315" s="129"/>
      <c r="I4315" s="130"/>
      <c r="J4315" s="23"/>
      <c r="K4315" s="23"/>
      <c r="L4315" s="23"/>
      <c r="M4315" s="131"/>
      <c r="N4315" s="131"/>
      <c r="O4315" s="131"/>
    </row>
    <row r="4316" spans="4:15" x14ac:dyDescent="0.3">
      <c r="D4316" s="33"/>
      <c r="E4316" s="127"/>
      <c r="F4316" s="128"/>
      <c r="G4316" s="128"/>
      <c r="H4316" s="129"/>
      <c r="I4316" s="130"/>
      <c r="J4316" s="23"/>
      <c r="K4316" s="23"/>
      <c r="L4316" s="23"/>
      <c r="M4316" s="131"/>
      <c r="N4316" s="131"/>
      <c r="O4316" s="131"/>
    </row>
    <row r="4317" spans="4:15" x14ac:dyDescent="0.3">
      <c r="D4317" s="33"/>
      <c r="E4317" s="127"/>
      <c r="F4317" s="128"/>
      <c r="G4317" s="128"/>
      <c r="H4317" s="129"/>
      <c r="I4317" s="130"/>
      <c r="J4317" s="23"/>
      <c r="K4317" s="23"/>
      <c r="L4317" s="23"/>
      <c r="M4317" s="131"/>
      <c r="N4317" s="131"/>
      <c r="O4317" s="131"/>
    </row>
    <row r="4318" spans="4:15" x14ac:dyDescent="0.3">
      <c r="D4318" s="33"/>
      <c r="E4318" s="127"/>
      <c r="F4318" s="128"/>
      <c r="G4318" s="128"/>
      <c r="H4318" s="129"/>
      <c r="I4318" s="130"/>
      <c r="J4318" s="23"/>
      <c r="K4318" s="23"/>
      <c r="L4318" s="23"/>
      <c r="M4318" s="131"/>
      <c r="N4318" s="131"/>
      <c r="O4318" s="131"/>
    </row>
    <row r="4319" spans="4:15" x14ac:dyDescent="0.3">
      <c r="D4319" s="33"/>
      <c r="E4319" s="127"/>
      <c r="F4319" s="128"/>
      <c r="G4319" s="128"/>
      <c r="H4319" s="129"/>
      <c r="I4319" s="130"/>
      <c r="J4319" s="23"/>
      <c r="K4319" s="23"/>
      <c r="L4319" s="23"/>
      <c r="M4319" s="131"/>
      <c r="N4319" s="131"/>
      <c r="O4319" s="131"/>
    </row>
    <row r="4320" spans="4:15" x14ac:dyDescent="0.3">
      <c r="D4320" s="33"/>
      <c r="E4320" s="127"/>
      <c r="F4320" s="128"/>
      <c r="G4320" s="128"/>
      <c r="H4320" s="129"/>
      <c r="I4320" s="130"/>
      <c r="J4320" s="23"/>
      <c r="K4320" s="23"/>
      <c r="L4320" s="23"/>
      <c r="M4320" s="131"/>
      <c r="N4320" s="131"/>
      <c r="O4320" s="131"/>
    </row>
    <row r="4321" spans="4:15" x14ac:dyDescent="0.3">
      <c r="D4321" s="33"/>
      <c r="E4321" s="127"/>
      <c r="F4321" s="128"/>
      <c r="G4321" s="128"/>
      <c r="H4321" s="129"/>
      <c r="I4321" s="130"/>
      <c r="J4321" s="23"/>
      <c r="K4321" s="23"/>
      <c r="L4321" s="23"/>
      <c r="M4321" s="131"/>
      <c r="N4321" s="131"/>
      <c r="O4321" s="131"/>
    </row>
    <row r="4322" spans="4:15" x14ac:dyDescent="0.3">
      <c r="D4322" s="33"/>
      <c r="E4322" s="127"/>
      <c r="F4322" s="128"/>
      <c r="G4322" s="128"/>
      <c r="H4322" s="129"/>
      <c r="I4322" s="130"/>
      <c r="J4322" s="23"/>
      <c r="K4322" s="23"/>
      <c r="L4322" s="23"/>
      <c r="M4322" s="131"/>
      <c r="N4322" s="131"/>
      <c r="O4322" s="131"/>
    </row>
    <row r="4323" spans="4:15" x14ac:dyDescent="0.3">
      <c r="D4323" s="33"/>
      <c r="E4323" s="127"/>
      <c r="F4323" s="128"/>
      <c r="G4323" s="128"/>
      <c r="H4323" s="129"/>
      <c r="I4323" s="130"/>
      <c r="J4323" s="23"/>
      <c r="K4323" s="23"/>
      <c r="L4323" s="23"/>
      <c r="M4323" s="131"/>
      <c r="N4323" s="131"/>
      <c r="O4323" s="131"/>
    </row>
    <row r="4324" spans="4:15" x14ac:dyDescent="0.3">
      <c r="D4324" s="33"/>
      <c r="E4324" s="127"/>
      <c r="F4324" s="128"/>
      <c r="G4324" s="128"/>
      <c r="H4324" s="129"/>
      <c r="I4324" s="130"/>
      <c r="J4324" s="23"/>
      <c r="K4324" s="23"/>
      <c r="L4324" s="23"/>
      <c r="M4324" s="131"/>
      <c r="N4324" s="131"/>
      <c r="O4324" s="131"/>
    </row>
    <row r="4325" spans="4:15" x14ac:dyDescent="0.3">
      <c r="D4325" s="33"/>
      <c r="E4325" s="127"/>
      <c r="F4325" s="128"/>
      <c r="G4325" s="128"/>
      <c r="H4325" s="129"/>
      <c r="I4325" s="130"/>
      <c r="J4325" s="23"/>
      <c r="K4325" s="23"/>
      <c r="L4325" s="23"/>
      <c r="M4325" s="131"/>
      <c r="N4325" s="131"/>
      <c r="O4325" s="131"/>
    </row>
    <row r="4326" spans="4:15" x14ac:dyDescent="0.3">
      <c r="D4326" s="33"/>
      <c r="E4326" s="127"/>
      <c r="F4326" s="128"/>
      <c r="G4326" s="128"/>
      <c r="H4326" s="129"/>
      <c r="I4326" s="130"/>
      <c r="J4326" s="23"/>
      <c r="K4326" s="23"/>
      <c r="L4326" s="23"/>
      <c r="M4326" s="131"/>
      <c r="N4326" s="131"/>
      <c r="O4326" s="131"/>
    </row>
    <row r="4327" spans="4:15" x14ac:dyDescent="0.3">
      <c r="D4327" s="33"/>
      <c r="E4327" s="127"/>
      <c r="F4327" s="128"/>
      <c r="G4327" s="128"/>
      <c r="H4327" s="129"/>
      <c r="I4327" s="130"/>
      <c r="J4327" s="23"/>
      <c r="K4327" s="23"/>
      <c r="L4327" s="23"/>
      <c r="M4327" s="131"/>
      <c r="N4327" s="131"/>
      <c r="O4327" s="131"/>
    </row>
    <row r="4328" spans="4:15" x14ac:dyDescent="0.3">
      <c r="D4328" s="33"/>
      <c r="E4328" s="127"/>
      <c r="F4328" s="128"/>
      <c r="G4328" s="128"/>
      <c r="H4328" s="129"/>
      <c r="I4328" s="130"/>
      <c r="J4328" s="23"/>
      <c r="K4328" s="23"/>
      <c r="L4328" s="23"/>
      <c r="M4328" s="131"/>
      <c r="N4328" s="131"/>
      <c r="O4328" s="131"/>
    </row>
    <row r="4329" spans="4:15" x14ac:dyDescent="0.3">
      <c r="D4329" s="33"/>
      <c r="E4329" s="127"/>
      <c r="F4329" s="128"/>
      <c r="G4329" s="128"/>
      <c r="H4329" s="129"/>
      <c r="I4329" s="130"/>
      <c r="J4329" s="23"/>
      <c r="K4329" s="23"/>
      <c r="L4329" s="23"/>
      <c r="M4329" s="131"/>
      <c r="N4329" s="131"/>
      <c r="O4329" s="131"/>
    </row>
    <row r="4330" spans="4:15" x14ac:dyDescent="0.3">
      <c r="D4330" s="33"/>
      <c r="E4330" s="127"/>
      <c r="F4330" s="128"/>
      <c r="G4330" s="128"/>
      <c r="H4330" s="129"/>
      <c r="I4330" s="130"/>
      <c r="J4330" s="23"/>
      <c r="K4330" s="23"/>
      <c r="L4330" s="23"/>
      <c r="M4330" s="131"/>
      <c r="N4330" s="131"/>
      <c r="O4330" s="131"/>
    </row>
    <row r="4331" spans="4:15" x14ac:dyDescent="0.3">
      <c r="D4331" s="33"/>
      <c r="E4331" s="127"/>
      <c r="F4331" s="128"/>
      <c r="G4331" s="128"/>
      <c r="H4331" s="129"/>
      <c r="I4331" s="130"/>
      <c r="J4331" s="23"/>
      <c r="K4331" s="23"/>
      <c r="L4331" s="23"/>
      <c r="M4331" s="131"/>
      <c r="N4331" s="131"/>
      <c r="O4331" s="131"/>
    </row>
    <row r="4332" spans="4:15" x14ac:dyDescent="0.3">
      <c r="D4332" s="33"/>
      <c r="E4332" s="127"/>
      <c r="F4332" s="128"/>
      <c r="G4332" s="128"/>
      <c r="H4332" s="129"/>
      <c r="I4332" s="130"/>
      <c r="J4332" s="23"/>
      <c r="K4332" s="23"/>
      <c r="L4332" s="23"/>
      <c r="M4332" s="131"/>
      <c r="N4332" s="131"/>
      <c r="O4332" s="131"/>
    </row>
    <row r="4333" spans="4:15" x14ac:dyDescent="0.3">
      <c r="D4333" s="33"/>
      <c r="E4333" s="127"/>
      <c r="F4333" s="128"/>
      <c r="G4333" s="128"/>
      <c r="H4333" s="129"/>
      <c r="I4333" s="130"/>
      <c r="J4333" s="23"/>
      <c r="K4333" s="23"/>
      <c r="L4333" s="23"/>
      <c r="M4333" s="131"/>
      <c r="N4333" s="131"/>
      <c r="O4333" s="131"/>
    </row>
    <row r="4334" spans="4:15" x14ac:dyDescent="0.3">
      <c r="D4334" s="33"/>
      <c r="E4334" s="127"/>
      <c r="F4334" s="128"/>
      <c r="G4334" s="128"/>
      <c r="H4334" s="129"/>
      <c r="I4334" s="130"/>
      <c r="J4334" s="23"/>
      <c r="K4334" s="23"/>
      <c r="L4334" s="23"/>
      <c r="M4334" s="131"/>
      <c r="N4334" s="131"/>
      <c r="O4334" s="131"/>
    </row>
    <row r="4335" spans="4:15" x14ac:dyDescent="0.3">
      <c r="D4335" s="33"/>
      <c r="E4335" s="127"/>
      <c r="F4335" s="128"/>
      <c r="G4335" s="128"/>
      <c r="H4335" s="129"/>
      <c r="I4335" s="130"/>
      <c r="J4335" s="23"/>
      <c r="K4335" s="23"/>
      <c r="L4335" s="23"/>
      <c r="M4335" s="131"/>
      <c r="N4335" s="131"/>
      <c r="O4335" s="131"/>
    </row>
    <row r="4336" spans="4:15" x14ac:dyDescent="0.3">
      <c r="D4336" s="33"/>
      <c r="E4336" s="127"/>
      <c r="F4336" s="128"/>
      <c r="G4336" s="128"/>
      <c r="H4336" s="129"/>
      <c r="I4336" s="130"/>
      <c r="J4336" s="23"/>
      <c r="K4336" s="23"/>
      <c r="L4336" s="23"/>
      <c r="M4336" s="131"/>
      <c r="N4336" s="131"/>
      <c r="O4336" s="131"/>
    </row>
    <row r="4337" spans="4:15" x14ac:dyDescent="0.3">
      <c r="D4337" s="33"/>
      <c r="E4337" s="127"/>
      <c r="F4337" s="128"/>
      <c r="G4337" s="128"/>
      <c r="H4337" s="129"/>
      <c r="I4337" s="130"/>
      <c r="J4337" s="23"/>
      <c r="K4337" s="23"/>
      <c r="L4337" s="23"/>
      <c r="M4337" s="131"/>
      <c r="N4337" s="131"/>
      <c r="O4337" s="131"/>
    </row>
    <row r="4338" spans="4:15" x14ac:dyDescent="0.3">
      <c r="D4338" s="33"/>
      <c r="E4338" s="127"/>
      <c r="F4338" s="128"/>
      <c r="G4338" s="128"/>
      <c r="H4338" s="129"/>
      <c r="I4338" s="130"/>
      <c r="J4338" s="23"/>
      <c r="K4338" s="23"/>
      <c r="L4338" s="23"/>
      <c r="M4338" s="131"/>
      <c r="N4338" s="131"/>
      <c r="O4338" s="131"/>
    </row>
    <row r="4339" spans="4:15" x14ac:dyDescent="0.3">
      <c r="D4339" s="33"/>
      <c r="E4339" s="127"/>
      <c r="F4339" s="128"/>
      <c r="G4339" s="128"/>
      <c r="H4339" s="129"/>
      <c r="I4339" s="130"/>
      <c r="J4339" s="23"/>
      <c r="K4339" s="23"/>
      <c r="L4339" s="23"/>
      <c r="M4339" s="131"/>
      <c r="N4339" s="131"/>
      <c r="O4339" s="131"/>
    </row>
    <row r="4340" spans="4:15" x14ac:dyDescent="0.3">
      <c r="D4340" s="33"/>
      <c r="E4340" s="127"/>
      <c r="F4340" s="128"/>
      <c r="G4340" s="128"/>
      <c r="H4340" s="129"/>
      <c r="I4340" s="130"/>
      <c r="J4340" s="23"/>
      <c r="K4340" s="23"/>
      <c r="L4340" s="23"/>
      <c r="M4340" s="131"/>
      <c r="N4340" s="131"/>
      <c r="O4340" s="131"/>
    </row>
    <row r="4341" spans="4:15" x14ac:dyDescent="0.3">
      <c r="D4341" s="33"/>
      <c r="E4341" s="127"/>
      <c r="F4341" s="128"/>
      <c r="G4341" s="128"/>
      <c r="H4341" s="129"/>
      <c r="I4341" s="130"/>
      <c r="J4341" s="23"/>
      <c r="K4341" s="23"/>
      <c r="L4341" s="23"/>
      <c r="M4341" s="131"/>
      <c r="N4341" s="131"/>
      <c r="O4341" s="131"/>
    </row>
    <row r="4342" spans="4:15" x14ac:dyDescent="0.3">
      <c r="D4342" s="33"/>
      <c r="E4342" s="127"/>
      <c r="F4342" s="128"/>
      <c r="G4342" s="128"/>
      <c r="H4342" s="129"/>
      <c r="I4342" s="130"/>
      <c r="J4342" s="23"/>
      <c r="K4342" s="23"/>
      <c r="L4342" s="23"/>
      <c r="M4342" s="131"/>
      <c r="N4342" s="131"/>
      <c r="O4342" s="131"/>
    </row>
    <row r="4343" spans="4:15" x14ac:dyDescent="0.3">
      <c r="D4343" s="33"/>
      <c r="E4343" s="127"/>
      <c r="F4343" s="128"/>
      <c r="G4343" s="128"/>
      <c r="H4343" s="129"/>
      <c r="I4343" s="130"/>
      <c r="J4343" s="23"/>
      <c r="K4343" s="23"/>
      <c r="L4343" s="23"/>
      <c r="M4343" s="131"/>
      <c r="N4343" s="131"/>
      <c r="O4343" s="131"/>
    </row>
    <row r="4344" spans="4:15" x14ac:dyDescent="0.3">
      <c r="D4344" s="33"/>
      <c r="E4344" s="127"/>
      <c r="F4344" s="128"/>
      <c r="G4344" s="128"/>
      <c r="H4344" s="129"/>
      <c r="I4344" s="130"/>
      <c r="J4344" s="23"/>
      <c r="K4344" s="23"/>
      <c r="L4344" s="23"/>
      <c r="M4344" s="131"/>
      <c r="N4344" s="131"/>
      <c r="O4344" s="131"/>
    </row>
    <row r="4345" spans="4:15" x14ac:dyDescent="0.3">
      <c r="D4345" s="33"/>
      <c r="E4345" s="127"/>
      <c r="F4345" s="128"/>
      <c r="G4345" s="128"/>
      <c r="H4345" s="129"/>
      <c r="I4345" s="130"/>
      <c r="J4345" s="23"/>
      <c r="K4345" s="23"/>
      <c r="L4345" s="23"/>
      <c r="M4345" s="131"/>
      <c r="N4345" s="131"/>
      <c r="O4345" s="131"/>
    </row>
    <row r="4346" spans="4:15" x14ac:dyDescent="0.3">
      <c r="D4346" s="33"/>
      <c r="E4346" s="127"/>
      <c r="F4346" s="128"/>
      <c r="G4346" s="128"/>
      <c r="H4346" s="129"/>
      <c r="I4346" s="130"/>
      <c r="J4346" s="23"/>
      <c r="K4346" s="23"/>
      <c r="L4346" s="23"/>
      <c r="M4346" s="131"/>
      <c r="N4346" s="131"/>
      <c r="O4346" s="131"/>
    </row>
    <row r="4347" spans="4:15" x14ac:dyDescent="0.3">
      <c r="D4347" s="33"/>
      <c r="E4347" s="127"/>
      <c r="F4347" s="128"/>
      <c r="G4347" s="128"/>
      <c r="H4347" s="129"/>
      <c r="I4347" s="130"/>
      <c r="J4347" s="23"/>
      <c r="K4347" s="23"/>
      <c r="L4347" s="23"/>
      <c r="M4347" s="131"/>
      <c r="N4347" s="131"/>
      <c r="O4347" s="131"/>
    </row>
    <row r="4348" spans="4:15" x14ac:dyDescent="0.3">
      <c r="D4348" s="33"/>
      <c r="E4348" s="127"/>
      <c r="F4348" s="128"/>
      <c r="G4348" s="128"/>
      <c r="H4348" s="129"/>
      <c r="I4348" s="130"/>
      <c r="J4348" s="23"/>
      <c r="K4348" s="23"/>
      <c r="L4348" s="23"/>
      <c r="M4348" s="131"/>
      <c r="N4348" s="131"/>
      <c r="O4348" s="131"/>
    </row>
    <row r="4349" spans="4:15" x14ac:dyDescent="0.3">
      <c r="D4349" s="33"/>
      <c r="E4349" s="127"/>
      <c r="F4349" s="128"/>
      <c r="G4349" s="128"/>
      <c r="H4349" s="129"/>
      <c r="I4349" s="130"/>
      <c r="J4349" s="23"/>
      <c r="K4349" s="23"/>
      <c r="L4349" s="23"/>
      <c r="M4349" s="131"/>
      <c r="N4349" s="131"/>
      <c r="O4349" s="131"/>
    </row>
    <row r="4350" spans="4:15" x14ac:dyDescent="0.3">
      <c r="D4350" s="33"/>
      <c r="E4350" s="127"/>
      <c r="F4350" s="128"/>
      <c r="G4350" s="128"/>
      <c r="H4350" s="129"/>
      <c r="I4350" s="130"/>
      <c r="J4350" s="23"/>
      <c r="K4350" s="23"/>
      <c r="L4350" s="23"/>
      <c r="M4350" s="131"/>
      <c r="N4350" s="131"/>
      <c r="O4350" s="131"/>
    </row>
    <row r="4351" spans="4:15" x14ac:dyDescent="0.3">
      <c r="D4351" s="33"/>
      <c r="E4351" s="127"/>
      <c r="F4351" s="128"/>
      <c r="G4351" s="128"/>
      <c r="H4351" s="129"/>
      <c r="I4351" s="130"/>
      <c r="J4351" s="23"/>
      <c r="K4351" s="23"/>
      <c r="L4351" s="23"/>
      <c r="M4351" s="131"/>
      <c r="N4351" s="131"/>
      <c r="O4351" s="131"/>
    </row>
    <row r="4352" spans="4:15" x14ac:dyDescent="0.3">
      <c r="D4352" s="33"/>
      <c r="E4352" s="127"/>
      <c r="F4352" s="128"/>
      <c r="G4352" s="128"/>
      <c r="H4352" s="129"/>
      <c r="I4352" s="130"/>
      <c r="J4352" s="23"/>
      <c r="K4352" s="23"/>
      <c r="L4352" s="23"/>
      <c r="M4352" s="131"/>
      <c r="N4352" s="131"/>
      <c r="O4352" s="131"/>
    </row>
    <row r="4353" spans="4:15" x14ac:dyDescent="0.3">
      <c r="D4353" s="33"/>
      <c r="E4353" s="127"/>
      <c r="F4353" s="128"/>
      <c r="G4353" s="128"/>
      <c r="H4353" s="129"/>
      <c r="I4353" s="130"/>
      <c r="J4353" s="23"/>
      <c r="K4353" s="23"/>
      <c r="L4353" s="23"/>
      <c r="M4353" s="131"/>
      <c r="N4353" s="131"/>
      <c r="O4353" s="131"/>
    </row>
    <row r="4354" spans="4:15" x14ac:dyDescent="0.3">
      <c r="D4354" s="33"/>
      <c r="E4354" s="127"/>
      <c r="F4354" s="128"/>
      <c r="G4354" s="128"/>
      <c r="H4354" s="129"/>
      <c r="I4354" s="130"/>
      <c r="J4354" s="23"/>
      <c r="K4354" s="23"/>
      <c r="L4354" s="23"/>
      <c r="M4354" s="131"/>
      <c r="N4354" s="131"/>
      <c r="O4354" s="131"/>
    </row>
    <row r="4355" spans="4:15" x14ac:dyDescent="0.3">
      <c r="D4355" s="33"/>
      <c r="E4355" s="127"/>
      <c r="F4355" s="128"/>
      <c r="G4355" s="128"/>
      <c r="H4355" s="129"/>
      <c r="I4355" s="130"/>
      <c r="J4355" s="23"/>
      <c r="K4355" s="23"/>
      <c r="L4355" s="23"/>
      <c r="M4355" s="131"/>
      <c r="N4355" s="131"/>
      <c r="O4355" s="131"/>
    </row>
    <row r="4356" spans="4:15" x14ac:dyDescent="0.3">
      <c r="D4356" s="33"/>
      <c r="E4356" s="127"/>
      <c r="F4356" s="128"/>
      <c r="G4356" s="128"/>
      <c r="H4356" s="129"/>
      <c r="I4356" s="130"/>
      <c r="J4356" s="23"/>
      <c r="K4356" s="23"/>
      <c r="L4356" s="23"/>
      <c r="M4356" s="131"/>
      <c r="N4356" s="131"/>
      <c r="O4356" s="131"/>
    </row>
    <row r="4357" spans="4:15" x14ac:dyDescent="0.3">
      <c r="D4357" s="33"/>
      <c r="E4357" s="127"/>
      <c r="F4357" s="128"/>
      <c r="G4357" s="128"/>
      <c r="H4357" s="129"/>
      <c r="I4357" s="130"/>
      <c r="J4357" s="23"/>
      <c r="K4357" s="23"/>
      <c r="L4357" s="23"/>
      <c r="M4357" s="131"/>
      <c r="N4357" s="131"/>
      <c r="O4357" s="131"/>
    </row>
    <row r="4358" spans="4:15" x14ac:dyDescent="0.3">
      <c r="D4358" s="33"/>
      <c r="E4358" s="127"/>
      <c r="F4358" s="128"/>
      <c r="G4358" s="128"/>
      <c r="H4358" s="129"/>
      <c r="I4358" s="130"/>
      <c r="J4358" s="23"/>
      <c r="K4358" s="23"/>
      <c r="L4358" s="23"/>
      <c r="M4358" s="131"/>
      <c r="N4358" s="131"/>
      <c r="O4358" s="131"/>
    </row>
    <row r="4359" spans="4:15" x14ac:dyDescent="0.3">
      <c r="D4359" s="33"/>
      <c r="E4359" s="127"/>
      <c r="F4359" s="128"/>
      <c r="G4359" s="128"/>
      <c r="H4359" s="129"/>
      <c r="I4359" s="130"/>
      <c r="J4359" s="23"/>
      <c r="K4359" s="23"/>
      <c r="L4359" s="23"/>
      <c r="M4359" s="131"/>
      <c r="N4359" s="131"/>
      <c r="O4359" s="131"/>
    </row>
    <row r="4360" spans="4:15" x14ac:dyDescent="0.3">
      <c r="D4360" s="33"/>
      <c r="E4360" s="127"/>
      <c r="F4360" s="128"/>
      <c r="G4360" s="128"/>
      <c r="H4360" s="129"/>
      <c r="I4360" s="130"/>
      <c r="J4360" s="23"/>
      <c r="K4360" s="23"/>
      <c r="L4360" s="23"/>
      <c r="M4360" s="131"/>
      <c r="N4360" s="131"/>
      <c r="O4360" s="131"/>
    </row>
    <row r="4361" spans="4:15" x14ac:dyDescent="0.3">
      <c r="D4361" s="33"/>
      <c r="E4361" s="127"/>
      <c r="F4361" s="128"/>
      <c r="G4361" s="128"/>
      <c r="H4361" s="129"/>
      <c r="I4361" s="130"/>
      <c r="J4361" s="23"/>
      <c r="K4361" s="23"/>
      <c r="L4361" s="23"/>
      <c r="M4361" s="131"/>
      <c r="N4361" s="131"/>
      <c r="O4361" s="131"/>
    </row>
    <row r="4362" spans="4:15" x14ac:dyDescent="0.3">
      <c r="D4362" s="33"/>
      <c r="E4362" s="127"/>
      <c r="F4362" s="128"/>
      <c r="G4362" s="128"/>
      <c r="H4362" s="129"/>
      <c r="I4362" s="130"/>
      <c r="J4362" s="23"/>
      <c r="K4362" s="23"/>
      <c r="L4362" s="23"/>
      <c r="M4362" s="131"/>
      <c r="N4362" s="131"/>
      <c r="O4362" s="131"/>
    </row>
    <row r="4363" spans="4:15" x14ac:dyDescent="0.3">
      <c r="D4363" s="33"/>
      <c r="E4363" s="127"/>
      <c r="F4363" s="128"/>
      <c r="G4363" s="128"/>
      <c r="H4363" s="129"/>
      <c r="I4363" s="130"/>
      <c r="J4363" s="23"/>
      <c r="K4363" s="23"/>
      <c r="L4363" s="23"/>
      <c r="M4363" s="131"/>
      <c r="N4363" s="131"/>
      <c r="O4363" s="131"/>
    </row>
    <row r="4364" spans="4:15" x14ac:dyDescent="0.3">
      <c r="D4364" s="33"/>
      <c r="E4364" s="127"/>
      <c r="F4364" s="128"/>
      <c r="G4364" s="128"/>
      <c r="H4364" s="129"/>
      <c r="I4364" s="130"/>
      <c r="J4364" s="23"/>
      <c r="K4364" s="23"/>
      <c r="L4364" s="23"/>
      <c r="M4364" s="131"/>
      <c r="N4364" s="131"/>
      <c r="O4364" s="131"/>
    </row>
    <row r="4365" spans="4:15" x14ac:dyDescent="0.3">
      <c r="D4365" s="33"/>
      <c r="E4365" s="127"/>
      <c r="F4365" s="128"/>
      <c r="G4365" s="128"/>
      <c r="H4365" s="129"/>
      <c r="I4365" s="130"/>
      <c r="J4365" s="23"/>
      <c r="K4365" s="23"/>
      <c r="L4365" s="23"/>
      <c r="M4365" s="131"/>
      <c r="N4365" s="131"/>
      <c r="O4365" s="131"/>
    </row>
    <row r="4366" spans="4:15" x14ac:dyDescent="0.3">
      <c r="D4366" s="33"/>
      <c r="E4366" s="127"/>
      <c r="F4366" s="128"/>
      <c r="G4366" s="128"/>
      <c r="H4366" s="129"/>
      <c r="I4366" s="130"/>
      <c r="J4366" s="23"/>
      <c r="K4366" s="23"/>
      <c r="L4366" s="23"/>
      <c r="M4366" s="131"/>
      <c r="N4366" s="131"/>
      <c r="O4366" s="131"/>
    </row>
    <row r="4367" spans="4:15" x14ac:dyDescent="0.3">
      <c r="D4367" s="33"/>
      <c r="E4367" s="127"/>
      <c r="F4367" s="128"/>
      <c r="G4367" s="128"/>
      <c r="H4367" s="129"/>
      <c r="I4367" s="130"/>
      <c r="J4367" s="23"/>
      <c r="K4367" s="23"/>
      <c r="L4367" s="23"/>
      <c r="M4367" s="131"/>
      <c r="N4367" s="131"/>
      <c r="O4367" s="131"/>
    </row>
    <row r="4368" spans="4:15" x14ac:dyDescent="0.3">
      <c r="D4368" s="33"/>
      <c r="E4368" s="127"/>
      <c r="F4368" s="128"/>
      <c r="G4368" s="128"/>
      <c r="H4368" s="129"/>
      <c r="I4368" s="130"/>
      <c r="J4368" s="23"/>
      <c r="K4368" s="23"/>
      <c r="L4368" s="23"/>
      <c r="M4368" s="131"/>
      <c r="N4368" s="131"/>
      <c r="O4368" s="131"/>
    </row>
    <row r="4369" spans="4:15" x14ac:dyDescent="0.3">
      <c r="D4369" s="33"/>
      <c r="E4369" s="127"/>
      <c r="F4369" s="128"/>
      <c r="G4369" s="128"/>
      <c r="H4369" s="129"/>
      <c r="I4369" s="130"/>
      <c r="J4369" s="23"/>
      <c r="K4369" s="23"/>
      <c r="L4369" s="23"/>
      <c r="M4369" s="131"/>
      <c r="N4369" s="131"/>
      <c r="O4369" s="131"/>
    </row>
    <row r="4370" spans="4:15" x14ac:dyDescent="0.3">
      <c r="D4370" s="33"/>
      <c r="E4370" s="127"/>
      <c r="F4370" s="128"/>
      <c r="G4370" s="128"/>
      <c r="H4370" s="129"/>
      <c r="I4370" s="130"/>
      <c r="J4370" s="23"/>
      <c r="K4370" s="23"/>
      <c r="L4370" s="23"/>
      <c r="M4370" s="131"/>
      <c r="N4370" s="131"/>
      <c r="O4370" s="131"/>
    </row>
    <row r="4371" spans="4:15" x14ac:dyDescent="0.3">
      <c r="D4371" s="33"/>
      <c r="E4371" s="127"/>
      <c r="F4371" s="128"/>
      <c r="G4371" s="128"/>
      <c r="H4371" s="129"/>
      <c r="I4371" s="130"/>
      <c r="J4371" s="23"/>
      <c r="K4371" s="23"/>
      <c r="L4371" s="23"/>
      <c r="M4371" s="131"/>
      <c r="N4371" s="131"/>
      <c r="O4371" s="131"/>
    </row>
    <row r="4372" spans="4:15" x14ac:dyDescent="0.3">
      <c r="D4372" s="33"/>
      <c r="E4372" s="127"/>
      <c r="F4372" s="128"/>
      <c r="G4372" s="128"/>
      <c r="H4372" s="129"/>
      <c r="I4372" s="130"/>
      <c r="J4372" s="23"/>
      <c r="K4372" s="23"/>
      <c r="L4372" s="23"/>
      <c r="M4372" s="131"/>
      <c r="N4372" s="131"/>
      <c r="O4372" s="131"/>
    </row>
    <row r="4373" spans="4:15" x14ac:dyDescent="0.3">
      <c r="D4373" s="33"/>
      <c r="E4373" s="127"/>
      <c r="F4373" s="128"/>
      <c r="G4373" s="128"/>
      <c r="H4373" s="129"/>
      <c r="I4373" s="130"/>
      <c r="J4373" s="23"/>
      <c r="K4373" s="23"/>
      <c r="L4373" s="23"/>
      <c r="M4373" s="131"/>
      <c r="N4373" s="131"/>
      <c r="O4373" s="131"/>
    </row>
    <row r="4374" spans="4:15" x14ac:dyDescent="0.3">
      <c r="D4374" s="33"/>
      <c r="E4374" s="127"/>
      <c r="F4374" s="128"/>
      <c r="G4374" s="128"/>
      <c r="H4374" s="129"/>
      <c r="I4374" s="130"/>
      <c r="J4374" s="23"/>
      <c r="K4374" s="23"/>
      <c r="L4374" s="23"/>
      <c r="M4374" s="131"/>
      <c r="N4374" s="131"/>
      <c r="O4374" s="131"/>
    </row>
    <row r="4375" spans="4:15" x14ac:dyDescent="0.3">
      <c r="D4375" s="33"/>
      <c r="E4375" s="127"/>
      <c r="F4375" s="128"/>
      <c r="G4375" s="128"/>
      <c r="H4375" s="129"/>
      <c r="I4375" s="130"/>
      <c r="J4375" s="23"/>
      <c r="K4375" s="23"/>
      <c r="L4375" s="23"/>
      <c r="M4375" s="131"/>
      <c r="N4375" s="131"/>
      <c r="O4375" s="131"/>
    </row>
    <row r="4376" spans="4:15" x14ac:dyDescent="0.3">
      <c r="D4376" s="33"/>
      <c r="E4376" s="127"/>
      <c r="F4376" s="128"/>
      <c r="G4376" s="128"/>
      <c r="H4376" s="129"/>
      <c r="I4376" s="130"/>
      <c r="J4376" s="23"/>
      <c r="K4376" s="23"/>
      <c r="L4376" s="23"/>
      <c r="M4376" s="131"/>
      <c r="N4376" s="131"/>
      <c r="O4376" s="131"/>
    </row>
    <row r="4377" spans="4:15" x14ac:dyDescent="0.3">
      <c r="D4377" s="33"/>
      <c r="E4377" s="127"/>
      <c r="F4377" s="128"/>
      <c r="G4377" s="128"/>
      <c r="H4377" s="129"/>
      <c r="I4377" s="130"/>
      <c r="J4377" s="23"/>
      <c r="K4377" s="23"/>
      <c r="L4377" s="23"/>
      <c r="M4377" s="131"/>
      <c r="N4377" s="131"/>
      <c r="O4377" s="131"/>
    </row>
    <row r="4378" spans="4:15" x14ac:dyDescent="0.3">
      <c r="D4378" s="33"/>
      <c r="E4378" s="127"/>
      <c r="F4378" s="128"/>
      <c r="G4378" s="128"/>
      <c r="H4378" s="129"/>
      <c r="I4378" s="130"/>
      <c r="J4378" s="23"/>
      <c r="K4378" s="23"/>
      <c r="L4378" s="23"/>
      <c r="M4378" s="131"/>
      <c r="N4378" s="131"/>
      <c r="O4378" s="131"/>
    </row>
    <row r="4379" spans="4:15" x14ac:dyDescent="0.3">
      <c r="D4379" s="33"/>
      <c r="E4379" s="127"/>
      <c r="F4379" s="128"/>
      <c r="G4379" s="128"/>
      <c r="H4379" s="129"/>
      <c r="I4379" s="130"/>
      <c r="J4379" s="23"/>
      <c r="K4379" s="23"/>
      <c r="L4379" s="23"/>
      <c r="M4379" s="131"/>
      <c r="N4379" s="131"/>
      <c r="O4379" s="131"/>
    </row>
    <row r="4380" spans="4:15" x14ac:dyDescent="0.3">
      <c r="D4380" s="33"/>
      <c r="E4380" s="127"/>
      <c r="F4380" s="128"/>
      <c r="G4380" s="128"/>
      <c r="H4380" s="129"/>
      <c r="I4380" s="130"/>
      <c r="J4380" s="23"/>
      <c r="K4380" s="23"/>
      <c r="L4380" s="23"/>
      <c r="M4380" s="131"/>
      <c r="N4380" s="131"/>
      <c r="O4380" s="131"/>
    </row>
    <row r="4381" spans="4:15" x14ac:dyDescent="0.3">
      <c r="D4381" s="33"/>
      <c r="E4381" s="127"/>
      <c r="F4381" s="128"/>
      <c r="G4381" s="128"/>
      <c r="H4381" s="129"/>
      <c r="I4381" s="130"/>
      <c r="J4381" s="23"/>
      <c r="K4381" s="23"/>
      <c r="L4381" s="23"/>
      <c r="M4381" s="131"/>
      <c r="N4381" s="131"/>
      <c r="O4381" s="131"/>
    </row>
    <row r="4382" spans="4:15" x14ac:dyDescent="0.3">
      <c r="D4382" s="33"/>
      <c r="E4382" s="127"/>
      <c r="F4382" s="128"/>
      <c r="G4382" s="128"/>
      <c r="H4382" s="129"/>
      <c r="I4382" s="130"/>
      <c r="J4382" s="23"/>
      <c r="K4382" s="23"/>
      <c r="L4382" s="23"/>
      <c r="M4382" s="131"/>
      <c r="N4382" s="131"/>
      <c r="O4382" s="131"/>
    </row>
    <row r="4383" spans="4:15" x14ac:dyDescent="0.3">
      <c r="D4383" s="33"/>
      <c r="E4383" s="127"/>
      <c r="F4383" s="128"/>
      <c r="G4383" s="128"/>
      <c r="H4383" s="129"/>
      <c r="I4383" s="130"/>
      <c r="J4383" s="23"/>
      <c r="K4383" s="23"/>
      <c r="L4383" s="23"/>
      <c r="M4383" s="131"/>
      <c r="N4383" s="131"/>
      <c r="O4383" s="131"/>
    </row>
    <row r="4384" spans="4:15" x14ac:dyDescent="0.3">
      <c r="D4384" s="33"/>
      <c r="E4384" s="127"/>
      <c r="F4384" s="128"/>
      <c r="G4384" s="128"/>
      <c r="H4384" s="129"/>
      <c r="I4384" s="130"/>
      <c r="J4384" s="23"/>
      <c r="K4384" s="23"/>
      <c r="L4384" s="23"/>
      <c r="M4384" s="131"/>
      <c r="N4384" s="131"/>
      <c r="O4384" s="131"/>
    </row>
    <row r="4385" spans="4:15" x14ac:dyDescent="0.3">
      <c r="D4385" s="33"/>
      <c r="E4385" s="127"/>
      <c r="F4385" s="128"/>
      <c r="G4385" s="128"/>
      <c r="H4385" s="129"/>
      <c r="I4385" s="130"/>
      <c r="J4385" s="23"/>
      <c r="K4385" s="23"/>
      <c r="L4385" s="23"/>
      <c r="M4385" s="131"/>
      <c r="N4385" s="131"/>
      <c r="O4385" s="131"/>
    </row>
    <row r="4386" spans="4:15" x14ac:dyDescent="0.3">
      <c r="D4386" s="33"/>
      <c r="E4386" s="127"/>
      <c r="F4386" s="128"/>
      <c r="G4386" s="128"/>
      <c r="H4386" s="129"/>
      <c r="I4386" s="130"/>
      <c r="J4386" s="23"/>
      <c r="K4386" s="23"/>
      <c r="L4386" s="23"/>
      <c r="M4386" s="131"/>
      <c r="N4386" s="131"/>
      <c r="O4386" s="131"/>
    </row>
    <row r="4387" spans="4:15" x14ac:dyDescent="0.3">
      <c r="D4387" s="33"/>
      <c r="E4387" s="127"/>
      <c r="F4387" s="128"/>
      <c r="G4387" s="128"/>
      <c r="H4387" s="129"/>
      <c r="I4387" s="130"/>
      <c r="J4387" s="23"/>
      <c r="K4387" s="23"/>
      <c r="L4387" s="23"/>
      <c r="M4387" s="131"/>
      <c r="N4387" s="131"/>
      <c r="O4387" s="131"/>
    </row>
    <row r="4388" spans="4:15" x14ac:dyDescent="0.3">
      <c r="D4388" s="33"/>
      <c r="E4388" s="127"/>
      <c r="F4388" s="128"/>
      <c r="G4388" s="128"/>
      <c r="H4388" s="129"/>
      <c r="I4388" s="130"/>
      <c r="J4388" s="23"/>
      <c r="K4388" s="23"/>
      <c r="L4388" s="23"/>
      <c r="M4388" s="131"/>
      <c r="N4388" s="131"/>
      <c r="O4388" s="131"/>
    </row>
    <row r="4389" spans="4:15" x14ac:dyDescent="0.3">
      <c r="D4389" s="33"/>
      <c r="E4389" s="127"/>
      <c r="F4389" s="128"/>
      <c r="G4389" s="128"/>
      <c r="H4389" s="129"/>
      <c r="I4389" s="130"/>
      <c r="J4389" s="23"/>
      <c r="K4389" s="23"/>
      <c r="L4389" s="23"/>
      <c r="M4389" s="131"/>
      <c r="N4389" s="131"/>
      <c r="O4389" s="131"/>
    </row>
    <row r="4390" spans="4:15" x14ac:dyDescent="0.3">
      <c r="D4390" s="33"/>
      <c r="E4390" s="127"/>
      <c r="F4390" s="128"/>
      <c r="G4390" s="128"/>
      <c r="H4390" s="129"/>
      <c r="I4390" s="130"/>
      <c r="J4390" s="23"/>
      <c r="K4390" s="23"/>
      <c r="L4390" s="23"/>
      <c r="M4390" s="131"/>
      <c r="N4390" s="131"/>
      <c r="O4390" s="131"/>
    </row>
    <row r="4391" spans="4:15" x14ac:dyDescent="0.3">
      <c r="D4391" s="33"/>
      <c r="E4391" s="127"/>
      <c r="F4391" s="128"/>
      <c r="G4391" s="128"/>
      <c r="H4391" s="129"/>
      <c r="I4391" s="130"/>
      <c r="J4391" s="23"/>
      <c r="K4391" s="23"/>
      <c r="L4391" s="23"/>
      <c r="M4391" s="131"/>
      <c r="N4391" s="131"/>
      <c r="O4391" s="131"/>
    </row>
    <row r="4392" spans="4:15" x14ac:dyDescent="0.3">
      <c r="D4392" s="33"/>
      <c r="E4392" s="127"/>
      <c r="F4392" s="128"/>
      <c r="G4392" s="128"/>
      <c r="H4392" s="129"/>
      <c r="I4392" s="130"/>
      <c r="J4392" s="23"/>
      <c r="K4392" s="23"/>
      <c r="L4392" s="23"/>
      <c r="M4392" s="131"/>
      <c r="N4392" s="131"/>
      <c r="O4392" s="131"/>
    </row>
    <row r="4393" spans="4:15" x14ac:dyDescent="0.3">
      <c r="D4393" s="33"/>
      <c r="E4393" s="127"/>
      <c r="F4393" s="128"/>
      <c r="G4393" s="128"/>
      <c r="H4393" s="129"/>
      <c r="I4393" s="130"/>
      <c r="J4393" s="23"/>
      <c r="K4393" s="23"/>
      <c r="L4393" s="23"/>
      <c r="M4393" s="131"/>
      <c r="N4393" s="131"/>
      <c r="O4393" s="131"/>
    </row>
    <row r="4394" spans="4:15" x14ac:dyDescent="0.3">
      <c r="D4394" s="33"/>
      <c r="E4394" s="127"/>
      <c r="F4394" s="128"/>
      <c r="G4394" s="128"/>
      <c r="H4394" s="129"/>
      <c r="I4394" s="130"/>
      <c r="J4394" s="23"/>
      <c r="K4394" s="23"/>
      <c r="L4394" s="23"/>
      <c r="M4394" s="131"/>
      <c r="N4394" s="131"/>
      <c r="O4394" s="131"/>
    </row>
    <row r="4395" spans="4:15" x14ac:dyDescent="0.3">
      <c r="D4395" s="33"/>
      <c r="E4395" s="127"/>
      <c r="F4395" s="128"/>
      <c r="G4395" s="128"/>
      <c r="H4395" s="129"/>
      <c r="I4395" s="130"/>
      <c r="J4395" s="23"/>
      <c r="K4395" s="23"/>
      <c r="L4395" s="23"/>
      <c r="M4395" s="131"/>
      <c r="N4395" s="131"/>
      <c r="O4395" s="131"/>
    </row>
    <row r="4396" spans="4:15" x14ac:dyDescent="0.3">
      <c r="D4396" s="33"/>
      <c r="E4396" s="127"/>
      <c r="F4396" s="128"/>
      <c r="G4396" s="128"/>
      <c r="H4396" s="129"/>
      <c r="I4396" s="130"/>
      <c r="J4396" s="23"/>
      <c r="K4396" s="23"/>
      <c r="L4396" s="23"/>
      <c r="M4396" s="131"/>
      <c r="N4396" s="131"/>
      <c r="O4396" s="131"/>
    </row>
    <row r="4397" spans="4:15" x14ac:dyDescent="0.3">
      <c r="D4397" s="33"/>
      <c r="E4397" s="127"/>
      <c r="F4397" s="128"/>
      <c r="G4397" s="128"/>
      <c r="H4397" s="129"/>
      <c r="I4397" s="130"/>
      <c r="J4397" s="23"/>
      <c r="K4397" s="23"/>
      <c r="L4397" s="23"/>
      <c r="M4397" s="131"/>
      <c r="N4397" s="131"/>
      <c r="O4397" s="131"/>
    </row>
    <row r="4398" spans="4:15" x14ac:dyDescent="0.3">
      <c r="D4398" s="33"/>
      <c r="E4398" s="127"/>
      <c r="F4398" s="128"/>
      <c r="G4398" s="128"/>
      <c r="H4398" s="129"/>
      <c r="I4398" s="130"/>
      <c r="J4398" s="23"/>
      <c r="K4398" s="23"/>
      <c r="L4398" s="23"/>
      <c r="M4398" s="131"/>
      <c r="N4398" s="131"/>
      <c r="O4398" s="131"/>
    </row>
    <row r="4399" spans="4:15" x14ac:dyDescent="0.3">
      <c r="D4399" s="33"/>
      <c r="E4399" s="127"/>
      <c r="F4399" s="128"/>
      <c r="G4399" s="128"/>
      <c r="H4399" s="129"/>
      <c r="I4399" s="130"/>
      <c r="J4399" s="23"/>
      <c r="K4399" s="23"/>
      <c r="L4399" s="23"/>
      <c r="M4399" s="131"/>
      <c r="N4399" s="131"/>
      <c r="O4399" s="131"/>
    </row>
    <row r="4400" spans="4:15" x14ac:dyDescent="0.3">
      <c r="D4400" s="33"/>
      <c r="E4400" s="127"/>
      <c r="F4400" s="128"/>
      <c r="G4400" s="128"/>
      <c r="H4400" s="129"/>
      <c r="I4400" s="130"/>
      <c r="J4400" s="23"/>
      <c r="K4400" s="23"/>
      <c r="L4400" s="23"/>
      <c r="M4400" s="131"/>
      <c r="N4400" s="131"/>
      <c r="O4400" s="131"/>
    </row>
    <row r="4401" spans="4:15" x14ac:dyDescent="0.3">
      <c r="D4401" s="33"/>
      <c r="E4401" s="127"/>
      <c r="F4401" s="128"/>
      <c r="G4401" s="128"/>
      <c r="H4401" s="129"/>
      <c r="I4401" s="130"/>
      <c r="J4401" s="23"/>
      <c r="K4401" s="23"/>
      <c r="L4401" s="23"/>
      <c r="M4401" s="131"/>
      <c r="N4401" s="131"/>
      <c r="O4401" s="131"/>
    </row>
    <row r="4402" spans="4:15" x14ac:dyDescent="0.3">
      <c r="D4402" s="33"/>
      <c r="E4402" s="127"/>
      <c r="F4402" s="128"/>
      <c r="G4402" s="128"/>
      <c r="H4402" s="129"/>
      <c r="I4402" s="130"/>
      <c r="J4402" s="23"/>
      <c r="K4402" s="23"/>
      <c r="L4402" s="23"/>
      <c r="M4402" s="131"/>
      <c r="N4402" s="131"/>
      <c r="O4402" s="131"/>
    </row>
    <row r="4403" spans="4:15" x14ac:dyDescent="0.3">
      <c r="D4403" s="33"/>
      <c r="E4403" s="127"/>
      <c r="F4403" s="128"/>
      <c r="G4403" s="128"/>
      <c r="H4403" s="129"/>
      <c r="I4403" s="130"/>
      <c r="J4403" s="23"/>
      <c r="K4403" s="23"/>
      <c r="L4403" s="23"/>
      <c r="M4403" s="131"/>
      <c r="N4403" s="131"/>
      <c r="O4403" s="131"/>
    </row>
    <row r="4404" spans="4:15" x14ac:dyDescent="0.3">
      <c r="D4404" s="33"/>
      <c r="E4404" s="127"/>
      <c r="F4404" s="128"/>
      <c r="G4404" s="128"/>
      <c r="H4404" s="129"/>
      <c r="I4404" s="130"/>
      <c r="J4404" s="23"/>
      <c r="K4404" s="23"/>
      <c r="L4404" s="23"/>
      <c r="M4404" s="131"/>
      <c r="N4404" s="131"/>
      <c r="O4404" s="131"/>
    </row>
    <row r="4405" spans="4:15" x14ac:dyDescent="0.3">
      <c r="D4405" s="33"/>
      <c r="E4405" s="127"/>
      <c r="F4405" s="128"/>
      <c r="G4405" s="128"/>
      <c r="H4405" s="129"/>
      <c r="I4405" s="130"/>
      <c r="J4405" s="23"/>
      <c r="K4405" s="23"/>
      <c r="L4405" s="23"/>
      <c r="M4405" s="131"/>
      <c r="N4405" s="131"/>
      <c r="O4405" s="131"/>
    </row>
    <row r="4406" spans="4:15" x14ac:dyDescent="0.3">
      <c r="D4406" s="33"/>
      <c r="E4406" s="127"/>
      <c r="F4406" s="128"/>
      <c r="G4406" s="128"/>
      <c r="H4406" s="129"/>
      <c r="I4406" s="130"/>
      <c r="J4406" s="23"/>
      <c r="K4406" s="23"/>
      <c r="L4406" s="23"/>
      <c r="M4406" s="131"/>
      <c r="N4406" s="131"/>
      <c r="O4406" s="131"/>
    </row>
    <row r="4407" spans="4:15" x14ac:dyDescent="0.3">
      <c r="D4407" s="33"/>
      <c r="E4407" s="127"/>
      <c r="F4407" s="128"/>
      <c r="G4407" s="128"/>
      <c r="H4407" s="129"/>
      <c r="I4407" s="130"/>
      <c r="J4407" s="23"/>
      <c r="K4407" s="23"/>
      <c r="L4407" s="23"/>
      <c r="M4407" s="131"/>
      <c r="N4407" s="131"/>
      <c r="O4407" s="131"/>
    </row>
    <row r="4408" spans="4:15" x14ac:dyDescent="0.3">
      <c r="D4408" s="33"/>
      <c r="E4408" s="127"/>
      <c r="F4408" s="128"/>
      <c r="G4408" s="128"/>
      <c r="H4408" s="129"/>
      <c r="I4408" s="130"/>
      <c r="J4408" s="23"/>
      <c r="K4408" s="23"/>
      <c r="L4408" s="23"/>
      <c r="M4408" s="131"/>
      <c r="N4408" s="131"/>
      <c r="O4408" s="131"/>
    </row>
    <row r="4409" spans="4:15" x14ac:dyDescent="0.3">
      <c r="D4409" s="33"/>
      <c r="E4409" s="127"/>
      <c r="F4409" s="128"/>
      <c r="G4409" s="128"/>
      <c r="H4409" s="129"/>
      <c r="I4409" s="130"/>
      <c r="J4409" s="23"/>
      <c r="K4409" s="23"/>
      <c r="L4409" s="23"/>
      <c r="M4409" s="131"/>
      <c r="N4409" s="131"/>
      <c r="O4409" s="131"/>
    </row>
    <row r="4410" spans="4:15" x14ac:dyDescent="0.3">
      <c r="D4410" s="33"/>
      <c r="E4410" s="127"/>
      <c r="F4410" s="128"/>
      <c r="G4410" s="128"/>
      <c r="H4410" s="129"/>
      <c r="I4410" s="130"/>
      <c r="J4410" s="23"/>
      <c r="K4410" s="23"/>
      <c r="L4410" s="23"/>
      <c r="M4410" s="131"/>
      <c r="N4410" s="131"/>
      <c r="O4410" s="131"/>
    </row>
    <row r="4411" spans="4:15" x14ac:dyDescent="0.3">
      <c r="D4411" s="33"/>
      <c r="E4411" s="127"/>
      <c r="F4411" s="128"/>
      <c r="G4411" s="128"/>
      <c r="H4411" s="129"/>
      <c r="I4411" s="130"/>
      <c r="J4411" s="23"/>
      <c r="K4411" s="23"/>
      <c r="L4411" s="23"/>
      <c r="M4411" s="131"/>
      <c r="N4411" s="131"/>
      <c r="O4411" s="131"/>
    </row>
    <row r="4412" spans="4:15" x14ac:dyDescent="0.3">
      <c r="D4412" s="33"/>
      <c r="E4412" s="127"/>
      <c r="F4412" s="128"/>
      <c r="G4412" s="128"/>
      <c r="H4412" s="129"/>
      <c r="I4412" s="130"/>
      <c r="J4412" s="23"/>
      <c r="K4412" s="23"/>
      <c r="L4412" s="23"/>
      <c r="M4412" s="131"/>
      <c r="N4412" s="131"/>
      <c r="O4412" s="131"/>
    </row>
    <row r="4413" spans="4:15" x14ac:dyDescent="0.3">
      <c r="D4413" s="33"/>
      <c r="E4413" s="127"/>
      <c r="F4413" s="128"/>
      <c r="G4413" s="128"/>
      <c r="H4413" s="129"/>
      <c r="I4413" s="130"/>
      <c r="J4413" s="23"/>
      <c r="K4413" s="23"/>
      <c r="L4413" s="23"/>
      <c r="M4413" s="131"/>
      <c r="N4413" s="131"/>
      <c r="O4413" s="131"/>
    </row>
    <row r="4414" spans="4:15" x14ac:dyDescent="0.3">
      <c r="D4414" s="33"/>
      <c r="E4414" s="127"/>
      <c r="F4414" s="128"/>
      <c r="G4414" s="128"/>
      <c r="H4414" s="129"/>
      <c r="I4414" s="130"/>
      <c r="J4414" s="23"/>
      <c r="K4414" s="23"/>
      <c r="L4414" s="23"/>
      <c r="M4414" s="131"/>
      <c r="N4414" s="131"/>
      <c r="O4414" s="131"/>
    </row>
    <row r="4415" spans="4:15" x14ac:dyDescent="0.3">
      <c r="D4415" s="33"/>
      <c r="E4415" s="127"/>
      <c r="F4415" s="128"/>
      <c r="G4415" s="128"/>
      <c r="H4415" s="129"/>
      <c r="I4415" s="130"/>
      <c r="J4415" s="23"/>
      <c r="K4415" s="23"/>
      <c r="L4415" s="23"/>
      <c r="M4415" s="131"/>
      <c r="N4415" s="131"/>
      <c r="O4415" s="131"/>
    </row>
    <row r="4416" spans="4:15" x14ac:dyDescent="0.3">
      <c r="D4416" s="33"/>
      <c r="E4416" s="127"/>
      <c r="F4416" s="128"/>
      <c r="G4416" s="128"/>
      <c r="H4416" s="129"/>
      <c r="I4416" s="130"/>
      <c r="J4416" s="23"/>
      <c r="K4416" s="23"/>
      <c r="L4416" s="23"/>
      <c r="M4416" s="131"/>
      <c r="N4416" s="131"/>
      <c r="O4416" s="131"/>
    </row>
    <row r="4417" spans="4:15" x14ac:dyDescent="0.3">
      <c r="D4417" s="33"/>
      <c r="E4417" s="127"/>
      <c r="F4417" s="128"/>
      <c r="G4417" s="128"/>
      <c r="H4417" s="129"/>
      <c r="I4417" s="130"/>
      <c r="J4417" s="23"/>
      <c r="K4417" s="23"/>
      <c r="L4417" s="23"/>
      <c r="M4417" s="131"/>
      <c r="N4417" s="131"/>
      <c r="O4417" s="131"/>
    </row>
    <row r="4418" spans="4:15" x14ac:dyDescent="0.3">
      <c r="D4418" s="33"/>
      <c r="E4418" s="127"/>
      <c r="F4418" s="128"/>
      <c r="G4418" s="128"/>
      <c r="H4418" s="129"/>
      <c r="I4418" s="130"/>
      <c r="J4418" s="23"/>
      <c r="K4418" s="23"/>
      <c r="L4418" s="23"/>
      <c r="M4418" s="131"/>
      <c r="N4418" s="131"/>
      <c r="O4418" s="131"/>
    </row>
    <row r="4419" spans="4:15" x14ac:dyDescent="0.3">
      <c r="D4419" s="33"/>
      <c r="E4419" s="127"/>
      <c r="F4419" s="128"/>
      <c r="G4419" s="128"/>
      <c r="H4419" s="129"/>
      <c r="I4419" s="130"/>
      <c r="J4419" s="23"/>
      <c r="K4419" s="23"/>
      <c r="L4419" s="23"/>
      <c r="M4419" s="131"/>
      <c r="N4419" s="131"/>
      <c r="O4419" s="131"/>
    </row>
    <row r="4420" spans="4:15" x14ac:dyDescent="0.3">
      <c r="D4420" s="33"/>
      <c r="E4420" s="127"/>
      <c r="F4420" s="128"/>
      <c r="G4420" s="128"/>
      <c r="H4420" s="129"/>
      <c r="I4420" s="130"/>
      <c r="J4420" s="23"/>
      <c r="K4420" s="23"/>
      <c r="L4420" s="23"/>
      <c r="M4420" s="131"/>
      <c r="N4420" s="131"/>
      <c r="O4420" s="131"/>
    </row>
    <row r="4421" spans="4:15" x14ac:dyDescent="0.3">
      <c r="D4421" s="33"/>
      <c r="E4421" s="127"/>
      <c r="F4421" s="128"/>
      <c r="G4421" s="128"/>
      <c r="H4421" s="129"/>
      <c r="I4421" s="130"/>
      <c r="J4421" s="23"/>
      <c r="K4421" s="23"/>
      <c r="L4421" s="23"/>
      <c r="M4421" s="131"/>
      <c r="N4421" s="131"/>
      <c r="O4421" s="131"/>
    </row>
    <row r="4422" spans="4:15" x14ac:dyDescent="0.3">
      <c r="D4422" s="33"/>
      <c r="E4422" s="127"/>
      <c r="F4422" s="128"/>
      <c r="G4422" s="128"/>
      <c r="H4422" s="129"/>
      <c r="I4422" s="130"/>
      <c r="J4422" s="23"/>
      <c r="K4422" s="23"/>
      <c r="L4422" s="23"/>
      <c r="M4422" s="131"/>
      <c r="N4422" s="131"/>
      <c r="O4422" s="131"/>
    </row>
    <row r="4423" spans="4:15" x14ac:dyDescent="0.3">
      <c r="D4423" s="33"/>
      <c r="E4423" s="127"/>
      <c r="F4423" s="128"/>
      <c r="G4423" s="128"/>
      <c r="H4423" s="129"/>
      <c r="I4423" s="130"/>
      <c r="J4423" s="23"/>
      <c r="K4423" s="23"/>
      <c r="L4423" s="23"/>
      <c r="M4423" s="131"/>
      <c r="N4423" s="131"/>
      <c r="O4423" s="131"/>
    </row>
    <row r="4424" spans="4:15" x14ac:dyDescent="0.3">
      <c r="D4424" s="33"/>
      <c r="E4424" s="127"/>
      <c r="F4424" s="128"/>
      <c r="G4424" s="128"/>
      <c r="H4424" s="129"/>
      <c r="I4424" s="130"/>
      <c r="J4424" s="23"/>
      <c r="K4424" s="23"/>
      <c r="L4424" s="23"/>
      <c r="M4424" s="131"/>
      <c r="N4424" s="131"/>
      <c r="O4424" s="131"/>
    </row>
    <row r="4425" spans="4:15" x14ac:dyDescent="0.3">
      <c r="D4425" s="33"/>
      <c r="E4425" s="127"/>
      <c r="F4425" s="128"/>
      <c r="G4425" s="128"/>
      <c r="H4425" s="129"/>
      <c r="I4425" s="130"/>
      <c r="J4425" s="23"/>
      <c r="K4425" s="23"/>
      <c r="L4425" s="23"/>
      <c r="M4425" s="131"/>
      <c r="N4425" s="131"/>
      <c r="O4425" s="131"/>
    </row>
    <row r="4426" spans="4:15" x14ac:dyDescent="0.3">
      <c r="D4426" s="33"/>
      <c r="E4426" s="127"/>
      <c r="F4426" s="128"/>
      <c r="G4426" s="128"/>
      <c r="H4426" s="129"/>
      <c r="I4426" s="130"/>
      <c r="J4426" s="23"/>
      <c r="K4426" s="23"/>
      <c r="L4426" s="23"/>
      <c r="M4426" s="131"/>
      <c r="N4426" s="131"/>
      <c r="O4426" s="131"/>
    </row>
    <row r="4427" spans="4:15" x14ac:dyDescent="0.3">
      <c r="D4427" s="33"/>
      <c r="E4427" s="127"/>
      <c r="F4427" s="128"/>
      <c r="G4427" s="128"/>
      <c r="H4427" s="129"/>
      <c r="I4427" s="130"/>
      <c r="J4427" s="23"/>
      <c r="K4427" s="23"/>
      <c r="L4427" s="23"/>
      <c r="M4427" s="131"/>
      <c r="N4427" s="131"/>
      <c r="O4427" s="131"/>
    </row>
    <row r="4428" spans="4:15" x14ac:dyDescent="0.3">
      <c r="D4428" s="33"/>
      <c r="E4428" s="127"/>
      <c r="F4428" s="128"/>
      <c r="G4428" s="128"/>
      <c r="H4428" s="129"/>
      <c r="I4428" s="130"/>
      <c r="J4428" s="23"/>
      <c r="K4428" s="23"/>
      <c r="L4428" s="23"/>
      <c r="M4428" s="131"/>
      <c r="N4428" s="131"/>
      <c r="O4428" s="131"/>
    </row>
    <row r="4429" spans="4:15" x14ac:dyDescent="0.3">
      <c r="D4429" s="33"/>
      <c r="E4429" s="127"/>
      <c r="F4429" s="128"/>
      <c r="G4429" s="128"/>
      <c r="H4429" s="129"/>
      <c r="I4429" s="130"/>
      <c r="J4429" s="23"/>
      <c r="K4429" s="23"/>
      <c r="L4429" s="23"/>
      <c r="M4429" s="131"/>
      <c r="N4429" s="131"/>
      <c r="O4429" s="131"/>
    </row>
    <row r="4430" spans="4:15" x14ac:dyDescent="0.3">
      <c r="D4430" s="33"/>
      <c r="E4430" s="127"/>
      <c r="F4430" s="128"/>
      <c r="G4430" s="128"/>
      <c r="H4430" s="129"/>
      <c r="I4430" s="130"/>
      <c r="J4430" s="23"/>
      <c r="K4430" s="23"/>
      <c r="L4430" s="23"/>
      <c r="M4430" s="131"/>
      <c r="N4430" s="131"/>
      <c r="O4430" s="131"/>
    </row>
    <row r="4431" spans="4:15" x14ac:dyDescent="0.3">
      <c r="D4431" s="33"/>
      <c r="E4431" s="127"/>
      <c r="F4431" s="128"/>
      <c r="G4431" s="128"/>
      <c r="H4431" s="129"/>
      <c r="I4431" s="130"/>
      <c r="J4431" s="23"/>
      <c r="K4431" s="23"/>
      <c r="L4431" s="23"/>
      <c r="M4431" s="131"/>
      <c r="N4431" s="131"/>
      <c r="O4431" s="131"/>
    </row>
    <row r="4432" spans="4:15" x14ac:dyDescent="0.3">
      <c r="D4432" s="33"/>
      <c r="E4432" s="127"/>
      <c r="F4432" s="128"/>
      <c r="G4432" s="128"/>
      <c r="H4432" s="129"/>
      <c r="I4432" s="130"/>
      <c r="J4432" s="23"/>
      <c r="K4432" s="23"/>
      <c r="L4432" s="23"/>
      <c r="M4432" s="131"/>
      <c r="N4432" s="131"/>
      <c r="O4432" s="131"/>
    </row>
    <row r="4433" spans="4:15" x14ac:dyDescent="0.3">
      <c r="D4433" s="33"/>
      <c r="E4433" s="127"/>
      <c r="F4433" s="128"/>
      <c r="G4433" s="128"/>
      <c r="H4433" s="129"/>
      <c r="I4433" s="130"/>
      <c r="J4433" s="23"/>
      <c r="K4433" s="23"/>
      <c r="L4433" s="23"/>
      <c r="M4433" s="131"/>
      <c r="N4433" s="131"/>
      <c r="O4433" s="131"/>
    </row>
    <row r="4434" spans="4:15" x14ac:dyDescent="0.3">
      <c r="D4434" s="33"/>
      <c r="E4434" s="127"/>
      <c r="F4434" s="128"/>
      <c r="G4434" s="128"/>
      <c r="H4434" s="129"/>
      <c r="I4434" s="130"/>
      <c r="J4434" s="23"/>
      <c r="K4434" s="23"/>
      <c r="L4434" s="23"/>
      <c r="M4434" s="131"/>
      <c r="N4434" s="131"/>
      <c r="O4434" s="131"/>
    </row>
    <row r="4435" spans="4:15" x14ac:dyDescent="0.3">
      <c r="D4435" s="33"/>
      <c r="E4435" s="127"/>
      <c r="F4435" s="128"/>
      <c r="G4435" s="128"/>
      <c r="H4435" s="129"/>
      <c r="I4435" s="130"/>
      <c r="J4435" s="23"/>
      <c r="K4435" s="23"/>
      <c r="L4435" s="23"/>
      <c r="M4435" s="131"/>
      <c r="N4435" s="131"/>
      <c r="O4435" s="131"/>
    </row>
    <row r="4436" spans="4:15" x14ac:dyDescent="0.3">
      <c r="D4436" s="33"/>
      <c r="E4436" s="127"/>
      <c r="F4436" s="128"/>
      <c r="G4436" s="128"/>
      <c r="H4436" s="129"/>
      <c r="I4436" s="130"/>
      <c r="J4436" s="23"/>
      <c r="K4436" s="23"/>
      <c r="L4436" s="23"/>
      <c r="M4436" s="131"/>
      <c r="N4436" s="131"/>
      <c r="O4436" s="131"/>
    </row>
    <row r="4437" spans="4:15" x14ac:dyDescent="0.3">
      <c r="D4437" s="33"/>
      <c r="E4437" s="127"/>
      <c r="F4437" s="128"/>
      <c r="G4437" s="128"/>
      <c r="H4437" s="129"/>
      <c r="I4437" s="130"/>
      <c r="J4437" s="23"/>
      <c r="K4437" s="23"/>
      <c r="L4437" s="23"/>
      <c r="M4437" s="131"/>
      <c r="N4437" s="131"/>
      <c r="O4437" s="131"/>
    </row>
    <row r="4438" spans="4:15" x14ac:dyDescent="0.3">
      <c r="D4438" s="33"/>
      <c r="E4438" s="127"/>
      <c r="F4438" s="128"/>
      <c r="G4438" s="128"/>
      <c r="H4438" s="129"/>
      <c r="I4438" s="130"/>
      <c r="J4438" s="23"/>
      <c r="K4438" s="23"/>
      <c r="L4438" s="23"/>
      <c r="M4438" s="131"/>
      <c r="N4438" s="131"/>
      <c r="O4438" s="131"/>
    </row>
    <row r="4439" spans="4:15" x14ac:dyDescent="0.3">
      <c r="D4439" s="33"/>
      <c r="E4439" s="127"/>
      <c r="F4439" s="128"/>
      <c r="G4439" s="128"/>
      <c r="H4439" s="129"/>
      <c r="I4439" s="130"/>
      <c r="J4439" s="23"/>
      <c r="K4439" s="23"/>
      <c r="L4439" s="23"/>
      <c r="M4439" s="131"/>
      <c r="N4439" s="131"/>
      <c r="O4439" s="131"/>
    </row>
    <row r="4440" spans="4:15" x14ac:dyDescent="0.3">
      <c r="D4440" s="33"/>
      <c r="E4440" s="127"/>
      <c r="F4440" s="128"/>
      <c r="G4440" s="128"/>
      <c r="H4440" s="129"/>
      <c r="I4440" s="130"/>
      <c r="J4440" s="23"/>
      <c r="K4440" s="23"/>
      <c r="L4440" s="23"/>
      <c r="M4440" s="131"/>
      <c r="N4440" s="131"/>
      <c r="O4440" s="131"/>
    </row>
    <row r="4441" spans="4:15" x14ac:dyDescent="0.3">
      <c r="D4441" s="33"/>
      <c r="E4441" s="127"/>
      <c r="F4441" s="128"/>
      <c r="G4441" s="128"/>
      <c r="H4441" s="129"/>
      <c r="I4441" s="130"/>
      <c r="J4441" s="23"/>
      <c r="K4441" s="23"/>
      <c r="L4441" s="23"/>
      <c r="M4441" s="131"/>
      <c r="N4441" s="131"/>
      <c r="O4441" s="131"/>
    </row>
    <row r="4442" spans="4:15" x14ac:dyDescent="0.3">
      <c r="D4442" s="33"/>
      <c r="E4442" s="127"/>
      <c r="F4442" s="128"/>
      <c r="G4442" s="128"/>
      <c r="H4442" s="129"/>
      <c r="I4442" s="130"/>
      <c r="J4442" s="23"/>
      <c r="K4442" s="23"/>
      <c r="L4442" s="23"/>
      <c r="M4442" s="131"/>
      <c r="N4442" s="131"/>
      <c r="O4442" s="131"/>
    </row>
    <row r="4443" spans="4:15" x14ac:dyDescent="0.3">
      <c r="D4443" s="33"/>
      <c r="E4443" s="127"/>
      <c r="F4443" s="128"/>
      <c r="G4443" s="128"/>
      <c r="H4443" s="129"/>
      <c r="I4443" s="130"/>
      <c r="J4443" s="23"/>
      <c r="K4443" s="23"/>
      <c r="L4443" s="23"/>
      <c r="M4443" s="131"/>
      <c r="N4443" s="131"/>
      <c r="O4443" s="131"/>
    </row>
    <row r="4444" spans="4:15" x14ac:dyDescent="0.3">
      <c r="D4444" s="33"/>
      <c r="E4444" s="127"/>
      <c r="F4444" s="128"/>
      <c r="G4444" s="128"/>
      <c r="H4444" s="129"/>
      <c r="I4444" s="130"/>
      <c r="J4444" s="23"/>
      <c r="K4444" s="23"/>
      <c r="L4444" s="23"/>
      <c r="M4444" s="131"/>
      <c r="N4444" s="131"/>
      <c r="O4444" s="131"/>
    </row>
    <row r="4445" spans="4:15" x14ac:dyDescent="0.3">
      <c r="D4445" s="33"/>
      <c r="E4445" s="127"/>
      <c r="F4445" s="128"/>
      <c r="G4445" s="128"/>
      <c r="H4445" s="129"/>
      <c r="I4445" s="130"/>
      <c r="J4445" s="23"/>
      <c r="K4445" s="23"/>
      <c r="L4445" s="23"/>
      <c r="M4445" s="131"/>
      <c r="N4445" s="131"/>
      <c r="O4445" s="131"/>
    </row>
    <row r="4446" spans="4:15" x14ac:dyDescent="0.3">
      <c r="D4446" s="33"/>
      <c r="E4446" s="127"/>
      <c r="F4446" s="128"/>
      <c r="G4446" s="128"/>
      <c r="H4446" s="129"/>
      <c r="I4446" s="130"/>
      <c r="J4446" s="23"/>
      <c r="K4446" s="23"/>
      <c r="L4446" s="23"/>
      <c r="M4446" s="131"/>
      <c r="N4446" s="131"/>
      <c r="O4446" s="131"/>
    </row>
    <row r="4447" spans="4:15" x14ac:dyDescent="0.3">
      <c r="D4447" s="33"/>
      <c r="E4447" s="127"/>
      <c r="F4447" s="128"/>
      <c r="G4447" s="128"/>
      <c r="H4447" s="129"/>
      <c r="I4447" s="130"/>
      <c r="J4447" s="23"/>
      <c r="K4447" s="23"/>
      <c r="L4447" s="23"/>
      <c r="M4447" s="131"/>
      <c r="N4447" s="131"/>
      <c r="O4447" s="131"/>
    </row>
    <row r="4448" spans="4:15" x14ac:dyDescent="0.3">
      <c r="D4448" s="33"/>
      <c r="E4448" s="127"/>
      <c r="F4448" s="128"/>
      <c r="G4448" s="128"/>
      <c r="H4448" s="129"/>
      <c r="I4448" s="130"/>
      <c r="J4448" s="23"/>
      <c r="K4448" s="23"/>
      <c r="L4448" s="23"/>
      <c r="M4448" s="131"/>
      <c r="N4448" s="131"/>
      <c r="O4448" s="131"/>
    </row>
    <row r="4449" spans="4:15" x14ac:dyDescent="0.3">
      <c r="D4449" s="33"/>
      <c r="E4449" s="127"/>
      <c r="F4449" s="128"/>
      <c r="G4449" s="128"/>
      <c r="H4449" s="129"/>
      <c r="I4449" s="130"/>
      <c r="J4449" s="23"/>
      <c r="K4449" s="23"/>
      <c r="L4449" s="23"/>
      <c r="M4449" s="131"/>
      <c r="N4449" s="131"/>
      <c r="O4449" s="131"/>
    </row>
    <row r="4450" spans="4:15" x14ac:dyDescent="0.3">
      <c r="D4450" s="33"/>
      <c r="E4450" s="127"/>
      <c r="F4450" s="128"/>
      <c r="G4450" s="128"/>
      <c r="H4450" s="129"/>
      <c r="I4450" s="130"/>
      <c r="J4450" s="23"/>
      <c r="K4450" s="23"/>
      <c r="L4450" s="23"/>
      <c r="M4450" s="131"/>
      <c r="N4450" s="131"/>
      <c r="O4450" s="131"/>
    </row>
    <row r="4451" spans="4:15" x14ac:dyDescent="0.3">
      <c r="D4451" s="33"/>
      <c r="E4451" s="127"/>
      <c r="F4451" s="128"/>
      <c r="G4451" s="128"/>
      <c r="H4451" s="129"/>
      <c r="I4451" s="130"/>
      <c r="J4451" s="23"/>
      <c r="K4451" s="23"/>
      <c r="L4451" s="23"/>
      <c r="M4451" s="131"/>
      <c r="N4451" s="131"/>
      <c r="O4451" s="131"/>
    </row>
    <row r="4452" spans="4:15" x14ac:dyDescent="0.3">
      <c r="D4452" s="33"/>
      <c r="E4452" s="127"/>
      <c r="F4452" s="128"/>
      <c r="G4452" s="128"/>
      <c r="H4452" s="129"/>
      <c r="I4452" s="130"/>
      <c r="J4452" s="23"/>
      <c r="K4452" s="23"/>
      <c r="L4452" s="23"/>
      <c r="M4452" s="131"/>
      <c r="N4452" s="131"/>
      <c r="O4452" s="131"/>
    </row>
    <row r="4453" spans="4:15" x14ac:dyDescent="0.3">
      <c r="D4453" s="33"/>
      <c r="E4453" s="127"/>
      <c r="F4453" s="128"/>
      <c r="G4453" s="128"/>
      <c r="H4453" s="129"/>
      <c r="I4453" s="130"/>
      <c r="J4453" s="23"/>
      <c r="K4453" s="23"/>
      <c r="L4453" s="23"/>
      <c r="M4453" s="131"/>
      <c r="N4453" s="131"/>
      <c r="O4453" s="131"/>
    </row>
    <row r="4454" spans="4:15" x14ac:dyDescent="0.3">
      <c r="D4454" s="33"/>
      <c r="E4454" s="127"/>
      <c r="F4454" s="128"/>
      <c r="G4454" s="128"/>
      <c r="H4454" s="129"/>
      <c r="I4454" s="130"/>
      <c r="J4454" s="23"/>
      <c r="K4454" s="23"/>
      <c r="L4454" s="23"/>
      <c r="M4454" s="131"/>
      <c r="N4454" s="131"/>
      <c r="O4454" s="131"/>
    </row>
    <row r="4455" spans="4:15" x14ac:dyDescent="0.3">
      <c r="D4455" s="33"/>
      <c r="E4455" s="127"/>
      <c r="F4455" s="128"/>
      <c r="G4455" s="128"/>
      <c r="H4455" s="129"/>
      <c r="I4455" s="130"/>
      <c r="J4455" s="23"/>
      <c r="K4455" s="23"/>
      <c r="L4455" s="23"/>
      <c r="M4455" s="131"/>
      <c r="N4455" s="131"/>
      <c r="O4455" s="131"/>
    </row>
    <row r="4456" spans="4:15" x14ac:dyDescent="0.3">
      <c r="D4456" s="33"/>
      <c r="E4456" s="127"/>
      <c r="F4456" s="128"/>
      <c r="G4456" s="128"/>
      <c r="H4456" s="129"/>
      <c r="I4456" s="130"/>
      <c r="J4456" s="23"/>
      <c r="K4456" s="23"/>
      <c r="L4456" s="23"/>
      <c r="M4456" s="131"/>
      <c r="N4456" s="131"/>
      <c r="O4456" s="131"/>
    </row>
    <row r="4457" spans="4:15" x14ac:dyDescent="0.3">
      <c r="D4457" s="33"/>
      <c r="E4457" s="127"/>
      <c r="F4457" s="128"/>
      <c r="G4457" s="128"/>
      <c r="H4457" s="129"/>
      <c r="I4457" s="130"/>
      <c r="J4457" s="23"/>
      <c r="K4457" s="23"/>
      <c r="L4457" s="23"/>
      <c r="M4457" s="131"/>
      <c r="N4457" s="131"/>
      <c r="O4457" s="131"/>
    </row>
    <row r="4458" spans="4:15" x14ac:dyDescent="0.3">
      <c r="D4458" s="33"/>
      <c r="E4458" s="127"/>
      <c r="F4458" s="128"/>
      <c r="G4458" s="128"/>
      <c r="H4458" s="129"/>
      <c r="I4458" s="130"/>
      <c r="J4458" s="23"/>
      <c r="K4458" s="23"/>
      <c r="L4458" s="23"/>
      <c r="M4458" s="131"/>
      <c r="N4458" s="131"/>
      <c r="O4458" s="131"/>
    </row>
    <row r="4459" spans="4:15" x14ac:dyDescent="0.3">
      <c r="D4459" s="33"/>
      <c r="E4459" s="127"/>
      <c r="F4459" s="128"/>
      <c r="G4459" s="128"/>
      <c r="H4459" s="129"/>
      <c r="I4459" s="130"/>
      <c r="J4459" s="23"/>
      <c r="K4459" s="23"/>
      <c r="L4459" s="23"/>
      <c r="M4459" s="131"/>
      <c r="N4459" s="131"/>
      <c r="O4459" s="131"/>
    </row>
    <row r="4460" spans="4:15" x14ac:dyDescent="0.3">
      <c r="D4460" s="33"/>
      <c r="E4460" s="127"/>
      <c r="F4460" s="128"/>
      <c r="G4460" s="128"/>
      <c r="H4460" s="129"/>
      <c r="I4460" s="130"/>
      <c r="J4460" s="23"/>
      <c r="K4460" s="23"/>
      <c r="L4460" s="23"/>
      <c r="M4460" s="131"/>
      <c r="N4460" s="131"/>
      <c r="O4460" s="131"/>
    </row>
    <row r="4461" spans="4:15" x14ac:dyDescent="0.3">
      <c r="D4461" s="33"/>
      <c r="E4461" s="127"/>
      <c r="F4461" s="128"/>
      <c r="G4461" s="128"/>
      <c r="H4461" s="129"/>
      <c r="I4461" s="130"/>
      <c r="J4461" s="23"/>
      <c r="K4461" s="23"/>
      <c r="L4461" s="23"/>
      <c r="M4461" s="131"/>
      <c r="N4461" s="131"/>
      <c r="O4461" s="131"/>
    </row>
    <row r="4462" spans="4:15" x14ac:dyDescent="0.3">
      <c r="D4462" s="33"/>
      <c r="E4462" s="127"/>
      <c r="F4462" s="128"/>
      <c r="G4462" s="128"/>
      <c r="H4462" s="129"/>
      <c r="I4462" s="130"/>
      <c r="J4462" s="23"/>
      <c r="K4462" s="23"/>
      <c r="L4462" s="23"/>
      <c r="M4462" s="131"/>
      <c r="N4462" s="131"/>
      <c r="O4462" s="131"/>
    </row>
    <row r="4463" spans="4:15" x14ac:dyDescent="0.3">
      <c r="D4463" s="33"/>
      <c r="E4463" s="127"/>
      <c r="F4463" s="128"/>
      <c r="G4463" s="128"/>
      <c r="H4463" s="129"/>
      <c r="I4463" s="130"/>
      <c r="J4463" s="23"/>
      <c r="K4463" s="23"/>
      <c r="L4463" s="23"/>
      <c r="M4463" s="131"/>
      <c r="N4463" s="131"/>
      <c r="O4463" s="131"/>
    </row>
    <row r="4464" spans="4:15" x14ac:dyDescent="0.3">
      <c r="D4464" s="33"/>
      <c r="E4464" s="127"/>
      <c r="F4464" s="128"/>
      <c r="G4464" s="128"/>
      <c r="H4464" s="129"/>
      <c r="I4464" s="130"/>
      <c r="J4464" s="23"/>
      <c r="K4464" s="23"/>
      <c r="L4464" s="23"/>
      <c r="M4464" s="131"/>
      <c r="N4464" s="131"/>
      <c r="O4464" s="131"/>
    </row>
    <row r="4465" spans="4:15" x14ac:dyDescent="0.3">
      <c r="D4465" s="33"/>
      <c r="E4465" s="127"/>
      <c r="F4465" s="128"/>
      <c r="G4465" s="128"/>
      <c r="H4465" s="129"/>
      <c r="I4465" s="130"/>
      <c r="J4465" s="23"/>
      <c r="K4465" s="23"/>
      <c r="L4465" s="23"/>
      <c r="M4465" s="131"/>
      <c r="N4465" s="131"/>
      <c r="O4465" s="131"/>
    </row>
    <row r="4466" spans="4:15" x14ac:dyDescent="0.3">
      <c r="D4466" s="33"/>
      <c r="E4466" s="127"/>
      <c r="F4466" s="128"/>
      <c r="G4466" s="128"/>
      <c r="H4466" s="129"/>
      <c r="I4466" s="130"/>
      <c r="J4466" s="23"/>
      <c r="K4466" s="23"/>
      <c r="L4466" s="23"/>
      <c r="M4466" s="131"/>
      <c r="N4466" s="131"/>
      <c r="O4466" s="131"/>
    </row>
    <row r="4467" spans="4:15" x14ac:dyDescent="0.3">
      <c r="D4467" s="33"/>
      <c r="E4467" s="127"/>
      <c r="F4467" s="128"/>
      <c r="G4467" s="128"/>
      <c r="H4467" s="129"/>
      <c r="I4467" s="130"/>
      <c r="J4467" s="23"/>
      <c r="K4467" s="23"/>
      <c r="L4467" s="23"/>
      <c r="M4467" s="131"/>
      <c r="N4467" s="131"/>
      <c r="O4467" s="131"/>
    </row>
    <row r="4468" spans="4:15" x14ac:dyDescent="0.3">
      <c r="D4468" s="33"/>
      <c r="E4468" s="127"/>
      <c r="F4468" s="128"/>
      <c r="G4468" s="128"/>
      <c r="H4468" s="129"/>
      <c r="I4468" s="130"/>
      <c r="J4468" s="23"/>
      <c r="K4468" s="23"/>
      <c r="L4468" s="23"/>
      <c r="M4468" s="131"/>
      <c r="N4468" s="131"/>
      <c r="O4468" s="131"/>
    </row>
    <row r="4469" spans="4:15" x14ac:dyDescent="0.3">
      <c r="D4469" s="33"/>
      <c r="E4469" s="127"/>
      <c r="F4469" s="128"/>
      <c r="G4469" s="128"/>
      <c r="H4469" s="129"/>
      <c r="I4469" s="130"/>
      <c r="J4469" s="23"/>
      <c r="K4469" s="23"/>
      <c r="L4469" s="23"/>
      <c r="M4469" s="131"/>
      <c r="N4469" s="131"/>
      <c r="O4469" s="131"/>
    </row>
    <row r="4470" spans="4:15" x14ac:dyDescent="0.3">
      <c r="D4470" s="33"/>
      <c r="E4470" s="127"/>
      <c r="F4470" s="128"/>
      <c r="G4470" s="128"/>
      <c r="H4470" s="129"/>
      <c r="I4470" s="130"/>
      <c r="J4470" s="23"/>
      <c r="K4470" s="23"/>
      <c r="L4470" s="23"/>
      <c r="M4470" s="131"/>
      <c r="N4470" s="131"/>
      <c r="O4470" s="131"/>
    </row>
    <row r="4471" spans="4:15" x14ac:dyDescent="0.3">
      <c r="D4471" s="33"/>
      <c r="E4471" s="127"/>
      <c r="F4471" s="128"/>
      <c r="G4471" s="128"/>
      <c r="H4471" s="129"/>
      <c r="I4471" s="130"/>
      <c r="J4471" s="23"/>
      <c r="K4471" s="23"/>
      <c r="L4471" s="23"/>
      <c r="M4471" s="131"/>
      <c r="N4471" s="131"/>
      <c r="O4471" s="131"/>
    </row>
    <row r="4472" spans="4:15" x14ac:dyDescent="0.3">
      <c r="D4472" s="33"/>
      <c r="E4472" s="127"/>
      <c r="F4472" s="128"/>
      <c r="G4472" s="128"/>
      <c r="H4472" s="129"/>
      <c r="I4472" s="130"/>
      <c r="J4472" s="23"/>
      <c r="K4472" s="23"/>
      <c r="L4472" s="23"/>
      <c r="M4472" s="131"/>
      <c r="N4472" s="131"/>
      <c r="O4472" s="131"/>
    </row>
    <row r="4473" spans="4:15" x14ac:dyDescent="0.3">
      <c r="D4473" s="33"/>
      <c r="E4473" s="127"/>
      <c r="F4473" s="128"/>
      <c r="G4473" s="128"/>
      <c r="H4473" s="129"/>
      <c r="I4473" s="130"/>
      <c r="J4473" s="23"/>
      <c r="K4473" s="23"/>
      <c r="L4473" s="23"/>
      <c r="M4473" s="131"/>
      <c r="N4473" s="131"/>
      <c r="O4473" s="131"/>
    </row>
    <row r="4474" spans="4:15" x14ac:dyDescent="0.3">
      <c r="D4474" s="33"/>
      <c r="E4474" s="127"/>
      <c r="F4474" s="128"/>
      <c r="G4474" s="128"/>
      <c r="H4474" s="129"/>
      <c r="I4474" s="130"/>
      <c r="J4474" s="23"/>
      <c r="K4474" s="23"/>
      <c r="L4474" s="23"/>
      <c r="M4474" s="131"/>
      <c r="N4474" s="131"/>
      <c r="O4474" s="131"/>
    </row>
    <row r="4475" spans="4:15" x14ac:dyDescent="0.3">
      <c r="D4475" s="33"/>
      <c r="E4475" s="127"/>
      <c r="F4475" s="128"/>
      <c r="G4475" s="128"/>
      <c r="H4475" s="129"/>
      <c r="I4475" s="130"/>
      <c r="J4475" s="23"/>
      <c r="K4475" s="23"/>
      <c r="L4475" s="23"/>
      <c r="M4475" s="131"/>
      <c r="N4475" s="131"/>
      <c r="O4475" s="131"/>
    </row>
    <row r="4476" spans="4:15" x14ac:dyDescent="0.3">
      <c r="D4476" s="33"/>
      <c r="E4476" s="127"/>
      <c r="F4476" s="128"/>
      <c r="G4476" s="128"/>
      <c r="H4476" s="129"/>
      <c r="I4476" s="130"/>
      <c r="J4476" s="23"/>
      <c r="K4476" s="23"/>
      <c r="L4476" s="23"/>
      <c r="M4476" s="131"/>
      <c r="N4476" s="131"/>
      <c r="O4476" s="131"/>
    </row>
    <row r="4477" spans="4:15" x14ac:dyDescent="0.3">
      <c r="D4477" s="33"/>
      <c r="E4477" s="127"/>
      <c r="F4477" s="128"/>
      <c r="G4477" s="128"/>
      <c r="H4477" s="129"/>
      <c r="I4477" s="130"/>
      <c r="J4477" s="23"/>
      <c r="K4477" s="23"/>
      <c r="L4477" s="23"/>
      <c r="M4477" s="131"/>
      <c r="N4477" s="131"/>
      <c r="O4477" s="131"/>
    </row>
    <row r="4478" spans="4:15" x14ac:dyDescent="0.3">
      <c r="D4478" s="33"/>
      <c r="E4478" s="127"/>
      <c r="F4478" s="128"/>
      <c r="G4478" s="128"/>
      <c r="H4478" s="129"/>
      <c r="I4478" s="130"/>
      <c r="J4478" s="23"/>
      <c r="K4478" s="23"/>
      <c r="L4478" s="23"/>
      <c r="M4478" s="131"/>
      <c r="N4478" s="131"/>
      <c r="O4478" s="131"/>
    </row>
    <row r="4479" spans="4:15" x14ac:dyDescent="0.3">
      <c r="D4479" s="33"/>
      <c r="E4479" s="127"/>
      <c r="F4479" s="128"/>
      <c r="G4479" s="128"/>
      <c r="H4479" s="129"/>
      <c r="I4479" s="130"/>
      <c r="J4479" s="23"/>
      <c r="K4479" s="23"/>
      <c r="L4479" s="23"/>
      <c r="M4479" s="131"/>
      <c r="N4479" s="131"/>
      <c r="O4479" s="131"/>
    </row>
    <row r="4480" spans="4:15" x14ac:dyDescent="0.3">
      <c r="D4480" s="33"/>
      <c r="E4480" s="127"/>
      <c r="F4480" s="128"/>
      <c r="G4480" s="128"/>
      <c r="H4480" s="129"/>
      <c r="I4480" s="130"/>
      <c r="J4480" s="23"/>
      <c r="K4480" s="23"/>
      <c r="L4480" s="23"/>
      <c r="M4480" s="131"/>
      <c r="N4480" s="131"/>
      <c r="O4480" s="131"/>
    </row>
    <row r="4481" spans="4:15" x14ac:dyDescent="0.3">
      <c r="D4481" s="33"/>
      <c r="E4481" s="127"/>
      <c r="F4481" s="128"/>
      <c r="G4481" s="128"/>
      <c r="H4481" s="129"/>
      <c r="I4481" s="130"/>
      <c r="J4481" s="23"/>
      <c r="K4481" s="23"/>
      <c r="L4481" s="23"/>
      <c r="M4481" s="131"/>
      <c r="N4481" s="131"/>
      <c r="O4481" s="131"/>
    </row>
    <row r="4482" spans="4:15" x14ac:dyDescent="0.3">
      <c r="D4482" s="33"/>
      <c r="E4482" s="127"/>
      <c r="F4482" s="128"/>
      <c r="G4482" s="128"/>
      <c r="H4482" s="129"/>
      <c r="I4482" s="130"/>
      <c r="J4482" s="23"/>
      <c r="K4482" s="23"/>
      <c r="L4482" s="23"/>
      <c r="M4482" s="131"/>
      <c r="N4482" s="131"/>
      <c r="O4482" s="131"/>
    </row>
    <row r="4483" spans="4:15" x14ac:dyDescent="0.3">
      <c r="D4483" s="33"/>
      <c r="E4483" s="127"/>
      <c r="F4483" s="128"/>
      <c r="G4483" s="128"/>
      <c r="H4483" s="129"/>
      <c r="I4483" s="130"/>
      <c r="J4483" s="23"/>
      <c r="K4483" s="23"/>
      <c r="L4483" s="23"/>
      <c r="M4483" s="131"/>
      <c r="N4483" s="131"/>
      <c r="O4483" s="131"/>
    </row>
    <row r="4484" spans="4:15" x14ac:dyDescent="0.3">
      <c r="D4484" s="33"/>
      <c r="E4484" s="127"/>
      <c r="F4484" s="128"/>
      <c r="G4484" s="128"/>
      <c r="H4484" s="129"/>
      <c r="I4484" s="130"/>
      <c r="J4484" s="23"/>
      <c r="K4484" s="23"/>
      <c r="L4484" s="23"/>
      <c r="M4484" s="131"/>
      <c r="N4484" s="131"/>
      <c r="O4484" s="131"/>
    </row>
    <row r="4485" spans="4:15" x14ac:dyDescent="0.3">
      <c r="D4485" s="33"/>
      <c r="E4485" s="127"/>
      <c r="F4485" s="128"/>
      <c r="G4485" s="128"/>
      <c r="H4485" s="129"/>
      <c r="I4485" s="130"/>
      <c r="J4485" s="23"/>
      <c r="K4485" s="23"/>
      <c r="L4485" s="23"/>
      <c r="M4485" s="131"/>
      <c r="N4485" s="131"/>
      <c r="O4485" s="131"/>
    </row>
    <row r="4486" spans="4:15" x14ac:dyDescent="0.3">
      <c r="D4486" s="33"/>
      <c r="E4486" s="127"/>
      <c r="F4486" s="128"/>
      <c r="G4486" s="128"/>
      <c r="H4486" s="129"/>
      <c r="I4486" s="130"/>
      <c r="J4486" s="23"/>
      <c r="K4486" s="23"/>
      <c r="L4486" s="23"/>
      <c r="M4486" s="131"/>
      <c r="N4486" s="131"/>
      <c r="O4486" s="131"/>
    </row>
    <row r="4487" spans="4:15" x14ac:dyDescent="0.3">
      <c r="D4487" s="33"/>
      <c r="E4487" s="127"/>
      <c r="F4487" s="128"/>
      <c r="G4487" s="128"/>
      <c r="H4487" s="129"/>
      <c r="I4487" s="130"/>
      <c r="J4487" s="23"/>
      <c r="K4487" s="23"/>
      <c r="L4487" s="23"/>
      <c r="M4487" s="131"/>
      <c r="N4487" s="131"/>
      <c r="O4487" s="131"/>
    </row>
    <row r="4488" spans="4:15" x14ac:dyDescent="0.3">
      <c r="D4488" s="33"/>
      <c r="E4488" s="127"/>
      <c r="F4488" s="128"/>
      <c r="G4488" s="128"/>
      <c r="H4488" s="129"/>
      <c r="I4488" s="130"/>
      <c r="J4488" s="23"/>
      <c r="K4488" s="23"/>
      <c r="L4488" s="23"/>
      <c r="M4488" s="131"/>
      <c r="N4488" s="131"/>
      <c r="O4488" s="131"/>
    </row>
    <row r="4489" spans="4:15" x14ac:dyDescent="0.3">
      <c r="D4489" s="33"/>
      <c r="E4489" s="127"/>
      <c r="F4489" s="128"/>
      <c r="G4489" s="128"/>
      <c r="H4489" s="129"/>
      <c r="I4489" s="130"/>
      <c r="J4489" s="23"/>
      <c r="K4489" s="23"/>
      <c r="L4489" s="23"/>
      <c r="M4489" s="131"/>
      <c r="N4489" s="131"/>
      <c r="O4489" s="131"/>
    </row>
    <row r="4490" spans="4:15" x14ac:dyDescent="0.3">
      <c r="D4490" s="33"/>
      <c r="E4490" s="127"/>
      <c r="F4490" s="128"/>
      <c r="G4490" s="128"/>
      <c r="H4490" s="129"/>
      <c r="I4490" s="130"/>
      <c r="J4490" s="23"/>
      <c r="K4490" s="23"/>
      <c r="L4490" s="23"/>
      <c r="M4490" s="131"/>
      <c r="N4490" s="131"/>
      <c r="O4490" s="131"/>
    </row>
    <row r="4491" spans="4:15" x14ac:dyDescent="0.3">
      <c r="D4491" s="33"/>
      <c r="E4491" s="127"/>
      <c r="F4491" s="128"/>
      <c r="G4491" s="128"/>
      <c r="H4491" s="129"/>
      <c r="I4491" s="130"/>
      <c r="J4491" s="23"/>
      <c r="K4491" s="23"/>
      <c r="L4491" s="23"/>
      <c r="M4491" s="131"/>
      <c r="N4491" s="131"/>
      <c r="O4491" s="131"/>
    </row>
    <row r="4492" spans="4:15" x14ac:dyDescent="0.3">
      <c r="D4492" s="33"/>
      <c r="E4492" s="127"/>
      <c r="F4492" s="128"/>
      <c r="G4492" s="128"/>
      <c r="H4492" s="129"/>
      <c r="I4492" s="130"/>
      <c r="J4492" s="23"/>
      <c r="K4492" s="23"/>
      <c r="L4492" s="23"/>
      <c r="M4492" s="131"/>
      <c r="N4492" s="131"/>
      <c r="O4492" s="131"/>
    </row>
    <row r="4493" spans="4:15" x14ac:dyDescent="0.3">
      <c r="D4493" s="33"/>
      <c r="E4493" s="127"/>
      <c r="F4493" s="128"/>
      <c r="G4493" s="128"/>
      <c r="H4493" s="129"/>
      <c r="I4493" s="130"/>
      <c r="J4493" s="23"/>
      <c r="K4493" s="23"/>
      <c r="L4493" s="23"/>
      <c r="M4493" s="131"/>
      <c r="N4493" s="131"/>
      <c r="O4493" s="131"/>
    </row>
    <row r="4494" spans="4:15" x14ac:dyDescent="0.3">
      <c r="D4494" s="33"/>
      <c r="E4494" s="127"/>
      <c r="F4494" s="128"/>
      <c r="G4494" s="128"/>
      <c r="H4494" s="129"/>
      <c r="I4494" s="130"/>
      <c r="J4494" s="23"/>
      <c r="K4494" s="23"/>
      <c r="L4494" s="23"/>
      <c r="M4494" s="131"/>
      <c r="N4494" s="131"/>
      <c r="O4494" s="131"/>
    </row>
    <row r="4495" spans="4:15" x14ac:dyDescent="0.3">
      <c r="D4495" s="33"/>
      <c r="E4495" s="127"/>
      <c r="F4495" s="128"/>
      <c r="G4495" s="128"/>
      <c r="H4495" s="129"/>
      <c r="I4495" s="130"/>
      <c r="J4495" s="23"/>
      <c r="K4495" s="23"/>
      <c r="L4495" s="23"/>
      <c r="M4495" s="131"/>
      <c r="N4495" s="131"/>
      <c r="O4495" s="131"/>
    </row>
    <row r="4496" spans="4:15" x14ac:dyDescent="0.3">
      <c r="D4496" s="33"/>
      <c r="E4496" s="127"/>
      <c r="F4496" s="128"/>
      <c r="G4496" s="128"/>
      <c r="H4496" s="129"/>
      <c r="I4496" s="130"/>
      <c r="J4496" s="23"/>
      <c r="K4496" s="23"/>
      <c r="L4496" s="23"/>
      <c r="M4496" s="131"/>
      <c r="N4496" s="131"/>
      <c r="O4496" s="131"/>
    </row>
    <row r="4497" spans="4:15" x14ac:dyDescent="0.3">
      <c r="D4497" s="33"/>
      <c r="E4497" s="127"/>
      <c r="F4497" s="128"/>
      <c r="G4497" s="128"/>
      <c r="H4497" s="129"/>
      <c r="I4497" s="130"/>
      <c r="J4497" s="23"/>
      <c r="K4497" s="23"/>
      <c r="L4497" s="23"/>
      <c r="M4497" s="131"/>
      <c r="N4497" s="131"/>
      <c r="O4497" s="131"/>
    </row>
    <row r="4498" spans="4:15" x14ac:dyDescent="0.3">
      <c r="D4498" s="33"/>
      <c r="E4498" s="127"/>
      <c r="F4498" s="128"/>
      <c r="G4498" s="128"/>
      <c r="H4498" s="129"/>
      <c r="I4498" s="130"/>
      <c r="J4498" s="23"/>
      <c r="K4498" s="23"/>
      <c r="L4498" s="23"/>
      <c r="M4498" s="131"/>
      <c r="N4498" s="131"/>
      <c r="O4498" s="131"/>
    </row>
    <row r="4499" spans="4:15" x14ac:dyDescent="0.3">
      <c r="D4499" s="33"/>
      <c r="E4499" s="127"/>
      <c r="F4499" s="128"/>
      <c r="G4499" s="128"/>
      <c r="H4499" s="129"/>
      <c r="I4499" s="130"/>
      <c r="J4499" s="23"/>
      <c r="K4499" s="23"/>
      <c r="L4499" s="23"/>
      <c r="M4499" s="131"/>
      <c r="N4499" s="131"/>
      <c r="O4499" s="131"/>
    </row>
    <row r="4500" spans="4:15" x14ac:dyDescent="0.3">
      <c r="D4500" s="33"/>
      <c r="E4500" s="127"/>
      <c r="F4500" s="128"/>
      <c r="G4500" s="128"/>
      <c r="H4500" s="129"/>
      <c r="I4500" s="130"/>
      <c r="J4500" s="23"/>
      <c r="K4500" s="23"/>
      <c r="L4500" s="23"/>
      <c r="M4500" s="131"/>
      <c r="N4500" s="131"/>
      <c r="O4500" s="131"/>
    </row>
    <row r="4501" spans="4:15" x14ac:dyDescent="0.3">
      <c r="D4501" s="33"/>
      <c r="E4501" s="127"/>
      <c r="F4501" s="128"/>
      <c r="G4501" s="128"/>
      <c r="H4501" s="129"/>
      <c r="I4501" s="130"/>
      <c r="J4501" s="23"/>
      <c r="K4501" s="23"/>
      <c r="L4501" s="23"/>
      <c r="M4501" s="131"/>
      <c r="N4501" s="131"/>
      <c r="O4501" s="131"/>
    </row>
    <row r="4502" spans="4:15" x14ac:dyDescent="0.3">
      <c r="D4502" s="33"/>
      <c r="E4502" s="127"/>
      <c r="F4502" s="128"/>
      <c r="G4502" s="128"/>
      <c r="H4502" s="129"/>
      <c r="I4502" s="130"/>
      <c r="J4502" s="23"/>
      <c r="K4502" s="23"/>
      <c r="L4502" s="23"/>
      <c r="M4502" s="131"/>
      <c r="N4502" s="131"/>
      <c r="O4502" s="131"/>
    </row>
    <row r="4503" spans="4:15" x14ac:dyDescent="0.3">
      <c r="D4503" s="33"/>
      <c r="E4503" s="127"/>
      <c r="F4503" s="128"/>
      <c r="G4503" s="128"/>
      <c r="H4503" s="129"/>
      <c r="I4503" s="130"/>
      <c r="J4503" s="23"/>
      <c r="K4503" s="23"/>
      <c r="L4503" s="23"/>
      <c r="M4503" s="131"/>
      <c r="N4503" s="131"/>
      <c r="O4503" s="131"/>
    </row>
    <row r="4504" spans="4:15" x14ac:dyDescent="0.3">
      <c r="D4504" s="33"/>
      <c r="E4504" s="127"/>
      <c r="F4504" s="128"/>
      <c r="G4504" s="128"/>
      <c r="H4504" s="129"/>
      <c r="I4504" s="130"/>
      <c r="J4504" s="23"/>
      <c r="K4504" s="23"/>
      <c r="L4504" s="23"/>
      <c r="M4504" s="131"/>
      <c r="N4504" s="131"/>
      <c r="O4504" s="131"/>
    </row>
    <row r="4505" spans="4:15" x14ac:dyDescent="0.3">
      <c r="D4505" s="33"/>
      <c r="E4505" s="127"/>
      <c r="F4505" s="128"/>
      <c r="G4505" s="128"/>
      <c r="H4505" s="129"/>
      <c r="I4505" s="130"/>
      <c r="J4505" s="23"/>
      <c r="K4505" s="23"/>
      <c r="L4505" s="23"/>
      <c r="M4505" s="131"/>
      <c r="N4505" s="131"/>
      <c r="O4505" s="131"/>
    </row>
    <row r="4506" spans="4:15" x14ac:dyDescent="0.3">
      <c r="D4506" s="33"/>
      <c r="E4506" s="127"/>
      <c r="F4506" s="128"/>
      <c r="G4506" s="128"/>
      <c r="H4506" s="129"/>
      <c r="I4506" s="130"/>
      <c r="J4506" s="23"/>
      <c r="K4506" s="23"/>
      <c r="L4506" s="23"/>
      <c r="M4506" s="131"/>
      <c r="N4506" s="131"/>
      <c r="O4506" s="131"/>
    </row>
    <row r="4507" spans="4:15" x14ac:dyDescent="0.3">
      <c r="D4507" s="33"/>
      <c r="E4507" s="127"/>
      <c r="F4507" s="128"/>
      <c r="G4507" s="128"/>
      <c r="H4507" s="129"/>
      <c r="I4507" s="130"/>
      <c r="J4507" s="23"/>
      <c r="K4507" s="23"/>
      <c r="L4507" s="23"/>
      <c r="M4507" s="131"/>
      <c r="N4507" s="131"/>
      <c r="O4507" s="131"/>
    </row>
    <row r="4508" spans="4:15" x14ac:dyDescent="0.3">
      <c r="D4508" s="33"/>
      <c r="E4508" s="127"/>
      <c r="F4508" s="128"/>
      <c r="G4508" s="128"/>
      <c r="H4508" s="129"/>
      <c r="I4508" s="130"/>
      <c r="J4508" s="23"/>
      <c r="K4508" s="23"/>
      <c r="L4508" s="23"/>
      <c r="M4508" s="131"/>
      <c r="N4508" s="131"/>
      <c r="O4508" s="131"/>
    </row>
    <row r="4509" spans="4:15" x14ac:dyDescent="0.3">
      <c r="D4509" s="33"/>
      <c r="E4509" s="127"/>
      <c r="F4509" s="128"/>
      <c r="G4509" s="128"/>
      <c r="H4509" s="129"/>
      <c r="I4509" s="130"/>
      <c r="J4509" s="23"/>
      <c r="K4509" s="23"/>
      <c r="L4509" s="23"/>
      <c r="M4509" s="131"/>
      <c r="N4509" s="131"/>
      <c r="O4509" s="131"/>
    </row>
    <row r="4510" spans="4:15" x14ac:dyDescent="0.3">
      <c r="D4510" s="33"/>
      <c r="E4510" s="127"/>
      <c r="F4510" s="128"/>
      <c r="G4510" s="128"/>
      <c r="H4510" s="129"/>
      <c r="I4510" s="130"/>
      <c r="J4510" s="23"/>
      <c r="K4510" s="23"/>
      <c r="L4510" s="23"/>
      <c r="M4510" s="131"/>
      <c r="N4510" s="131"/>
      <c r="O4510" s="131"/>
    </row>
    <row r="4511" spans="4:15" x14ac:dyDescent="0.3">
      <c r="D4511" s="33"/>
      <c r="E4511" s="127"/>
      <c r="F4511" s="128"/>
      <c r="G4511" s="128"/>
      <c r="H4511" s="129"/>
      <c r="I4511" s="130"/>
      <c r="J4511" s="23"/>
      <c r="K4511" s="23"/>
      <c r="L4511" s="23"/>
      <c r="M4511" s="131"/>
      <c r="N4511" s="131"/>
      <c r="O4511" s="131"/>
    </row>
    <row r="4512" spans="4:15" x14ac:dyDescent="0.3">
      <c r="D4512" s="33"/>
      <c r="E4512" s="127"/>
      <c r="F4512" s="128"/>
      <c r="G4512" s="128"/>
      <c r="H4512" s="129"/>
      <c r="I4512" s="130"/>
      <c r="J4512" s="23"/>
      <c r="K4512" s="23"/>
      <c r="L4512" s="23"/>
      <c r="M4512" s="131"/>
      <c r="N4512" s="131"/>
      <c r="O4512" s="131"/>
    </row>
    <row r="4513" spans="4:15" x14ac:dyDescent="0.3">
      <c r="D4513" s="33"/>
      <c r="E4513" s="127"/>
      <c r="F4513" s="128"/>
      <c r="G4513" s="128"/>
      <c r="H4513" s="129"/>
      <c r="I4513" s="130"/>
      <c r="J4513" s="23"/>
      <c r="K4513" s="23"/>
      <c r="L4513" s="23"/>
      <c r="M4513" s="131"/>
      <c r="N4513" s="131"/>
      <c r="O4513" s="131"/>
    </row>
    <row r="4514" spans="4:15" x14ac:dyDescent="0.3">
      <c r="D4514" s="33"/>
      <c r="E4514" s="127"/>
      <c r="F4514" s="128"/>
      <c r="G4514" s="128"/>
      <c r="H4514" s="129"/>
      <c r="I4514" s="130"/>
      <c r="J4514" s="23"/>
      <c r="K4514" s="23"/>
      <c r="L4514" s="23"/>
      <c r="M4514" s="131"/>
      <c r="N4514" s="131"/>
      <c r="O4514" s="131"/>
    </row>
    <row r="4515" spans="4:15" x14ac:dyDescent="0.3">
      <c r="D4515" s="33"/>
      <c r="E4515" s="127"/>
      <c r="F4515" s="128"/>
      <c r="G4515" s="128"/>
      <c r="H4515" s="129"/>
      <c r="I4515" s="130"/>
      <c r="J4515" s="23"/>
      <c r="K4515" s="23"/>
      <c r="L4515" s="23"/>
      <c r="M4515" s="131"/>
      <c r="N4515" s="131"/>
      <c r="O4515" s="131"/>
    </row>
    <row r="4516" spans="4:15" x14ac:dyDescent="0.3">
      <c r="D4516" s="33"/>
      <c r="E4516" s="127"/>
      <c r="F4516" s="128"/>
      <c r="G4516" s="128"/>
      <c r="H4516" s="129"/>
      <c r="I4516" s="130"/>
      <c r="J4516" s="23"/>
      <c r="K4516" s="23"/>
      <c r="L4516" s="23"/>
      <c r="M4516" s="131"/>
      <c r="N4516" s="131"/>
      <c r="O4516" s="131"/>
    </row>
    <row r="4517" spans="4:15" x14ac:dyDescent="0.3">
      <c r="D4517" s="33"/>
      <c r="E4517" s="127"/>
      <c r="F4517" s="128"/>
      <c r="G4517" s="128"/>
      <c r="H4517" s="129"/>
      <c r="I4517" s="130"/>
      <c r="J4517" s="23"/>
      <c r="K4517" s="23"/>
      <c r="L4517" s="23"/>
      <c r="M4517" s="131"/>
      <c r="N4517" s="131"/>
      <c r="O4517" s="131"/>
    </row>
    <row r="4518" spans="4:15" x14ac:dyDescent="0.3">
      <c r="D4518" s="33"/>
      <c r="E4518" s="127"/>
      <c r="F4518" s="128"/>
      <c r="G4518" s="128"/>
      <c r="H4518" s="129"/>
      <c r="I4518" s="130"/>
      <c r="J4518" s="23"/>
      <c r="K4518" s="23"/>
      <c r="L4518" s="23"/>
      <c r="M4518" s="131"/>
      <c r="N4518" s="131"/>
      <c r="O4518" s="131"/>
    </row>
    <row r="4519" spans="4:15" x14ac:dyDescent="0.3">
      <c r="D4519" s="33"/>
      <c r="E4519" s="127"/>
      <c r="F4519" s="128"/>
      <c r="G4519" s="128"/>
      <c r="H4519" s="129"/>
      <c r="I4519" s="130"/>
      <c r="J4519" s="23"/>
      <c r="K4519" s="23"/>
      <c r="L4519" s="23"/>
      <c r="M4519" s="131"/>
      <c r="N4519" s="131"/>
      <c r="O4519" s="131"/>
    </row>
    <row r="4520" spans="4:15" x14ac:dyDescent="0.3">
      <c r="D4520" s="33"/>
      <c r="E4520" s="127"/>
      <c r="F4520" s="128"/>
      <c r="G4520" s="128"/>
      <c r="H4520" s="129"/>
      <c r="I4520" s="130"/>
      <c r="J4520" s="23"/>
      <c r="K4520" s="23"/>
      <c r="L4520" s="23"/>
      <c r="M4520" s="131"/>
      <c r="N4520" s="131"/>
      <c r="O4520" s="131"/>
    </row>
    <row r="4521" spans="4:15" x14ac:dyDescent="0.3">
      <c r="D4521" s="33"/>
      <c r="E4521" s="127"/>
      <c r="F4521" s="128"/>
      <c r="G4521" s="128"/>
      <c r="H4521" s="129"/>
      <c r="I4521" s="130"/>
      <c r="J4521" s="23"/>
      <c r="K4521" s="23"/>
      <c r="L4521" s="23"/>
      <c r="M4521" s="131"/>
      <c r="N4521" s="131"/>
      <c r="O4521" s="131"/>
    </row>
    <row r="4522" spans="4:15" x14ac:dyDescent="0.3">
      <c r="D4522" s="33"/>
      <c r="E4522" s="127"/>
      <c r="F4522" s="128"/>
      <c r="G4522" s="128"/>
      <c r="H4522" s="129"/>
      <c r="I4522" s="130"/>
      <c r="J4522" s="23"/>
      <c r="K4522" s="23"/>
      <c r="L4522" s="23"/>
      <c r="M4522" s="131"/>
      <c r="N4522" s="131"/>
      <c r="O4522" s="131"/>
    </row>
    <row r="4523" spans="4:15" x14ac:dyDescent="0.3">
      <c r="D4523" s="33"/>
      <c r="E4523" s="127"/>
      <c r="F4523" s="128"/>
      <c r="G4523" s="128"/>
      <c r="H4523" s="129"/>
      <c r="I4523" s="130"/>
      <c r="J4523" s="23"/>
      <c r="K4523" s="23"/>
      <c r="L4523" s="23"/>
      <c r="M4523" s="131"/>
      <c r="N4523" s="131"/>
      <c r="O4523" s="131"/>
    </row>
    <row r="4524" spans="4:15" x14ac:dyDescent="0.3">
      <c r="D4524" s="33"/>
      <c r="E4524" s="127"/>
      <c r="F4524" s="128"/>
      <c r="G4524" s="128"/>
      <c r="H4524" s="129"/>
      <c r="I4524" s="130"/>
      <c r="J4524" s="23"/>
      <c r="K4524" s="23"/>
      <c r="L4524" s="23"/>
      <c r="M4524" s="131"/>
      <c r="N4524" s="131"/>
      <c r="O4524" s="131"/>
    </row>
    <row r="4525" spans="4:15" x14ac:dyDescent="0.3">
      <c r="D4525" s="33"/>
      <c r="E4525" s="127"/>
      <c r="F4525" s="128"/>
      <c r="G4525" s="128"/>
      <c r="H4525" s="129"/>
      <c r="I4525" s="130"/>
      <c r="J4525" s="23"/>
      <c r="K4525" s="23"/>
      <c r="L4525" s="23"/>
      <c r="M4525" s="131"/>
      <c r="N4525" s="131"/>
      <c r="O4525" s="131"/>
    </row>
    <row r="4526" spans="4:15" x14ac:dyDescent="0.3">
      <c r="D4526" s="33"/>
      <c r="E4526" s="127"/>
      <c r="F4526" s="128"/>
      <c r="G4526" s="128"/>
      <c r="H4526" s="129"/>
      <c r="I4526" s="130"/>
      <c r="J4526" s="23"/>
      <c r="K4526" s="23"/>
      <c r="L4526" s="23"/>
      <c r="M4526" s="131"/>
      <c r="N4526" s="131"/>
      <c r="O4526" s="131"/>
    </row>
    <row r="4527" spans="4:15" x14ac:dyDescent="0.3">
      <c r="D4527" s="33"/>
      <c r="E4527" s="127"/>
      <c r="F4527" s="128"/>
      <c r="G4527" s="128"/>
      <c r="H4527" s="129"/>
      <c r="I4527" s="130"/>
      <c r="J4527" s="23"/>
      <c r="K4527" s="23"/>
      <c r="L4527" s="23"/>
      <c r="M4527" s="131"/>
      <c r="N4527" s="131"/>
      <c r="O4527" s="131"/>
    </row>
    <row r="4528" spans="4:15" x14ac:dyDescent="0.3">
      <c r="D4528" s="33"/>
      <c r="E4528" s="127"/>
      <c r="F4528" s="128"/>
      <c r="G4528" s="128"/>
      <c r="H4528" s="129"/>
      <c r="I4528" s="130"/>
      <c r="J4528" s="23"/>
      <c r="K4528" s="23"/>
      <c r="L4528" s="23"/>
      <c r="M4528" s="131"/>
      <c r="N4528" s="131"/>
      <c r="O4528" s="131"/>
    </row>
    <row r="4529" spans="4:15" x14ac:dyDescent="0.3">
      <c r="D4529" s="33"/>
      <c r="E4529" s="127"/>
      <c r="F4529" s="128"/>
      <c r="G4529" s="128"/>
      <c r="H4529" s="129"/>
      <c r="I4529" s="130"/>
      <c r="J4529" s="23"/>
      <c r="K4529" s="23"/>
      <c r="L4529" s="23"/>
      <c r="M4529" s="131"/>
      <c r="N4529" s="131"/>
      <c r="O4529" s="131"/>
    </row>
    <row r="4530" spans="4:15" x14ac:dyDescent="0.3">
      <c r="D4530" s="33"/>
      <c r="E4530" s="127"/>
      <c r="F4530" s="128"/>
      <c r="G4530" s="128"/>
      <c r="H4530" s="129"/>
      <c r="I4530" s="130"/>
      <c r="J4530" s="23"/>
      <c r="K4530" s="23"/>
      <c r="L4530" s="23"/>
      <c r="M4530" s="131"/>
      <c r="N4530" s="131"/>
      <c r="O4530" s="131"/>
    </row>
    <row r="4531" spans="4:15" x14ac:dyDescent="0.3">
      <c r="D4531" s="33"/>
      <c r="E4531" s="127"/>
      <c r="F4531" s="128"/>
      <c r="G4531" s="128"/>
      <c r="H4531" s="129"/>
      <c r="I4531" s="130"/>
      <c r="J4531" s="23"/>
      <c r="K4531" s="23"/>
      <c r="L4531" s="23"/>
      <c r="M4531" s="131"/>
      <c r="N4531" s="131"/>
      <c r="O4531" s="131"/>
    </row>
    <row r="4532" spans="4:15" x14ac:dyDescent="0.3">
      <c r="D4532" s="33"/>
      <c r="E4532" s="127"/>
      <c r="F4532" s="128"/>
      <c r="G4532" s="128"/>
      <c r="H4532" s="129"/>
      <c r="I4532" s="130"/>
      <c r="J4532" s="23"/>
      <c r="K4532" s="23"/>
      <c r="L4532" s="23"/>
      <c r="M4532" s="131"/>
      <c r="N4532" s="131"/>
      <c r="O4532" s="131"/>
    </row>
    <row r="4533" spans="4:15" x14ac:dyDescent="0.3">
      <c r="D4533" s="33"/>
      <c r="E4533" s="127"/>
      <c r="F4533" s="128"/>
      <c r="G4533" s="128"/>
      <c r="H4533" s="129"/>
      <c r="I4533" s="130"/>
      <c r="J4533" s="23"/>
      <c r="K4533" s="23"/>
      <c r="L4533" s="23"/>
      <c r="M4533" s="131"/>
      <c r="N4533" s="131"/>
      <c r="O4533" s="131"/>
    </row>
    <row r="4534" spans="4:15" x14ac:dyDescent="0.3">
      <c r="D4534" s="33"/>
      <c r="E4534" s="127"/>
      <c r="F4534" s="128"/>
      <c r="G4534" s="128"/>
      <c r="H4534" s="129"/>
      <c r="I4534" s="130"/>
      <c r="J4534" s="23"/>
      <c r="K4534" s="23"/>
      <c r="L4534" s="23"/>
      <c r="M4534" s="131"/>
      <c r="N4534" s="131"/>
      <c r="O4534" s="131"/>
    </row>
    <row r="4535" spans="4:15" x14ac:dyDescent="0.3">
      <c r="D4535" s="33"/>
      <c r="E4535" s="127"/>
      <c r="F4535" s="128"/>
      <c r="G4535" s="128"/>
      <c r="H4535" s="129"/>
      <c r="I4535" s="130"/>
      <c r="J4535" s="23"/>
      <c r="K4535" s="23"/>
      <c r="L4535" s="23"/>
      <c r="M4535" s="131"/>
      <c r="N4535" s="131"/>
      <c r="O4535" s="131"/>
    </row>
    <row r="4536" spans="4:15" x14ac:dyDescent="0.3">
      <c r="D4536" s="33"/>
      <c r="E4536" s="127"/>
      <c r="F4536" s="128"/>
      <c r="G4536" s="128"/>
      <c r="H4536" s="129"/>
      <c r="I4536" s="130"/>
      <c r="J4536" s="23"/>
      <c r="K4536" s="23"/>
      <c r="L4536" s="23"/>
      <c r="M4536" s="131"/>
      <c r="N4536" s="131"/>
      <c r="O4536" s="131"/>
    </row>
    <row r="4537" spans="4:15" x14ac:dyDescent="0.3">
      <c r="D4537" s="33"/>
      <c r="E4537" s="127"/>
      <c r="F4537" s="128"/>
      <c r="G4537" s="128"/>
      <c r="H4537" s="129"/>
      <c r="I4537" s="130"/>
      <c r="J4537" s="23"/>
      <c r="K4537" s="23"/>
      <c r="L4537" s="23"/>
      <c r="M4537" s="131"/>
      <c r="N4537" s="131"/>
      <c r="O4537" s="131"/>
    </row>
    <row r="4538" spans="4:15" x14ac:dyDescent="0.3">
      <c r="D4538" s="33"/>
      <c r="E4538" s="127"/>
      <c r="F4538" s="128"/>
      <c r="G4538" s="128"/>
      <c r="H4538" s="129"/>
      <c r="I4538" s="130"/>
      <c r="J4538" s="23"/>
      <c r="K4538" s="23"/>
      <c r="L4538" s="23"/>
      <c r="M4538" s="131"/>
      <c r="N4538" s="131"/>
      <c r="O4538" s="131"/>
    </row>
    <row r="4539" spans="4:15" x14ac:dyDescent="0.3">
      <c r="D4539" s="33"/>
      <c r="E4539" s="127"/>
      <c r="F4539" s="128"/>
      <c r="G4539" s="128"/>
      <c r="H4539" s="129"/>
      <c r="I4539" s="130"/>
      <c r="J4539" s="23"/>
      <c r="K4539" s="23"/>
      <c r="L4539" s="23"/>
      <c r="M4539" s="131"/>
      <c r="N4539" s="131"/>
      <c r="O4539" s="131"/>
    </row>
    <row r="4540" spans="4:15" x14ac:dyDescent="0.3">
      <c r="D4540" s="33"/>
      <c r="E4540" s="127"/>
      <c r="F4540" s="128"/>
      <c r="G4540" s="128"/>
      <c r="H4540" s="129"/>
      <c r="I4540" s="130"/>
      <c r="J4540" s="23"/>
      <c r="K4540" s="23"/>
      <c r="L4540" s="23"/>
      <c r="M4540" s="131"/>
      <c r="N4540" s="131"/>
      <c r="O4540" s="131"/>
    </row>
    <row r="4541" spans="4:15" x14ac:dyDescent="0.3">
      <c r="D4541" s="33"/>
      <c r="E4541" s="127"/>
      <c r="F4541" s="128"/>
      <c r="G4541" s="128"/>
      <c r="H4541" s="129"/>
      <c r="I4541" s="130"/>
      <c r="J4541" s="23"/>
      <c r="K4541" s="23"/>
      <c r="L4541" s="23"/>
      <c r="M4541" s="131"/>
      <c r="N4541" s="131"/>
      <c r="O4541" s="131"/>
    </row>
    <row r="4542" spans="4:15" x14ac:dyDescent="0.3">
      <c r="D4542" s="33"/>
      <c r="E4542" s="127"/>
      <c r="F4542" s="128"/>
      <c r="G4542" s="128"/>
      <c r="H4542" s="129"/>
      <c r="I4542" s="130"/>
      <c r="J4542" s="23"/>
      <c r="K4542" s="23"/>
      <c r="L4542" s="23"/>
      <c r="M4542" s="131"/>
      <c r="N4542" s="131"/>
      <c r="O4542" s="131"/>
    </row>
    <row r="4543" spans="4:15" x14ac:dyDescent="0.3">
      <c r="D4543" s="33"/>
      <c r="E4543" s="127"/>
      <c r="F4543" s="128"/>
      <c r="G4543" s="128"/>
      <c r="H4543" s="129"/>
      <c r="I4543" s="130"/>
      <c r="J4543" s="23"/>
      <c r="K4543" s="23"/>
      <c r="L4543" s="23"/>
      <c r="M4543" s="131"/>
      <c r="N4543" s="131"/>
      <c r="O4543" s="131"/>
    </row>
    <row r="4544" spans="4:15" x14ac:dyDescent="0.3">
      <c r="D4544" s="33"/>
      <c r="E4544" s="127"/>
      <c r="F4544" s="128"/>
      <c r="G4544" s="128"/>
      <c r="H4544" s="129"/>
      <c r="I4544" s="130"/>
      <c r="J4544" s="23"/>
      <c r="K4544" s="23"/>
      <c r="L4544" s="23"/>
      <c r="M4544" s="131"/>
      <c r="N4544" s="131"/>
      <c r="O4544" s="131"/>
    </row>
    <row r="4545" spans="4:15" x14ac:dyDescent="0.3">
      <c r="D4545" s="33"/>
      <c r="E4545" s="127"/>
      <c r="F4545" s="128"/>
      <c r="G4545" s="128"/>
      <c r="H4545" s="129"/>
      <c r="I4545" s="130"/>
      <c r="J4545" s="23"/>
      <c r="K4545" s="23"/>
      <c r="L4545" s="23"/>
      <c r="M4545" s="131"/>
      <c r="N4545" s="131"/>
      <c r="O4545" s="131"/>
    </row>
    <row r="4546" spans="4:15" x14ac:dyDescent="0.3">
      <c r="D4546" s="33"/>
      <c r="E4546" s="127"/>
      <c r="F4546" s="128"/>
      <c r="G4546" s="128"/>
      <c r="H4546" s="129"/>
      <c r="I4546" s="130"/>
      <c r="J4546" s="23"/>
      <c r="K4546" s="23"/>
      <c r="L4546" s="23"/>
      <c r="M4546" s="131"/>
      <c r="N4546" s="131"/>
      <c r="O4546" s="131"/>
    </row>
    <row r="4547" spans="4:15" x14ac:dyDescent="0.3">
      <c r="D4547" s="33"/>
      <c r="E4547" s="127"/>
      <c r="F4547" s="128"/>
      <c r="G4547" s="128"/>
      <c r="H4547" s="129"/>
      <c r="I4547" s="130"/>
      <c r="J4547" s="23"/>
      <c r="K4547" s="23"/>
      <c r="L4547" s="23"/>
      <c r="M4547" s="131"/>
      <c r="N4547" s="131"/>
      <c r="O4547" s="131"/>
    </row>
    <row r="4548" spans="4:15" x14ac:dyDescent="0.3">
      <c r="D4548" s="33"/>
      <c r="E4548" s="127"/>
      <c r="F4548" s="128"/>
      <c r="G4548" s="128"/>
      <c r="H4548" s="129"/>
      <c r="I4548" s="130"/>
      <c r="J4548" s="23"/>
      <c r="K4548" s="23"/>
      <c r="L4548" s="23"/>
      <c r="M4548" s="131"/>
      <c r="N4548" s="131"/>
      <c r="O4548" s="131"/>
    </row>
    <row r="4549" spans="4:15" x14ac:dyDescent="0.3">
      <c r="D4549" s="33"/>
      <c r="E4549" s="127"/>
      <c r="F4549" s="128"/>
      <c r="G4549" s="128"/>
      <c r="H4549" s="129"/>
      <c r="I4549" s="130"/>
      <c r="J4549" s="23"/>
      <c r="K4549" s="23"/>
      <c r="L4549" s="23"/>
      <c r="M4549" s="131"/>
      <c r="N4549" s="131"/>
      <c r="O4549" s="131"/>
    </row>
    <row r="4550" spans="4:15" x14ac:dyDescent="0.3">
      <c r="D4550" s="33"/>
      <c r="E4550" s="127"/>
      <c r="F4550" s="128"/>
      <c r="G4550" s="128"/>
      <c r="H4550" s="129"/>
      <c r="I4550" s="130"/>
      <c r="J4550" s="23"/>
      <c r="K4550" s="23"/>
      <c r="L4550" s="23"/>
      <c r="M4550" s="131"/>
      <c r="N4550" s="131"/>
      <c r="O4550" s="131"/>
    </row>
    <row r="4551" spans="4:15" x14ac:dyDescent="0.3">
      <c r="D4551" s="33"/>
      <c r="E4551" s="127"/>
      <c r="F4551" s="128"/>
      <c r="G4551" s="128"/>
      <c r="H4551" s="129"/>
      <c r="I4551" s="130"/>
      <c r="J4551" s="23"/>
      <c r="K4551" s="23"/>
      <c r="L4551" s="23"/>
      <c r="M4551" s="131"/>
      <c r="N4551" s="131"/>
      <c r="O4551" s="131"/>
    </row>
    <row r="4552" spans="4:15" x14ac:dyDescent="0.3">
      <c r="D4552" s="33"/>
      <c r="E4552" s="127"/>
      <c r="F4552" s="128"/>
      <c r="G4552" s="128"/>
      <c r="H4552" s="129"/>
      <c r="I4552" s="130"/>
      <c r="J4552" s="23"/>
      <c r="K4552" s="23"/>
      <c r="L4552" s="23"/>
      <c r="M4552" s="131"/>
      <c r="N4552" s="131"/>
      <c r="O4552" s="131"/>
    </row>
    <row r="4553" spans="4:15" x14ac:dyDescent="0.3">
      <c r="D4553" s="33"/>
      <c r="E4553" s="127"/>
      <c r="F4553" s="128"/>
      <c r="G4553" s="128"/>
      <c r="H4553" s="129"/>
      <c r="I4553" s="130"/>
      <c r="J4553" s="23"/>
      <c r="K4553" s="23"/>
      <c r="L4553" s="23"/>
      <c r="M4553" s="131"/>
      <c r="N4553" s="131"/>
      <c r="O4553" s="131"/>
    </row>
    <row r="4554" spans="4:15" x14ac:dyDescent="0.3">
      <c r="D4554" s="33"/>
      <c r="E4554" s="127"/>
      <c r="F4554" s="128"/>
      <c r="G4554" s="128"/>
      <c r="H4554" s="129"/>
      <c r="I4554" s="130"/>
      <c r="J4554" s="23"/>
      <c r="K4554" s="23"/>
      <c r="L4554" s="23"/>
      <c r="M4554" s="131"/>
      <c r="N4554" s="131"/>
      <c r="O4554" s="131"/>
    </row>
    <row r="4555" spans="4:15" x14ac:dyDescent="0.3">
      <c r="D4555" s="33"/>
      <c r="E4555" s="127"/>
      <c r="F4555" s="128"/>
      <c r="G4555" s="128"/>
      <c r="H4555" s="129"/>
      <c r="I4555" s="130"/>
      <c r="J4555" s="23"/>
      <c r="K4555" s="23"/>
      <c r="L4555" s="23"/>
      <c r="M4555" s="131"/>
      <c r="N4555" s="131"/>
      <c r="O4555" s="131"/>
    </row>
    <row r="4556" spans="4:15" x14ac:dyDescent="0.3">
      <c r="D4556" s="33"/>
      <c r="E4556" s="127"/>
      <c r="F4556" s="128"/>
      <c r="G4556" s="128"/>
      <c r="H4556" s="129"/>
      <c r="I4556" s="130"/>
      <c r="J4556" s="23"/>
      <c r="K4556" s="23"/>
      <c r="L4556" s="23"/>
      <c r="M4556" s="131"/>
      <c r="N4556" s="131"/>
      <c r="O4556" s="131"/>
    </row>
    <row r="4557" spans="4:15" x14ac:dyDescent="0.3">
      <c r="D4557" s="33"/>
      <c r="E4557" s="127"/>
      <c r="F4557" s="128"/>
      <c r="G4557" s="128"/>
      <c r="H4557" s="129"/>
      <c r="I4557" s="130"/>
      <c r="J4557" s="23"/>
      <c r="K4557" s="23"/>
      <c r="L4557" s="23"/>
      <c r="M4557" s="131"/>
      <c r="N4557" s="131"/>
      <c r="O4557" s="131"/>
    </row>
    <row r="4558" spans="4:15" x14ac:dyDescent="0.3">
      <c r="D4558" s="33"/>
      <c r="E4558" s="127"/>
      <c r="F4558" s="128"/>
      <c r="G4558" s="128"/>
      <c r="H4558" s="129"/>
      <c r="I4558" s="130"/>
      <c r="J4558" s="23"/>
      <c r="K4558" s="23"/>
      <c r="L4558" s="23"/>
      <c r="M4558" s="131"/>
      <c r="N4558" s="131"/>
      <c r="O4558" s="131"/>
    </row>
    <row r="4559" spans="4:15" x14ac:dyDescent="0.3">
      <c r="D4559" s="33"/>
      <c r="E4559" s="127"/>
      <c r="F4559" s="128"/>
      <c r="G4559" s="128"/>
      <c r="H4559" s="129"/>
      <c r="I4559" s="130"/>
      <c r="J4559" s="23"/>
      <c r="K4559" s="23"/>
      <c r="L4559" s="23"/>
      <c r="M4559" s="131"/>
      <c r="N4559" s="131"/>
      <c r="O4559" s="131"/>
    </row>
    <row r="4560" spans="4:15" x14ac:dyDescent="0.3">
      <c r="D4560" s="33"/>
      <c r="E4560" s="127"/>
      <c r="F4560" s="128"/>
      <c r="G4560" s="128"/>
      <c r="H4560" s="129"/>
      <c r="I4560" s="130"/>
      <c r="J4560" s="23"/>
      <c r="K4560" s="23"/>
      <c r="L4560" s="23"/>
      <c r="M4560" s="131"/>
      <c r="N4560" s="131"/>
      <c r="O4560" s="131"/>
    </row>
    <row r="4561" spans="4:15" x14ac:dyDescent="0.3">
      <c r="D4561" s="33"/>
      <c r="E4561" s="127"/>
      <c r="F4561" s="128"/>
      <c r="G4561" s="128"/>
      <c r="H4561" s="129"/>
      <c r="I4561" s="130"/>
      <c r="J4561" s="23"/>
      <c r="K4561" s="23"/>
      <c r="L4561" s="23"/>
      <c r="M4561" s="131"/>
      <c r="N4561" s="131"/>
      <c r="O4561" s="131"/>
    </row>
    <row r="4562" spans="4:15" x14ac:dyDescent="0.3">
      <c r="D4562" s="33"/>
      <c r="E4562" s="127"/>
      <c r="F4562" s="128"/>
      <c r="G4562" s="128"/>
      <c r="H4562" s="129"/>
      <c r="I4562" s="130"/>
      <c r="J4562" s="23"/>
      <c r="K4562" s="23"/>
      <c r="L4562" s="23"/>
      <c r="M4562" s="131"/>
      <c r="N4562" s="131"/>
      <c r="O4562" s="131"/>
    </row>
    <row r="4563" spans="4:15" x14ac:dyDescent="0.3">
      <c r="D4563" s="33"/>
      <c r="E4563" s="127"/>
      <c r="F4563" s="128"/>
      <c r="G4563" s="128"/>
      <c r="H4563" s="129"/>
      <c r="I4563" s="130"/>
      <c r="J4563" s="23"/>
      <c r="K4563" s="23"/>
      <c r="L4563" s="23"/>
      <c r="M4563" s="131"/>
      <c r="N4563" s="131"/>
      <c r="O4563" s="131"/>
    </row>
    <row r="4564" spans="4:15" x14ac:dyDescent="0.3">
      <c r="D4564" s="33"/>
      <c r="E4564" s="127"/>
      <c r="F4564" s="128"/>
      <c r="G4564" s="128"/>
      <c r="H4564" s="129"/>
      <c r="I4564" s="130"/>
      <c r="J4564" s="23"/>
      <c r="K4564" s="23"/>
      <c r="L4564" s="23"/>
      <c r="M4564" s="131"/>
      <c r="N4564" s="131"/>
      <c r="O4564" s="131"/>
    </row>
    <row r="4565" spans="4:15" x14ac:dyDescent="0.3">
      <c r="D4565" s="33"/>
      <c r="E4565" s="127"/>
      <c r="F4565" s="128"/>
      <c r="G4565" s="128"/>
      <c r="H4565" s="129"/>
      <c r="I4565" s="130"/>
      <c r="J4565" s="23"/>
      <c r="K4565" s="23"/>
      <c r="L4565" s="23"/>
      <c r="M4565" s="131"/>
      <c r="N4565" s="131"/>
      <c r="O4565" s="131"/>
    </row>
    <row r="4566" spans="4:15" x14ac:dyDescent="0.3">
      <c r="D4566" s="33"/>
      <c r="E4566" s="127"/>
      <c r="F4566" s="128"/>
      <c r="G4566" s="128"/>
      <c r="H4566" s="129"/>
      <c r="I4566" s="130"/>
      <c r="J4566" s="23"/>
      <c r="K4566" s="23"/>
      <c r="L4566" s="23"/>
      <c r="M4566" s="131"/>
      <c r="N4566" s="131"/>
      <c r="O4566" s="131"/>
    </row>
    <row r="4567" spans="4:15" x14ac:dyDescent="0.3">
      <c r="D4567" s="33"/>
      <c r="E4567" s="127"/>
      <c r="F4567" s="128"/>
      <c r="G4567" s="128"/>
      <c r="H4567" s="129"/>
      <c r="I4567" s="130"/>
      <c r="J4567" s="23"/>
      <c r="K4567" s="23"/>
      <c r="L4567" s="23"/>
      <c r="M4567" s="131"/>
      <c r="N4567" s="131"/>
      <c r="O4567" s="131"/>
    </row>
    <row r="4568" spans="4:15" x14ac:dyDescent="0.3">
      <c r="D4568" s="33"/>
      <c r="E4568" s="127"/>
      <c r="F4568" s="128"/>
      <c r="G4568" s="128"/>
      <c r="H4568" s="129"/>
      <c r="I4568" s="130"/>
      <c r="J4568" s="23"/>
      <c r="K4568" s="23"/>
      <c r="L4568" s="23"/>
      <c r="M4568" s="131"/>
      <c r="N4568" s="131"/>
      <c r="O4568" s="131"/>
    </row>
    <row r="4569" spans="4:15" x14ac:dyDescent="0.3">
      <c r="D4569" s="33"/>
      <c r="E4569" s="127"/>
      <c r="F4569" s="128"/>
      <c r="G4569" s="128"/>
      <c r="H4569" s="129"/>
      <c r="I4569" s="130"/>
      <c r="J4569" s="23"/>
      <c r="K4569" s="23"/>
      <c r="L4569" s="23"/>
      <c r="M4569" s="131"/>
      <c r="N4569" s="131"/>
      <c r="O4569" s="131"/>
    </row>
    <row r="4570" spans="4:15" x14ac:dyDescent="0.3">
      <c r="D4570" s="33"/>
      <c r="E4570" s="127"/>
      <c r="F4570" s="128"/>
      <c r="G4570" s="128"/>
      <c r="H4570" s="129"/>
      <c r="I4570" s="130"/>
      <c r="J4570" s="23"/>
      <c r="K4570" s="23"/>
      <c r="L4570" s="23"/>
      <c r="M4570" s="131"/>
      <c r="N4570" s="131"/>
      <c r="O4570" s="131"/>
    </row>
    <row r="4571" spans="4:15" x14ac:dyDescent="0.3">
      <c r="D4571" s="33"/>
      <c r="E4571" s="127"/>
      <c r="F4571" s="128"/>
      <c r="G4571" s="128"/>
      <c r="H4571" s="129"/>
      <c r="I4571" s="130"/>
      <c r="J4571" s="23"/>
      <c r="K4571" s="23"/>
      <c r="L4571" s="23"/>
      <c r="M4571" s="131"/>
      <c r="N4571" s="131"/>
      <c r="O4571" s="131"/>
    </row>
    <row r="4572" spans="4:15" x14ac:dyDescent="0.3">
      <c r="D4572" s="33"/>
      <c r="E4572" s="127"/>
      <c r="F4572" s="128"/>
      <c r="G4572" s="128"/>
      <c r="H4572" s="129"/>
      <c r="I4572" s="130"/>
      <c r="J4572" s="23"/>
      <c r="K4572" s="23"/>
      <c r="L4572" s="23"/>
      <c r="M4572" s="131"/>
      <c r="N4572" s="131"/>
      <c r="O4572" s="131"/>
    </row>
    <row r="4573" spans="4:15" x14ac:dyDescent="0.3">
      <c r="D4573" s="33"/>
      <c r="E4573" s="127"/>
      <c r="F4573" s="128"/>
      <c r="G4573" s="128"/>
      <c r="H4573" s="129"/>
      <c r="I4573" s="130"/>
      <c r="J4573" s="23"/>
      <c r="K4573" s="23"/>
      <c r="L4573" s="23"/>
      <c r="M4573" s="131"/>
      <c r="N4573" s="131"/>
      <c r="O4573" s="131"/>
    </row>
    <row r="4574" spans="4:15" x14ac:dyDescent="0.3">
      <c r="D4574" s="33"/>
      <c r="E4574" s="127"/>
      <c r="F4574" s="128"/>
      <c r="G4574" s="128"/>
      <c r="H4574" s="129"/>
      <c r="I4574" s="130"/>
      <c r="J4574" s="23"/>
      <c r="K4574" s="23"/>
      <c r="L4574" s="23"/>
      <c r="M4574" s="131"/>
      <c r="N4574" s="131"/>
      <c r="O4574" s="131"/>
    </row>
    <row r="4575" spans="4:15" x14ac:dyDescent="0.3">
      <c r="D4575" s="33"/>
      <c r="E4575" s="127"/>
      <c r="F4575" s="128"/>
      <c r="G4575" s="128"/>
      <c r="H4575" s="129"/>
      <c r="I4575" s="130"/>
      <c r="J4575" s="23"/>
      <c r="K4575" s="23"/>
      <c r="L4575" s="23"/>
      <c r="M4575" s="131"/>
      <c r="N4575" s="131"/>
      <c r="O4575" s="131"/>
    </row>
    <row r="4576" spans="4:15" x14ac:dyDescent="0.3">
      <c r="D4576" s="33"/>
      <c r="E4576" s="127"/>
      <c r="F4576" s="128"/>
      <c r="G4576" s="128"/>
      <c r="H4576" s="129"/>
      <c r="I4576" s="130"/>
      <c r="J4576" s="23"/>
      <c r="K4576" s="23"/>
      <c r="L4576" s="23"/>
      <c r="M4576" s="131"/>
      <c r="N4576" s="131"/>
      <c r="O4576" s="131"/>
    </row>
    <row r="4577" spans="4:15" x14ac:dyDescent="0.3">
      <c r="D4577" s="33"/>
      <c r="E4577" s="127"/>
      <c r="F4577" s="128"/>
      <c r="G4577" s="128"/>
      <c r="H4577" s="129"/>
      <c r="I4577" s="130"/>
      <c r="J4577" s="23"/>
      <c r="K4577" s="23"/>
      <c r="L4577" s="23"/>
      <c r="M4577" s="131"/>
      <c r="N4577" s="131"/>
      <c r="O4577" s="131"/>
    </row>
    <row r="4578" spans="4:15" x14ac:dyDescent="0.3">
      <c r="D4578" s="33"/>
      <c r="E4578" s="127"/>
      <c r="F4578" s="128"/>
      <c r="G4578" s="128"/>
      <c r="H4578" s="129"/>
      <c r="I4578" s="130"/>
      <c r="J4578" s="23"/>
      <c r="K4578" s="23"/>
      <c r="L4578" s="23"/>
      <c r="M4578" s="131"/>
      <c r="N4578" s="131"/>
      <c r="O4578" s="131"/>
    </row>
    <row r="4579" spans="4:15" x14ac:dyDescent="0.3">
      <c r="D4579" s="33"/>
      <c r="E4579" s="127"/>
      <c r="F4579" s="128"/>
      <c r="G4579" s="128"/>
      <c r="H4579" s="129"/>
      <c r="I4579" s="130"/>
      <c r="J4579" s="23"/>
      <c r="K4579" s="23"/>
      <c r="L4579" s="23"/>
      <c r="M4579" s="131"/>
      <c r="N4579" s="131"/>
      <c r="O4579" s="131"/>
    </row>
    <row r="4580" spans="4:15" x14ac:dyDescent="0.3">
      <c r="D4580" s="33"/>
      <c r="E4580" s="127"/>
      <c r="F4580" s="128"/>
      <c r="G4580" s="128"/>
      <c r="H4580" s="129"/>
      <c r="I4580" s="130"/>
      <c r="J4580" s="23"/>
      <c r="K4580" s="23"/>
      <c r="L4580" s="23"/>
      <c r="M4580" s="131"/>
      <c r="N4580" s="131"/>
      <c r="O4580" s="131"/>
    </row>
    <row r="4581" spans="4:15" x14ac:dyDescent="0.3">
      <c r="D4581" s="33"/>
      <c r="E4581" s="127"/>
      <c r="F4581" s="128"/>
      <c r="G4581" s="128"/>
      <c r="H4581" s="129"/>
      <c r="I4581" s="130"/>
      <c r="J4581" s="23"/>
      <c r="K4581" s="23"/>
      <c r="L4581" s="23"/>
      <c r="M4581" s="131"/>
      <c r="N4581" s="131"/>
      <c r="O4581" s="131"/>
    </row>
    <row r="4582" spans="4:15" x14ac:dyDescent="0.3">
      <c r="D4582" s="33"/>
      <c r="E4582" s="127"/>
      <c r="F4582" s="128"/>
      <c r="G4582" s="128"/>
      <c r="H4582" s="129"/>
      <c r="I4582" s="130"/>
      <c r="J4582" s="23"/>
      <c r="K4582" s="23"/>
      <c r="L4582" s="23"/>
      <c r="M4582" s="131"/>
      <c r="N4582" s="131"/>
      <c r="O4582" s="131"/>
    </row>
    <row r="4583" spans="4:15" x14ac:dyDescent="0.3">
      <c r="D4583" s="33"/>
      <c r="E4583" s="127"/>
      <c r="F4583" s="128"/>
      <c r="G4583" s="128"/>
      <c r="H4583" s="129"/>
      <c r="I4583" s="130"/>
      <c r="J4583" s="23"/>
      <c r="K4583" s="23"/>
      <c r="L4583" s="23"/>
      <c r="M4583" s="131"/>
      <c r="N4583" s="131"/>
      <c r="O4583" s="131"/>
    </row>
    <row r="4584" spans="4:15" x14ac:dyDescent="0.3">
      <c r="D4584" s="33"/>
      <c r="E4584" s="127"/>
      <c r="F4584" s="128"/>
      <c r="G4584" s="128"/>
      <c r="H4584" s="129"/>
      <c r="I4584" s="130"/>
      <c r="J4584" s="23"/>
      <c r="K4584" s="23"/>
      <c r="L4584" s="23"/>
      <c r="M4584" s="131"/>
      <c r="N4584" s="131"/>
      <c r="O4584" s="131"/>
    </row>
    <row r="4585" spans="4:15" x14ac:dyDescent="0.3">
      <c r="D4585" s="33"/>
      <c r="E4585" s="127"/>
      <c r="F4585" s="128"/>
      <c r="G4585" s="128"/>
      <c r="H4585" s="129"/>
      <c r="I4585" s="130"/>
      <c r="J4585" s="23"/>
      <c r="K4585" s="23"/>
      <c r="L4585" s="23"/>
      <c r="M4585" s="131"/>
      <c r="N4585" s="131"/>
      <c r="O4585" s="131"/>
    </row>
    <row r="4586" spans="4:15" x14ac:dyDescent="0.3">
      <c r="D4586" s="33"/>
      <c r="E4586" s="127"/>
      <c r="F4586" s="128"/>
      <c r="G4586" s="128"/>
      <c r="H4586" s="129"/>
      <c r="I4586" s="130"/>
      <c r="J4586" s="23"/>
      <c r="K4586" s="23"/>
      <c r="L4586" s="23"/>
      <c r="M4586" s="131"/>
      <c r="N4586" s="131"/>
      <c r="O4586" s="131"/>
    </row>
    <row r="4587" spans="4:15" x14ac:dyDescent="0.3">
      <c r="D4587" s="33"/>
      <c r="E4587" s="127"/>
      <c r="F4587" s="128"/>
      <c r="G4587" s="128"/>
      <c r="H4587" s="129"/>
      <c r="I4587" s="130"/>
      <c r="J4587" s="23"/>
      <c r="K4587" s="23"/>
      <c r="L4587" s="23"/>
      <c r="M4587" s="131"/>
      <c r="N4587" s="131"/>
      <c r="O4587" s="131"/>
    </row>
    <row r="4588" spans="4:15" x14ac:dyDescent="0.3">
      <c r="D4588" s="33"/>
      <c r="E4588" s="127"/>
      <c r="F4588" s="128"/>
      <c r="G4588" s="128"/>
      <c r="H4588" s="129"/>
      <c r="I4588" s="130"/>
      <c r="J4588" s="23"/>
      <c r="K4588" s="23"/>
      <c r="L4588" s="23"/>
      <c r="M4588" s="131"/>
      <c r="N4588" s="131"/>
      <c r="O4588" s="131"/>
    </row>
    <row r="4589" spans="4:15" x14ac:dyDescent="0.3">
      <c r="D4589" s="33"/>
      <c r="E4589" s="127"/>
      <c r="F4589" s="128"/>
      <c r="G4589" s="128"/>
      <c r="H4589" s="129"/>
      <c r="I4589" s="130"/>
      <c r="J4589" s="23"/>
      <c r="K4589" s="23"/>
      <c r="L4589" s="23"/>
      <c r="M4589" s="131"/>
      <c r="N4589" s="131"/>
      <c r="O4589" s="131"/>
    </row>
    <row r="4590" spans="4:15" x14ac:dyDescent="0.3">
      <c r="D4590" s="33"/>
      <c r="E4590" s="127"/>
      <c r="F4590" s="128"/>
      <c r="G4590" s="128"/>
      <c r="H4590" s="129"/>
      <c r="I4590" s="130"/>
      <c r="J4590" s="23"/>
      <c r="K4590" s="23"/>
      <c r="L4590" s="23"/>
      <c r="M4590" s="131"/>
      <c r="N4590" s="131"/>
      <c r="O4590" s="131"/>
    </row>
    <row r="4591" spans="4:15" x14ac:dyDescent="0.3">
      <c r="D4591" s="33"/>
      <c r="E4591" s="127"/>
      <c r="F4591" s="128"/>
      <c r="G4591" s="128"/>
      <c r="H4591" s="129"/>
      <c r="I4591" s="130"/>
      <c r="J4591" s="23"/>
      <c r="K4591" s="23"/>
      <c r="L4591" s="23"/>
      <c r="M4591" s="131"/>
      <c r="N4591" s="131"/>
      <c r="O4591" s="131"/>
    </row>
    <row r="4592" spans="4:15" x14ac:dyDescent="0.3">
      <c r="D4592" s="33"/>
      <c r="E4592" s="127"/>
      <c r="F4592" s="128"/>
      <c r="G4592" s="128"/>
      <c r="H4592" s="129"/>
      <c r="I4592" s="130"/>
      <c r="J4592" s="23"/>
      <c r="K4592" s="23"/>
      <c r="L4592" s="23"/>
      <c r="M4592" s="131"/>
      <c r="N4592" s="131"/>
      <c r="O4592" s="131"/>
    </row>
    <row r="4593" spans="4:15" x14ac:dyDescent="0.3">
      <c r="D4593" s="33"/>
      <c r="E4593" s="127"/>
      <c r="F4593" s="128"/>
      <c r="G4593" s="128"/>
      <c r="H4593" s="129"/>
      <c r="I4593" s="130"/>
      <c r="J4593" s="23"/>
      <c r="K4593" s="23"/>
      <c r="L4593" s="23"/>
      <c r="M4593" s="131"/>
      <c r="N4593" s="131"/>
      <c r="O4593" s="131"/>
    </row>
    <row r="4594" spans="4:15" x14ac:dyDescent="0.3">
      <c r="D4594" s="33"/>
      <c r="E4594" s="127"/>
      <c r="F4594" s="128"/>
      <c r="G4594" s="128"/>
      <c r="H4594" s="129"/>
      <c r="I4594" s="130"/>
      <c r="J4594" s="23"/>
      <c r="K4594" s="23"/>
      <c r="L4594" s="23"/>
      <c r="M4594" s="131"/>
      <c r="N4594" s="131"/>
      <c r="O4594" s="131"/>
    </row>
    <row r="4595" spans="4:15" x14ac:dyDescent="0.3">
      <c r="D4595" s="33"/>
      <c r="E4595" s="127"/>
      <c r="F4595" s="128"/>
      <c r="G4595" s="128"/>
      <c r="H4595" s="129"/>
      <c r="I4595" s="130"/>
      <c r="J4595" s="23"/>
      <c r="K4595" s="23"/>
      <c r="L4595" s="23"/>
      <c r="M4595" s="131"/>
      <c r="N4595" s="131"/>
      <c r="O4595" s="131"/>
    </row>
    <row r="4596" spans="4:15" x14ac:dyDescent="0.3">
      <c r="D4596" s="33"/>
      <c r="E4596" s="127"/>
      <c r="F4596" s="128"/>
      <c r="G4596" s="128"/>
      <c r="H4596" s="129"/>
      <c r="I4596" s="130"/>
      <c r="J4596" s="23"/>
      <c r="K4596" s="23"/>
      <c r="L4596" s="23"/>
      <c r="M4596" s="131"/>
      <c r="N4596" s="131"/>
      <c r="O4596" s="131"/>
    </row>
    <row r="4597" spans="4:15" x14ac:dyDescent="0.3">
      <c r="D4597" s="33"/>
      <c r="E4597" s="127"/>
      <c r="F4597" s="128"/>
      <c r="G4597" s="128"/>
      <c r="H4597" s="129"/>
      <c r="I4597" s="130"/>
      <c r="J4597" s="23"/>
      <c r="K4597" s="23"/>
      <c r="L4597" s="23"/>
      <c r="M4597" s="131"/>
      <c r="N4597" s="131"/>
      <c r="O4597" s="131"/>
    </row>
    <row r="4598" spans="4:15" x14ac:dyDescent="0.3">
      <c r="D4598" s="33"/>
      <c r="E4598" s="127"/>
      <c r="F4598" s="128"/>
      <c r="G4598" s="128"/>
      <c r="H4598" s="129"/>
      <c r="I4598" s="130"/>
      <c r="J4598" s="23"/>
      <c r="K4598" s="23"/>
      <c r="L4598" s="23"/>
      <c r="M4598" s="131"/>
      <c r="N4598" s="131"/>
      <c r="O4598" s="131"/>
    </row>
    <row r="4599" spans="4:15" x14ac:dyDescent="0.3">
      <c r="D4599" s="33"/>
      <c r="E4599" s="127"/>
      <c r="F4599" s="128"/>
      <c r="G4599" s="128"/>
      <c r="H4599" s="129"/>
      <c r="I4599" s="130"/>
      <c r="J4599" s="23"/>
      <c r="K4599" s="23"/>
      <c r="L4599" s="23"/>
      <c r="M4599" s="131"/>
      <c r="N4599" s="131"/>
      <c r="O4599" s="131"/>
    </row>
    <row r="4600" spans="4:15" x14ac:dyDescent="0.3">
      <c r="D4600" s="33"/>
      <c r="E4600" s="127"/>
      <c r="F4600" s="128"/>
      <c r="G4600" s="128"/>
      <c r="H4600" s="129"/>
      <c r="I4600" s="130"/>
      <c r="J4600" s="23"/>
      <c r="K4600" s="23"/>
      <c r="L4600" s="23"/>
      <c r="M4600" s="131"/>
      <c r="N4600" s="131"/>
      <c r="O4600" s="131"/>
    </row>
    <row r="4601" spans="4:15" x14ac:dyDescent="0.3">
      <c r="D4601" s="33"/>
      <c r="E4601" s="127"/>
      <c r="F4601" s="128"/>
      <c r="G4601" s="128"/>
      <c r="H4601" s="129"/>
      <c r="I4601" s="130"/>
      <c r="J4601" s="23"/>
      <c r="K4601" s="23"/>
      <c r="L4601" s="23"/>
      <c r="M4601" s="131"/>
      <c r="N4601" s="131"/>
      <c r="O4601" s="131"/>
    </row>
    <row r="4602" spans="4:15" x14ac:dyDescent="0.3">
      <c r="D4602" s="33"/>
      <c r="E4602" s="127"/>
      <c r="F4602" s="128"/>
      <c r="G4602" s="128"/>
      <c r="H4602" s="129"/>
      <c r="I4602" s="130"/>
      <c r="J4602" s="23"/>
      <c r="K4602" s="23"/>
      <c r="L4602" s="23"/>
      <c r="M4602" s="131"/>
      <c r="N4602" s="131"/>
      <c r="O4602" s="131"/>
    </row>
    <row r="4603" spans="4:15" x14ac:dyDescent="0.3">
      <c r="D4603" s="33"/>
      <c r="E4603" s="127"/>
      <c r="F4603" s="128"/>
      <c r="G4603" s="128"/>
      <c r="H4603" s="129"/>
      <c r="I4603" s="130"/>
      <c r="J4603" s="23"/>
      <c r="K4603" s="23"/>
      <c r="L4603" s="23"/>
      <c r="M4603" s="131"/>
      <c r="N4603" s="131"/>
      <c r="O4603" s="131"/>
    </row>
    <row r="4604" spans="4:15" x14ac:dyDescent="0.3">
      <c r="D4604" s="33"/>
      <c r="E4604" s="127"/>
      <c r="F4604" s="128"/>
      <c r="G4604" s="128"/>
      <c r="H4604" s="129"/>
      <c r="I4604" s="130"/>
      <c r="J4604" s="23"/>
      <c r="K4604" s="23"/>
      <c r="L4604" s="23"/>
      <c r="M4604" s="131"/>
      <c r="N4604" s="131"/>
      <c r="O4604" s="131"/>
    </row>
    <row r="4605" spans="4:15" x14ac:dyDescent="0.3">
      <c r="D4605" s="33"/>
      <c r="E4605" s="127"/>
      <c r="F4605" s="128"/>
      <c r="G4605" s="128"/>
      <c r="H4605" s="129"/>
      <c r="I4605" s="130"/>
      <c r="J4605" s="23"/>
      <c r="K4605" s="23"/>
      <c r="L4605" s="23"/>
      <c r="M4605" s="131"/>
      <c r="N4605" s="131"/>
      <c r="O4605" s="131"/>
    </row>
    <row r="4606" spans="4:15" x14ac:dyDescent="0.3">
      <c r="D4606" s="33"/>
      <c r="E4606" s="127"/>
      <c r="F4606" s="128"/>
      <c r="G4606" s="128"/>
      <c r="H4606" s="129"/>
      <c r="I4606" s="130"/>
      <c r="J4606" s="23"/>
      <c r="K4606" s="23"/>
      <c r="L4606" s="23"/>
      <c r="M4606" s="131"/>
      <c r="N4606" s="131"/>
      <c r="O4606" s="131"/>
    </row>
    <row r="4607" spans="4:15" x14ac:dyDescent="0.3">
      <c r="D4607" s="33"/>
      <c r="E4607" s="127"/>
      <c r="F4607" s="128"/>
      <c r="G4607" s="128"/>
      <c r="H4607" s="129"/>
      <c r="I4607" s="130"/>
      <c r="J4607" s="23"/>
      <c r="K4607" s="23"/>
      <c r="L4607" s="23"/>
      <c r="M4607" s="131"/>
      <c r="N4607" s="131"/>
      <c r="O4607" s="131"/>
    </row>
    <row r="4608" spans="4:15" x14ac:dyDescent="0.3">
      <c r="D4608" s="33"/>
      <c r="E4608" s="127"/>
      <c r="F4608" s="128"/>
      <c r="G4608" s="128"/>
      <c r="H4608" s="129"/>
      <c r="I4608" s="130"/>
      <c r="J4608" s="23"/>
      <c r="K4608" s="23"/>
      <c r="L4608" s="23"/>
      <c r="M4608" s="131"/>
      <c r="N4608" s="131"/>
      <c r="O4608" s="131"/>
    </row>
    <row r="4609" spans="4:15" x14ac:dyDescent="0.3">
      <c r="D4609" s="33"/>
      <c r="E4609" s="127"/>
      <c r="F4609" s="128"/>
      <c r="G4609" s="128"/>
      <c r="H4609" s="129"/>
      <c r="I4609" s="130"/>
      <c r="J4609" s="23"/>
      <c r="K4609" s="23"/>
      <c r="L4609" s="23"/>
      <c r="M4609" s="131"/>
      <c r="N4609" s="131"/>
      <c r="O4609" s="131"/>
    </row>
    <row r="4610" spans="4:15" x14ac:dyDescent="0.3">
      <c r="D4610" s="33"/>
      <c r="E4610" s="127"/>
      <c r="F4610" s="128"/>
      <c r="G4610" s="128"/>
      <c r="H4610" s="129"/>
      <c r="I4610" s="130"/>
      <c r="J4610" s="23"/>
      <c r="K4610" s="23"/>
      <c r="L4610" s="23"/>
      <c r="M4610" s="131"/>
      <c r="N4610" s="131"/>
      <c r="O4610" s="131"/>
    </row>
    <row r="4611" spans="4:15" x14ac:dyDescent="0.3">
      <c r="D4611" s="33"/>
      <c r="E4611" s="127"/>
      <c r="F4611" s="128"/>
      <c r="G4611" s="128"/>
      <c r="H4611" s="129"/>
      <c r="I4611" s="130"/>
      <c r="J4611" s="23"/>
      <c r="K4611" s="23"/>
      <c r="L4611" s="23"/>
      <c r="M4611" s="131"/>
      <c r="N4611" s="131"/>
      <c r="O4611" s="131"/>
    </row>
    <row r="4612" spans="4:15" x14ac:dyDescent="0.3">
      <c r="D4612" s="33"/>
      <c r="E4612" s="127"/>
      <c r="F4612" s="128"/>
      <c r="G4612" s="128"/>
      <c r="H4612" s="129"/>
      <c r="I4612" s="130"/>
      <c r="J4612" s="23"/>
      <c r="K4612" s="23"/>
      <c r="L4612" s="23"/>
      <c r="M4612" s="131"/>
      <c r="N4612" s="131"/>
      <c r="O4612" s="131"/>
    </row>
    <row r="4613" spans="4:15" x14ac:dyDescent="0.3">
      <c r="D4613" s="33"/>
      <c r="E4613" s="127"/>
      <c r="F4613" s="128"/>
      <c r="G4613" s="128"/>
      <c r="H4613" s="129"/>
      <c r="I4613" s="130"/>
      <c r="J4613" s="23"/>
      <c r="K4613" s="23"/>
      <c r="L4613" s="23"/>
      <c r="M4613" s="131"/>
      <c r="N4613" s="131"/>
      <c r="O4613" s="131"/>
    </row>
    <row r="4614" spans="4:15" x14ac:dyDescent="0.3">
      <c r="D4614" s="33"/>
      <c r="E4614" s="127"/>
      <c r="F4614" s="128"/>
      <c r="G4614" s="128"/>
      <c r="H4614" s="129"/>
      <c r="I4614" s="130"/>
      <c r="J4614" s="23"/>
      <c r="K4614" s="23"/>
      <c r="L4614" s="23"/>
      <c r="M4614" s="131"/>
      <c r="N4614" s="131"/>
      <c r="O4614" s="131"/>
    </row>
    <row r="4615" spans="4:15" x14ac:dyDescent="0.3">
      <c r="D4615" s="33"/>
      <c r="E4615" s="127"/>
      <c r="F4615" s="128"/>
      <c r="G4615" s="128"/>
      <c r="H4615" s="129"/>
      <c r="I4615" s="130"/>
      <c r="J4615" s="23"/>
      <c r="K4615" s="23"/>
      <c r="L4615" s="23"/>
      <c r="M4615" s="131"/>
      <c r="N4615" s="131"/>
      <c r="O4615" s="131"/>
    </row>
    <row r="4616" spans="4:15" x14ac:dyDescent="0.3">
      <c r="D4616" s="33"/>
      <c r="E4616" s="127"/>
      <c r="F4616" s="128"/>
      <c r="G4616" s="128"/>
      <c r="H4616" s="129"/>
      <c r="I4616" s="130"/>
      <c r="J4616" s="23"/>
      <c r="K4616" s="23"/>
      <c r="L4616" s="23"/>
      <c r="M4616" s="131"/>
      <c r="N4616" s="131"/>
      <c r="O4616" s="131"/>
    </row>
    <row r="4617" spans="4:15" x14ac:dyDescent="0.3">
      <c r="D4617" s="33"/>
      <c r="E4617" s="127"/>
      <c r="F4617" s="128"/>
      <c r="G4617" s="128"/>
      <c r="H4617" s="129"/>
      <c r="I4617" s="130"/>
      <c r="J4617" s="23"/>
      <c r="K4617" s="23"/>
      <c r="L4617" s="23"/>
      <c r="M4617" s="131"/>
      <c r="N4617" s="131"/>
      <c r="O4617" s="131"/>
    </row>
    <row r="4618" spans="4:15" x14ac:dyDescent="0.3">
      <c r="D4618" s="33"/>
      <c r="E4618" s="127"/>
      <c r="F4618" s="128"/>
      <c r="G4618" s="128"/>
      <c r="H4618" s="129"/>
      <c r="I4618" s="130"/>
      <c r="J4618" s="23"/>
      <c r="K4618" s="23"/>
      <c r="L4618" s="23"/>
      <c r="M4618" s="131"/>
      <c r="N4618" s="131"/>
      <c r="O4618" s="131"/>
    </row>
    <row r="4619" spans="4:15" x14ac:dyDescent="0.3">
      <c r="D4619" s="33"/>
      <c r="E4619" s="127"/>
      <c r="F4619" s="128"/>
      <c r="G4619" s="128"/>
      <c r="H4619" s="129"/>
      <c r="I4619" s="130"/>
      <c r="J4619" s="23"/>
      <c r="K4619" s="23"/>
      <c r="L4619" s="23"/>
      <c r="M4619" s="131"/>
      <c r="N4619" s="131"/>
      <c r="O4619" s="131"/>
    </row>
    <row r="4620" spans="4:15" x14ac:dyDescent="0.3">
      <c r="D4620" s="33"/>
      <c r="E4620" s="127"/>
      <c r="F4620" s="128"/>
      <c r="G4620" s="128"/>
      <c r="H4620" s="129"/>
      <c r="I4620" s="130"/>
      <c r="J4620" s="23"/>
      <c r="K4620" s="23"/>
      <c r="L4620" s="23"/>
      <c r="M4620" s="131"/>
      <c r="N4620" s="131"/>
      <c r="O4620" s="131"/>
    </row>
    <row r="4621" spans="4:15" x14ac:dyDescent="0.3">
      <c r="D4621" s="33"/>
      <c r="E4621" s="127"/>
      <c r="F4621" s="128"/>
      <c r="G4621" s="128"/>
      <c r="H4621" s="129"/>
      <c r="I4621" s="130"/>
      <c r="J4621" s="23"/>
      <c r="K4621" s="23"/>
      <c r="L4621" s="23"/>
      <c r="M4621" s="131"/>
      <c r="N4621" s="131"/>
      <c r="O4621" s="131"/>
    </row>
    <row r="4622" spans="4:15" x14ac:dyDescent="0.3">
      <c r="D4622" s="33"/>
      <c r="E4622" s="127"/>
      <c r="F4622" s="128"/>
      <c r="G4622" s="128"/>
      <c r="H4622" s="129"/>
      <c r="I4622" s="130"/>
      <c r="J4622" s="23"/>
      <c r="K4622" s="23"/>
      <c r="L4622" s="23"/>
      <c r="M4622" s="131"/>
      <c r="N4622" s="131"/>
      <c r="O4622" s="131"/>
    </row>
    <row r="4623" spans="4:15" x14ac:dyDescent="0.3">
      <c r="D4623" s="33"/>
      <c r="E4623" s="127"/>
      <c r="F4623" s="128"/>
      <c r="G4623" s="128"/>
      <c r="H4623" s="129"/>
      <c r="I4623" s="130"/>
      <c r="J4623" s="23"/>
      <c r="K4623" s="23"/>
      <c r="L4623" s="23"/>
      <c r="M4623" s="131"/>
      <c r="N4623" s="131"/>
      <c r="O4623" s="131"/>
    </row>
    <row r="4624" spans="4:15" x14ac:dyDescent="0.3">
      <c r="D4624" s="33"/>
      <c r="E4624" s="127"/>
      <c r="F4624" s="128"/>
      <c r="G4624" s="128"/>
      <c r="H4624" s="129"/>
      <c r="I4624" s="130"/>
      <c r="J4624" s="23"/>
      <c r="K4624" s="23"/>
      <c r="L4624" s="23"/>
      <c r="M4624" s="131"/>
      <c r="N4624" s="131"/>
      <c r="O4624" s="131"/>
    </row>
    <row r="4625" spans="4:15" x14ac:dyDescent="0.3">
      <c r="D4625" s="33"/>
      <c r="E4625" s="127"/>
      <c r="F4625" s="128"/>
      <c r="G4625" s="128"/>
      <c r="H4625" s="129"/>
      <c r="I4625" s="130"/>
      <c r="J4625" s="23"/>
      <c r="K4625" s="23"/>
      <c r="L4625" s="23"/>
      <c r="M4625" s="131"/>
      <c r="N4625" s="131"/>
      <c r="O4625" s="131"/>
    </row>
    <row r="4626" spans="4:15" x14ac:dyDescent="0.3">
      <c r="D4626" s="33"/>
      <c r="E4626" s="127"/>
      <c r="F4626" s="128"/>
      <c r="G4626" s="128"/>
      <c r="H4626" s="129"/>
      <c r="I4626" s="130"/>
      <c r="J4626" s="23"/>
      <c r="K4626" s="23"/>
      <c r="L4626" s="23"/>
      <c r="M4626" s="131"/>
      <c r="N4626" s="131"/>
      <c r="O4626" s="131"/>
    </row>
    <row r="4627" spans="4:15" x14ac:dyDescent="0.3">
      <c r="D4627" s="33"/>
      <c r="E4627" s="127"/>
      <c r="F4627" s="128"/>
      <c r="G4627" s="128"/>
      <c r="H4627" s="129"/>
      <c r="I4627" s="130"/>
      <c r="J4627" s="23"/>
      <c r="K4627" s="23"/>
      <c r="L4627" s="23"/>
      <c r="M4627" s="131"/>
      <c r="N4627" s="131"/>
      <c r="O4627" s="131"/>
    </row>
    <row r="4628" spans="4:15" x14ac:dyDescent="0.3">
      <c r="D4628" s="33"/>
      <c r="E4628" s="127"/>
      <c r="F4628" s="128"/>
      <c r="G4628" s="128"/>
      <c r="H4628" s="129"/>
      <c r="I4628" s="130"/>
      <c r="J4628" s="23"/>
      <c r="K4628" s="23"/>
      <c r="L4628" s="23"/>
      <c r="M4628" s="131"/>
      <c r="N4628" s="131"/>
      <c r="O4628" s="131"/>
    </row>
    <row r="4629" spans="4:15" x14ac:dyDescent="0.3">
      <c r="D4629" s="33"/>
      <c r="E4629" s="127"/>
      <c r="F4629" s="128"/>
      <c r="G4629" s="128"/>
      <c r="H4629" s="129"/>
      <c r="I4629" s="130"/>
      <c r="J4629" s="23"/>
      <c r="K4629" s="23"/>
      <c r="L4629" s="23"/>
      <c r="M4629" s="131"/>
      <c r="N4629" s="131"/>
      <c r="O4629" s="131"/>
    </row>
    <row r="4630" spans="4:15" x14ac:dyDescent="0.3">
      <c r="D4630" s="33"/>
      <c r="E4630" s="127"/>
      <c r="F4630" s="128"/>
      <c r="G4630" s="128"/>
      <c r="H4630" s="129"/>
      <c r="I4630" s="130"/>
      <c r="J4630" s="23"/>
      <c r="K4630" s="23"/>
      <c r="L4630" s="23"/>
      <c r="M4630" s="131"/>
      <c r="N4630" s="131"/>
      <c r="O4630" s="131"/>
    </row>
    <row r="4631" spans="4:15" x14ac:dyDescent="0.3">
      <c r="D4631" s="33"/>
      <c r="E4631" s="127"/>
      <c r="F4631" s="128"/>
      <c r="G4631" s="128"/>
      <c r="H4631" s="129"/>
      <c r="I4631" s="130"/>
      <c r="J4631" s="23"/>
      <c r="K4631" s="23"/>
      <c r="L4631" s="23"/>
      <c r="M4631" s="131"/>
      <c r="N4631" s="131"/>
      <c r="O4631" s="131"/>
    </row>
    <row r="4632" spans="4:15" x14ac:dyDescent="0.3">
      <c r="D4632" s="33"/>
      <c r="E4632" s="127"/>
      <c r="F4632" s="128"/>
      <c r="G4632" s="128"/>
      <c r="H4632" s="129"/>
      <c r="I4632" s="130"/>
      <c r="J4632" s="23"/>
      <c r="K4632" s="23"/>
      <c r="L4632" s="23"/>
      <c r="M4632" s="131"/>
      <c r="N4632" s="131"/>
      <c r="O4632" s="131"/>
    </row>
    <row r="4633" spans="4:15" x14ac:dyDescent="0.3">
      <c r="D4633" s="33"/>
      <c r="E4633" s="127"/>
      <c r="F4633" s="128"/>
      <c r="G4633" s="128"/>
      <c r="H4633" s="129"/>
      <c r="I4633" s="130"/>
      <c r="J4633" s="23"/>
      <c r="K4633" s="23"/>
      <c r="L4633" s="23"/>
      <c r="M4633" s="131"/>
      <c r="N4633" s="131"/>
      <c r="O4633" s="131"/>
    </row>
    <row r="4634" spans="4:15" x14ac:dyDescent="0.3">
      <c r="D4634" s="33"/>
      <c r="E4634" s="127"/>
      <c r="F4634" s="128"/>
      <c r="G4634" s="128"/>
      <c r="H4634" s="129"/>
      <c r="I4634" s="130"/>
      <c r="J4634" s="23"/>
      <c r="K4634" s="23"/>
      <c r="L4634" s="23"/>
      <c r="M4634" s="131"/>
      <c r="N4634" s="131"/>
      <c r="O4634" s="131"/>
    </row>
    <row r="4635" spans="4:15" x14ac:dyDescent="0.3">
      <c r="D4635" s="33"/>
      <c r="E4635" s="127"/>
      <c r="F4635" s="128"/>
      <c r="G4635" s="128"/>
      <c r="H4635" s="129"/>
      <c r="I4635" s="130"/>
      <c r="J4635" s="23"/>
      <c r="K4635" s="23"/>
      <c r="L4635" s="23"/>
      <c r="M4635" s="131"/>
      <c r="N4635" s="131"/>
      <c r="O4635" s="131"/>
    </row>
    <row r="4636" spans="4:15" x14ac:dyDescent="0.3">
      <c r="D4636" s="33"/>
      <c r="E4636" s="127"/>
      <c r="F4636" s="128"/>
      <c r="G4636" s="128"/>
      <c r="H4636" s="129"/>
      <c r="I4636" s="130"/>
      <c r="J4636" s="23"/>
      <c r="K4636" s="23"/>
      <c r="L4636" s="23"/>
      <c r="M4636" s="131"/>
      <c r="N4636" s="131"/>
      <c r="O4636" s="131"/>
    </row>
    <row r="4637" spans="4:15" x14ac:dyDescent="0.3">
      <c r="D4637" s="33"/>
      <c r="E4637" s="127"/>
      <c r="F4637" s="128"/>
      <c r="G4637" s="128"/>
      <c r="H4637" s="129"/>
      <c r="I4637" s="130"/>
      <c r="J4637" s="23"/>
      <c r="K4637" s="23"/>
      <c r="L4637" s="23"/>
      <c r="M4637" s="131"/>
      <c r="N4637" s="131"/>
      <c r="O4637" s="131"/>
    </row>
    <row r="4638" spans="4:15" x14ac:dyDescent="0.3">
      <c r="D4638" s="33"/>
      <c r="E4638" s="127"/>
      <c r="F4638" s="128"/>
      <c r="G4638" s="128"/>
      <c r="H4638" s="129"/>
      <c r="I4638" s="130"/>
      <c r="J4638" s="23"/>
      <c r="K4638" s="23"/>
      <c r="L4638" s="23"/>
      <c r="M4638" s="131"/>
      <c r="N4638" s="131"/>
      <c r="O4638" s="131"/>
    </row>
    <row r="4639" spans="4:15" x14ac:dyDescent="0.3">
      <c r="D4639" s="33"/>
      <c r="E4639" s="127"/>
      <c r="F4639" s="128"/>
      <c r="G4639" s="128"/>
      <c r="H4639" s="129"/>
      <c r="I4639" s="130"/>
      <c r="J4639" s="23"/>
      <c r="K4639" s="23"/>
      <c r="L4639" s="23"/>
      <c r="M4639" s="131"/>
      <c r="N4639" s="131"/>
      <c r="O4639" s="131"/>
    </row>
    <row r="4640" spans="4:15" x14ac:dyDescent="0.3">
      <c r="D4640" s="33"/>
      <c r="E4640" s="127"/>
      <c r="F4640" s="128"/>
      <c r="G4640" s="128"/>
      <c r="H4640" s="129"/>
      <c r="I4640" s="130"/>
      <c r="J4640" s="23"/>
      <c r="K4640" s="23"/>
      <c r="L4640" s="23"/>
      <c r="M4640" s="131"/>
      <c r="N4640" s="131"/>
      <c r="O4640" s="131"/>
    </row>
    <row r="4641" spans="4:15" x14ac:dyDescent="0.3">
      <c r="D4641" s="33"/>
      <c r="E4641" s="127"/>
      <c r="F4641" s="128"/>
      <c r="G4641" s="128"/>
      <c r="H4641" s="129"/>
      <c r="I4641" s="130"/>
      <c r="J4641" s="23"/>
      <c r="K4641" s="23"/>
      <c r="L4641" s="23"/>
      <c r="M4641" s="131"/>
      <c r="N4641" s="131"/>
      <c r="O4641" s="131"/>
    </row>
    <row r="4642" spans="4:15" x14ac:dyDescent="0.3">
      <c r="D4642" s="33"/>
      <c r="E4642" s="127"/>
      <c r="F4642" s="128"/>
      <c r="G4642" s="128"/>
      <c r="H4642" s="129"/>
      <c r="I4642" s="130"/>
      <c r="J4642" s="23"/>
      <c r="K4642" s="23"/>
      <c r="L4642" s="23"/>
      <c r="M4642" s="131"/>
      <c r="N4642" s="131"/>
      <c r="O4642" s="131"/>
    </row>
    <row r="4643" spans="4:15" x14ac:dyDescent="0.3">
      <c r="D4643" s="33"/>
      <c r="E4643" s="127"/>
      <c r="F4643" s="128"/>
      <c r="G4643" s="128"/>
      <c r="H4643" s="129"/>
      <c r="I4643" s="130"/>
      <c r="J4643" s="23"/>
      <c r="K4643" s="23"/>
      <c r="L4643" s="23"/>
      <c r="M4643" s="131"/>
      <c r="N4643" s="131"/>
      <c r="O4643" s="131"/>
    </row>
    <row r="4644" spans="4:15" x14ac:dyDescent="0.3">
      <c r="D4644" s="33"/>
      <c r="E4644" s="127"/>
      <c r="F4644" s="128"/>
      <c r="G4644" s="128"/>
      <c r="H4644" s="129"/>
      <c r="I4644" s="130"/>
      <c r="J4644" s="23"/>
      <c r="K4644" s="23"/>
      <c r="L4644" s="23"/>
      <c r="M4644" s="131"/>
      <c r="N4644" s="131"/>
      <c r="O4644" s="131"/>
    </row>
    <row r="4645" spans="4:15" x14ac:dyDescent="0.3">
      <c r="D4645" s="33"/>
      <c r="E4645" s="127"/>
      <c r="F4645" s="128"/>
      <c r="G4645" s="128"/>
      <c r="H4645" s="129"/>
      <c r="I4645" s="130"/>
      <c r="J4645" s="23"/>
      <c r="K4645" s="23"/>
      <c r="L4645" s="23"/>
      <c r="M4645" s="131"/>
      <c r="N4645" s="131"/>
      <c r="O4645" s="131"/>
    </row>
    <row r="4646" spans="4:15" x14ac:dyDescent="0.3">
      <c r="D4646" s="33"/>
      <c r="E4646" s="127"/>
      <c r="F4646" s="128"/>
      <c r="G4646" s="128"/>
      <c r="H4646" s="129"/>
      <c r="I4646" s="130"/>
      <c r="J4646" s="23"/>
      <c r="K4646" s="23"/>
      <c r="L4646" s="23"/>
      <c r="M4646" s="131"/>
      <c r="N4646" s="131"/>
      <c r="O4646" s="131"/>
    </row>
    <row r="4647" spans="4:15" x14ac:dyDescent="0.3">
      <c r="D4647" s="33"/>
      <c r="E4647" s="127"/>
      <c r="F4647" s="128"/>
      <c r="G4647" s="128"/>
      <c r="H4647" s="129"/>
      <c r="I4647" s="130"/>
      <c r="J4647" s="23"/>
      <c r="K4647" s="23"/>
      <c r="L4647" s="23"/>
      <c r="M4647" s="131"/>
      <c r="N4647" s="131"/>
      <c r="O4647" s="131"/>
    </row>
    <row r="4648" spans="4:15" x14ac:dyDescent="0.3">
      <c r="D4648" s="33"/>
      <c r="E4648" s="127"/>
      <c r="F4648" s="128"/>
      <c r="G4648" s="128"/>
      <c r="H4648" s="129"/>
      <c r="I4648" s="130"/>
      <c r="J4648" s="23"/>
      <c r="K4648" s="23"/>
      <c r="L4648" s="23"/>
      <c r="M4648" s="131"/>
      <c r="N4648" s="131"/>
      <c r="O4648" s="131"/>
    </row>
    <row r="4649" spans="4:15" x14ac:dyDescent="0.3">
      <c r="D4649" s="33"/>
      <c r="E4649" s="127"/>
      <c r="F4649" s="128"/>
      <c r="G4649" s="128"/>
      <c r="H4649" s="129"/>
      <c r="I4649" s="130"/>
      <c r="J4649" s="23"/>
      <c r="K4649" s="23"/>
      <c r="L4649" s="23"/>
      <c r="M4649" s="131"/>
      <c r="N4649" s="131"/>
      <c r="O4649" s="131"/>
    </row>
    <row r="4650" spans="4:15" x14ac:dyDescent="0.3">
      <c r="D4650" s="33"/>
      <c r="E4650" s="127"/>
      <c r="F4650" s="128"/>
      <c r="G4650" s="128"/>
      <c r="H4650" s="129"/>
      <c r="I4650" s="130"/>
      <c r="J4650" s="23"/>
      <c r="K4650" s="23"/>
      <c r="L4650" s="23"/>
      <c r="M4650" s="131"/>
      <c r="N4650" s="131"/>
      <c r="O4650" s="131"/>
    </row>
    <row r="4651" spans="4:15" x14ac:dyDescent="0.3">
      <c r="D4651" s="33"/>
      <c r="E4651" s="127"/>
      <c r="F4651" s="128"/>
      <c r="G4651" s="128"/>
      <c r="H4651" s="129"/>
      <c r="I4651" s="130"/>
      <c r="J4651" s="23"/>
      <c r="K4651" s="23"/>
      <c r="L4651" s="23"/>
      <c r="M4651" s="131"/>
      <c r="N4651" s="131"/>
      <c r="O4651" s="131"/>
    </row>
    <row r="4652" spans="4:15" x14ac:dyDescent="0.3">
      <c r="D4652" s="33"/>
      <c r="E4652" s="127"/>
      <c r="F4652" s="128"/>
      <c r="G4652" s="128"/>
      <c r="H4652" s="129"/>
      <c r="I4652" s="130"/>
      <c r="J4652" s="23"/>
      <c r="K4652" s="23"/>
      <c r="L4652" s="23"/>
      <c r="M4652" s="131"/>
      <c r="N4652" s="131"/>
      <c r="O4652" s="131"/>
    </row>
    <row r="4653" spans="4:15" x14ac:dyDescent="0.3">
      <c r="D4653" s="33"/>
      <c r="E4653" s="127"/>
      <c r="F4653" s="128"/>
      <c r="G4653" s="128"/>
      <c r="H4653" s="129"/>
      <c r="I4653" s="130"/>
      <c r="J4653" s="23"/>
      <c r="K4653" s="23"/>
      <c r="L4653" s="23"/>
      <c r="M4653" s="131"/>
      <c r="N4653" s="131"/>
      <c r="O4653" s="131"/>
    </row>
    <row r="4654" spans="4:15" x14ac:dyDescent="0.3">
      <c r="D4654" s="33"/>
      <c r="E4654" s="127"/>
      <c r="F4654" s="128"/>
      <c r="G4654" s="128"/>
      <c r="H4654" s="129"/>
      <c r="I4654" s="130"/>
      <c r="J4654" s="23"/>
      <c r="K4654" s="23"/>
      <c r="L4654" s="23"/>
      <c r="M4654" s="131"/>
      <c r="N4654" s="131"/>
      <c r="O4654" s="131"/>
    </row>
    <row r="4655" spans="4:15" x14ac:dyDescent="0.3">
      <c r="D4655" s="33"/>
      <c r="E4655" s="127"/>
      <c r="F4655" s="128"/>
      <c r="G4655" s="128"/>
      <c r="H4655" s="129"/>
      <c r="I4655" s="130"/>
      <c r="J4655" s="23"/>
      <c r="K4655" s="23"/>
      <c r="L4655" s="23"/>
      <c r="M4655" s="131"/>
      <c r="N4655" s="131"/>
      <c r="O4655" s="131"/>
    </row>
    <row r="4656" spans="4:15" x14ac:dyDescent="0.3">
      <c r="D4656" s="33"/>
      <c r="E4656" s="127"/>
      <c r="F4656" s="128"/>
      <c r="G4656" s="128"/>
      <c r="H4656" s="129"/>
      <c r="I4656" s="130"/>
      <c r="J4656" s="23"/>
      <c r="K4656" s="23"/>
      <c r="L4656" s="23"/>
      <c r="M4656" s="131"/>
      <c r="N4656" s="131"/>
      <c r="O4656" s="131"/>
    </row>
    <row r="4657" spans="4:15" x14ac:dyDescent="0.3">
      <c r="D4657" s="33"/>
      <c r="E4657" s="127"/>
      <c r="F4657" s="128"/>
      <c r="G4657" s="128"/>
      <c r="H4657" s="129"/>
      <c r="I4657" s="130"/>
      <c r="J4657" s="23"/>
      <c r="K4657" s="23"/>
      <c r="L4657" s="23"/>
      <c r="M4657" s="131"/>
      <c r="N4657" s="131"/>
      <c r="O4657" s="131"/>
    </row>
    <row r="4658" spans="4:15" x14ac:dyDescent="0.3">
      <c r="D4658" s="33"/>
      <c r="E4658" s="127"/>
      <c r="F4658" s="128"/>
      <c r="G4658" s="128"/>
      <c r="H4658" s="129"/>
      <c r="I4658" s="130"/>
      <c r="J4658" s="23"/>
      <c r="K4658" s="23"/>
      <c r="L4658" s="23"/>
      <c r="M4658" s="131"/>
      <c r="N4658" s="131"/>
      <c r="O4658" s="131"/>
    </row>
    <row r="4659" spans="4:15" x14ac:dyDescent="0.3">
      <c r="D4659" s="33"/>
      <c r="E4659" s="127"/>
      <c r="F4659" s="128"/>
      <c r="G4659" s="128"/>
      <c r="H4659" s="129"/>
      <c r="I4659" s="130"/>
      <c r="J4659" s="23"/>
      <c r="K4659" s="23"/>
      <c r="L4659" s="23"/>
      <c r="M4659" s="131"/>
      <c r="N4659" s="131"/>
      <c r="O4659" s="131"/>
    </row>
    <row r="4660" spans="4:15" x14ac:dyDescent="0.3">
      <c r="D4660" s="33"/>
      <c r="E4660" s="127"/>
      <c r="F4660" s="128"/>
      <c r="G4660" s="128"/>
      <c r="H4660" s="129"/>
      <c r="I4660" s="130"/>
      <c r="J4660" s="23"/>
      <c r="K4660" s="23"/>
      <c r="L4660" s="23"/>
      <c r="M4660" s="131"/>
      <c r="N4660" s="131"/>
      <c r="O4660" s="131"/>
    </row>
    <row r="4661" spans="4:15" x14ac:dyDescent="0.3">
      <c r="D4661" s="33"/>
      <c r="E4661" s="127"/>
      <c r="F4661" s="128"/>
      <c r="G4661" s="128"/>
      <c r="H4661" s="129"/>
      <c r="I4661" s="130"/>
      <c r="J4661" s="23"/>
      <c r="K4661" s="23"/>
      <c r="L4661" s="23"/>
      <c r="M4661" s="131"/>
      <c r="N4661" s="131"/>
      <c r="O4661" s="131"/>
    </row>
    <row r="4662" spans="4:15" x14ac:dyDescent="0.3">
      <c r="D4662" s="33"/>
      <c r="E4662" s="127"/>
      <c r="F4662" s="128"/>
      <c r="G4662" s="128"/>
      <c r="H4662" s="129"/>
      <c r="I4662" s="130"/>
      <c r="J4662" s="23"/>
      <c r="K4662" s="23"/>
      <c r="L4662" s="23"/>
      <c r="M4662" s="131"/>
      <c r="N4662" s="131"/>
      <c r="O4662" s="131"/>
    </row>
    <row r="4663" spans="4:15" x14ac:dyDescent="0.3">
      <c r="D4663" s="33"/>
      <c r="E4663" s="127"/>
      <c r="F4663" s="128"/>
      <c r="G4663" s="128"/>
      <c r="H4663" s="129"/>
      <c r="I4663" s="130"/>
      <c r="J4663" s="23"/>
      <c r="K4663" s="23"/>
      <c r="L4663" s="23"/>
      <c r="M4663" s="131"/>
      <c r="N4663" s="131"/>
      <c r="O4663" s="131"/>
    </row>
    <row r="4664" spans="4:15" x14ac:dyDescent="0.3">
      <c r="D4664" s="33"/>
      <c r="E4664" s="127"/>
      <c r="F4664" s="128"/>
      <c r="G4664" s="128"/>
      <c r="H4664" s="129"/>
      <c r="I4664" s="130"/>
      <c r="J4664" s="23"/>
      <c r="K4664" s="23"/>
      <c r="L4664" s="23"/>
      <c r="M4664" s="131"/>
      <c r="N4664" s="131"/>
      <c r="O4664" s="131"/>
    </row>
    <row r="4665" spans="4:15" x14ac:dyDescent="0.3">
      <c r="D4665" s="33"/>
      <c r="E4665" s="127"/>
      <c r="F4665" s="128"/>
      <c r="G4665" s="128"/>
      <c r="H4665" s="129"/>
      <c r="I4665" s="130"/>
      <c r="J4665" s="23"/>
      <c r="K4665" s="23"/>
      <c r="L4665" s="23"/>
      <c r="M4665" s="131"/>
      <c r="N4665" s="131"/>
      <c r="O4665" s="131"/>
    </row>
    <row r="4666" spans="4:15" x14ac:dyDescent="0.3">
      <c r="D4666" s="33"/>
      <c r="E4666" s="127"/>
      <c r="F4666" s="128"/>
      <c r="G4666" s="128"/>
      <c r="H4666" s="129"/>
      <c r="I4666" s="130"/>
      <c r="J4666" s="23"/>
      <c r="K4666" s="23"/>
      <c r="L4666" s="23"/>
      <c r="M4666" s="131"/>
      <c r="N4666" s="131"/>
      <c r="O4666" s="131"/>
    </row>
    <row r="4667" spans="4:15" x14ac:dyDescent="0.3">
      <c r="D4667" s="33"/>
      <c r="E4667" s="127"/>
      <c r="F4667" s="128"/>
      <c r="G4667" s="128"/>
      <c r="H4667" s="129"/>
      <c r="I4667" s="130"/>
      <c r="J4667" s="23"/>
      <c r="K4667" s="23"/>
      <c r="L4667" s="23"/>
      <c r="M4667" s="131"/>
      <c r="N4667" s="131"/>
      <c r="O4667" s="131"/>
    </row>
    <row r="4668" spans="4:15" x14ac:dyDescent="0.3">
      <c r="D4668" s="33"/>
      <c r="E4668" s="127"/>
      <c r="F4668" s="128"/>
      <c r="G4668" s="128"/>
      <c r="H4668" s="129"/>
      <c r="I4668" s="130"/>
      <c r="J4668" s="23"/>
      <c r="K4668" s="23"/>
      <c r="L4668" s="23"/>
      <c r="M4668" s="131"/>
      <c r="N4668" s="131"/>
      <c r="O4668" s="131"/>
    </row>
    <row r="4669" spans="4:15" x14ac:dyDescent="0.3">
      <c r="D4669" s="33"/>
      <c r="E4669" s="127"/>
      <c r="F4669" s="128"/>
      <c r="G4669" s="128"/>
      <c r="H4669" s="129"/>
      <c r="I4669" s="130"/>
      <c r="J4669" s="23"/>
      <c r="K4669" s="23"/>
      <c r="L4669" s="23"/>
      <c r="M4669" s="131"/>
      <c r="N4669" s="131"/>
      <c r="O4669" s="131"/>
    </row>
    <row r="4670" spans="4:15" x14ac:dyDescent="0.3">
      <c r="D4670" s="33"/>
      <c r="E4670" s="127"/>
      <c r="F4670" s="128"/>
      <c r="G4670" s="128"/>
      <c r="H4670" s="129"/>
      <c r="I4670" s="130"/>
      <c r="J4670" s="23"/>
      <c r="K4670" s="23"/>
      <c r="L4670" s="23"/>
      <c r="M4670" s="131"/>
      <c r="N4670" s="131"/>
      <c r="O4670" s="131"/>
    </row>
    <row r="4671" spans="4:15" x14ac:dyDescent="0.3">
      <c r="D4671" s="33"/>
      <c r="E4671" s="127"/>
      <c r="F4671" s="128"/>
      <c r="G4671" s="128"/>
      <c r="H4671" s="129"/>
      <c r="I4671" s="130"/>
      <c r="J4671" s="23"/>
      <c r="K4671" s="23"/>
      <c r="L4671" s="23"/>
      <c r="M4671" s="131"/>
      <c r="N4671" s="131"/>
      <c r="O4671" s="131"/>
    </row>
    <row r="4672" spans="4:15" x14ac:dyDescent="0.3">
      <c r="D4672" s="33"/>
      <c r="E4672" s="127"/>
      <c r="F4672" s="128"/>
      <c r="G4672" s="128"/>
      <c r="H4672" s="129"/>
      <c r="I4672" s="130"/>
      <c r="J4672" s="23"/>
      <c r="K4672" s="23"/>
      <c r="L4672" s="23"/>
      <c r="M4672" s="131"/>
      <c r="N4672" s="131"/>
      <c r="O4672" s="131"/>
    </row>
    <row r="4673" spans="4:15" x14ac:dyDescent="0.3">
      <c r="D4673" s="33"/>
      <c r="E4673" s="127"/>
      <c r="F4673" s="128"/>
      <c r="G4673" s="128"/>
      <c r="H4673" s="129"/>
      <c r="I4673" s="130"/>
      <c r="J4673" s="23"/>
      <c r="K4673" s="23"/>
      <c r="L4673" s="23"/>
      <c r="M4673" s="131"/>
      <c r="N4673" s="131"/>
      <c r="O4673" s="131"/>
    </row>
    <row r="4674" spans="4:15" x14ac:dyDescent="0.3">
      <c r="D4674" s="33"/>
      <c r="E4674" s="127"/>
      <c r="F4674" s="128"/>
      <c r="G4674" s="128"/>
      <c r="H4674" s="129"/>
      <c r="I4674" s="130"/>
      <c r="J4674" s="23"/>
      <c r="K4674" s="23"/>
      <c r="L4674" s="23"/>
      <c r="M4674" s="131"/>
      <c r="N4674" s="131"/>
      <c r="O4674" s="131"/>
    </row>
    <row r="4675" spans="4:15" x14ac:dyDescent="0.3">
      <c r="D4675" s="33"/>
      <c r="E4675" s="127"/>
      <c r="F4675" s="128"/>
      <c r="G4675" s="128"/>
      <c r="H4675" s="129"/>
      <c r="I4675" s="130"/>
      <c r="J4675" s="23"/>
      <c r="K4675" s="23"/>
      <c r="L4675" s="23"/>
      <c r="M4675" s="131"/>
      <c r="N4675" s="131"/>
      <c r="O4675" s="131"/>
    </row>
    <row r="4676" spans="4:15" x14ac:dyDescent="0.3">
      <c r="D4676" s="33"/>
      <c r="E4676" s="127"/>
      <c r="F4676" s="128"/>
      <c r="G4676" s="128"/>
      <c r="H4676" s="129"/>
      <c r="I4676" s="130"/>
      <c r="J4676" s="23"/>
      <c r="K4676" s="23"/>
      <c r="L4676" s="23"/>
      <c r="M4676" s="131"/>
      <c r="N4676" s="131"/>
      <c r="O4676" s="131"/>
    </row>
    <row r="4677" spans="4:15" x14ac:dyDescent="0.3">
      <c r="D4677" s="33"/>
      <c r="E4677" s="127"/>
      <c r="F4677" s="128"/>
      <c r="G4677" s="128"/>
      <c r="H4677" s="129"/>
      <c r="I4677" s="130"/>
      <c r="J4677" s="23"/>
      <c r="K4677" s="23"/>
      <c r="L4677" s="23"/>
      <c r="M4677" s="131"/>
      <c r="N4677" s="131"/>
      <c r="O4677" s="131"/>
    </row>
    <row r="4678" spans="4:15" x14ac:dyDescent="0.3">
      <c r="D4678" s="33"/>
      <c r="E4678" s="127"/>
      <c r="F4678" s="128"/>
      <c r="G4678" s="128"/>
      <c r="H4678" s="129"/>
      <c r="I4678" s="130"/>
      <c r="J4678" s="23"/>
      <c r="K4678" s="23"/>
      <c r="L4678" s="23"/>
      <c r="M4678" s="131"/>
      <c r="N4678" s="131"/>
      <c r="O4678" s="131"/>
    </row>
    <row r="4679" spans="4:15" x14ac:dyDescent="0.3">
      <c r="D4679" s="33"/>
      <c r="E4679" s="127"/>
      <c r="F4679" s="128"/>
      <c r="G4679" s="128"/>
      <c r="H4679" s="129"/>
      <c r="I4679" s="130"/>
      <c r="J4679" s="23"/>
      <c r="K4679" s="23"/>
      <c r="L4679" s="23"/>
      <c r="M4679" s="131"/>
      <c r="N4679" s="131"/>
      <c r="O4679" s="131"/>
    </row>
    <row r="4680" spans="4:15" x14ac:dyDescent="0.3">
      <c r="D4680" s="33"/>
      <c r="E4680" s="127"/>
      <c r="F4680" s="128"/>
      <c r="G4680" s="128"/>
      <c r="H4680" s="129"/>
      <c r="I4680" s="130"/>
      <c r="J4680" s="23"/>
      <c r="K4680" s="23"/>
      <c r="L4680" s="23"/>
      <c r="M4680" s="131"/>
      <c r="N4680" s="131"/>
      <c r="O4680" s="131"/>
    </row>
    <row r="4681" spans="4:15" x14ac:dyDescent="0.3">
      <c r="D4681" s="33"/>
      <c r="E4681" s="127"/>
      <c r="F4681" s="128"/>
      <c r="G4681" s="128"/>
      <c r="H4681" s="129"/>
      <c r="I4681" s="130"/>
      <c r="J4681" s="23"/>
      <c r="K4681" s="23"/>
      <c r="L4681" s="23"/>
      <c r="M4681" s="131"/>
      <c r="N4681" s="131"/>
      <c r="O4681" s="131"/>
    </row>
    <row r="4682" spans="4:15" x14ac:dyDescent="0.3">
      <c r="D4682" s="33"/>
      <c r="E4682" s="127"/>
      <c r="F4682" s="128"/>
      <c r="G4682" s="128"/>
      <c r="H4682" s="129"/>
      <c r="I4682" s="130"/>
      <c r="J4682" s="23"/>
      <c r="K4682" s="23"/>
      <c r="L4682" s="23"/>
      <c r="M4682" s="131"/>
      <c r="N4682" s="131"/>
      <c r="O4682" s="131"/>
    </row>
    <row r="4683" spans="4:15" x14ac:dyDescent="0.3">
      <c r="D4683" s="33"/>
      <c r="E4683" s="127"/>
      <c r="F4683" s="128"/>
      <c r="G4683" s="128"/>
      <c r="H4683" s="129"/>
      <c r="I4683" s="130"/>
      <c r="J4683" s="23"/>
      <c r="K4683" s="23"/>
      <c r="L4683" s="23"/>
      <c r="M4683" s="131"/>
      <c r="N4683" s="131"/>
      <c r="O4683" s="131"/>
    </row>
    <row r="4684" spans="4:15" x14ac:dyDescent="0.3">
      <c r="D4684" s="33"/>
      <c r="E4684" s="127"/>
      <c r="F4684" s="128"/>
      <c r="G4684" s="128"/>
      <c r="H4684" s="129"/>
      <c r="I4684" s="130"/>
      <c r="J4684" s="23"/>
      <c r="K4684" s="23"/>
      <c r="L4684" s="23"/>
      <c r="M4684" s="131"/>
      <c r="N4684" s="131"/>
      <c r="O4684" s="131"/>
    </row>
    <row r="4685" spans="4:15" x14ac:dyDescent="0.3">
      <c r="D4685" s="33"/>
      <c r="E4685" s="127"/>
      <c r="F4685" s="128"/>
      <c r="G4685" s="128"/>
      <c r="H4685" s="129"/>
      <c r="I4685" s="130"/>
      <c r="J4685" s="23"/>
      <c r="K4685" s="23"/>
      <c r="L4685" s="23"/>
      <c r="M4685" s="131"/>
      <c r="N4685" s="131"/>
      <c r="O4685" s="131"/>
    </row>
    <row r="4686" spans="4:15" x14ac:dyDescent="0.3">
      <c r="D4686" s="33"/>
      <c r="E4686" s="127"/>
      <c r="F4686" s="128"/>
      <c r="G4686" s="128"/>
      <c r="H4686" s="129"/>
      <c r="I4686" s="130"/>
      <c r="J4686" s="23"/>
      <c r="K4686" s="23"/>
      <c r="L4686" s="23"/>
      <c r="M4686" s="131"/>
      <c r="N4686" s="131"/>
      <c r="O4686" s="131"/>
    </row>
    <row r="4687" spans="4:15" x14ac:dyDescent="0.3">
      <c r="D4687" s="33"/>
      <c r="E4687" s="127"/>
      <c r="F4687" s="128"/>
      <c r="G4687" s="128"/>
      <c r="H4687" s="129"/>
      <c r="I4687" s="130"/>
      <c r="J4687" s="23"/>
      <c r="K4687" s="23"/>
      <c r="L4687" s="23"/>
      <c r="M4687" s="131"/>
      <c r="N4687" s="131"/>
      <c r="O4687" s="131"/>
    </row>
    <row r="4688" spans="4:15" x14ac:dyDescent="0.3">
      <c r="D4688" s="33"/>
      <c r="E4688" s="127"/>
      <c r="F4688" s="128"/>
      <c r="G4688" s="128"/>
      <c r="H4688" s="129"/>
      <c r="I4688" s="130"/>
      <c r="J4688" s="23"/>
      <c r="K4688" s="23"/>
      <c r="L4688" s="23"/>
      <c r="M4688" s="131"/>
      <c r="N4688" s="131"/>
      <c r="O4688" s="131"/>
    </row>
    <row r="4689" spans="4:15" x14ac:dyDescent="0.3">
      <c r="D4689" s="33"/>
      <c r="E4689" s="127"/>
      <c r="F4689" s="128"/>
      <c r="G4689" s="128"/>
      <c r="H4689" s="129"/>
      <c r="I4689" s="130"/>
      <c r="J4689" s="23"/>
      <c r="K4689" s="23"/>
      <c r="L4689" s="23"/>
      <c r="M4689" s="131"/>
      <c r="N4689" s="131"/>
      <c r="O4689" s="131"/>
    </row>
    <row r="4690" spans="4:15" x14ac:dyDescent="0.3">
      <c r="D4690" s="33"/>
      <c r="E4690" s="127"/>
      <c r="F4690" s="128"/>
      <c r="G4690" s="128"/>
      <c r="H4690" s="129"/>
      <c r="I4690" s="130"/>
      <c r="J4690" s="23"/>
      <c r="K4690" s="23"/>
      <c r="L4690" s="23"/>
      <c r="M4690" s="131"/>
      <c r="N4690" s="131"/>
      <c r="O4690" s="131"/>
    </row>
    <row r="4691" spans="4:15" x14ac:dyDescent="0.3">
      <c r="D4691" s="33"/>
      <c r="E4691" s="127"/>
      <c r="F4691" s="128"/>
      <c r="G4691" s="128"/>
      <c r="H4691" s="129"/>
      <c r="I4691" s="130"/>
      <c r="J4691" s="23"/>
      <c r="K4691" s="23"/>
      <c r="L4691" s="23"/>
      <c r="M4691" s="131"/>
      <c r="N4691" s="131"/>
      <c r="O4691" s="131"/>
    </row>
    <row r="4692" spans="4:15" x14ac:dyDescent="0.3">
      <c r="D4692" s="33"/>
      <c r="E4692" s="127"/>
      <c r="F4692" s="128"/>
      <c r="G4692" s="128"/>
      <c r="H4692" s="129"/>
      <c r="I4692" s="130"/>
      <c r="J4692" s="23"/>
      <c r="K4692" s="23"/>
      <c r="L4692" s="23"/>
      <c r="M4692" s="131"/>
      <c r="N4692" s="131"/>
      <c r="O4692" s="131"/>
    </row>
    <row r="4693" spans="4:15" x14ac:dyDescent="0.3">
      <c r="D4693" s="33"/>
      <c r="E4693" s="127"/>
      <c r="F4693" s="128"/>
      <c r="G4693" s="128"/>
      <c r="H4693" s="129"/>
      <c r="I4693" s="130"/>
      <c r="J4693" s="23"/>
      <c r="K4693" s="23"/>
      <c r="L4693" s="23"/>
      <c r="M4693" s="131"/>
      <c r="N4693" s="131"/>
      <c r="O4693" s="131"/>
    </row>
    <row r="4694" spans="4:15" x14ac:dyDescent="0.3">
      <c r="D4694" s="33"/>
      <c r="E4694" s="127"/>
      <c r="F4694" s="128"/>
      <c r="G4694" s="128"/>
      <c r="H4694" s="129"/>
      <c r="I4694" s="130"/>
      <c r="J4694" s="23"/>
      <c r="K4694" s="23"/>
      <c r="L4694" s="23"/>
      <c r="M4694" s="131"/>
      <c r="N4694" s="131"/>
      <c r="O4694" s="131"/>
    </row>
    <row r="4695" spans="4:15" x14ac:dyDescent="0.3">
      <c r="D4695" s="33"/>
      <c r="E4695" s="127"/>
      <c r="F4695" s="128"/>
      <c r="G4695" s="128"/>
      <c r="H4695" s="129"/>
      <c r="I4695" s="130"/>
      <c r="J4695" s="23"/>
      <c r="K4695" s="23"/>
      <c r="L4695" s="23"/>
      <c r="M4695" s="131"/>
      <c r="N4695" s="131"/>
      <c r="O4695" s="131"/>
    </row>
    <row r="4696" spans="4:15" x14ac:dyDescent="0.3">
      <c r="D4696" s="33"/>
      <c r="E4696" s="127"/>
      <c r="F4696" s="128"/>
      <c r="G4696" s="128"/>
      <c r="H4696" s="129"/>
      <c r="I4696" s="130"/>
      <c r="J4696" s="23"/>
      <c r="K4696" s="23"/>
      <c r="L4696" s="23"/>
      <c r="M4696" s="131"/>
      <c r="N4696" s="131"/>
      <c r="O4696" s="131"/>
    </row>
    <row r="4697" spans="4:15" x14ac:dyDescent="0.3">
      <c r="D4697" s="33"/>
      <c r="E4697" s="127"/>
      <c r="F4697" s="128"/>
      <c r="G4697" s="128"/>
      <c r="H4697" s="129"/>
      <c r="I4697" s="130"/>
      <c r="J4697" s="23"/>
      <c r="K4697" s="23"/>
      <c r="L4697" s="23"/>
      <c r="M4697" s="131"/>
      <c r="N4697" s="131"/>
      <c r="O4697" s="131"/>
    </row>
    <row r="4698" spans="4:15" x14ac:dyDescent="0.3">
      <c r="D4698" s="33"/>
      <c r="E4698" s="127"/>
      <c r="F4698" s="128"/>
      <c r="G4698" s="128"/>
      <c r="H4698" s="129"/>
      <c r="I4698" s="130"/>
      <c r="J4698" s="23"/>
      <c r="K4698" s="23"/>
      <c r="L4698" s="23"/>
      <c r="M4698" s="131"/>
      <c r="N4698" s="131"/>
      <c r="O4698" s="131"/>
    </row>
    <row r="4699" spans="4:15" x14ac:dyDescent="0.3">
      <c r="D4699" s="33"/>
      <c r="E4699" s="127"/>
      <c r="F4699" s="128"/>
      <c r="G4699" s="128"/>
      <c r="H4699" s="129"/>
      <c r="I4699" s="130"/>
      <c r="J4699" s="23"/>
      <c r="K4699" s="23"/>
      <c r="L4699" s="23"/>
      <c r="M4699" s="131"/>
      <c r="N4699" s="131"/>
      <c r="O4699" s="131"/>
    </row>
    <row r="4700" spans="4:15" x14ac:dyDescent="0.3">
      <c r="D4700" s="33"/>
      <c r="E4700" s="127"/>
      <c r="F4700" s="128"/>
      <c r="G4700" s="128"/>
      <c r="H4700" s="129"/>
      <c r="I4700" s="130"/>
      <c r="J4700" s="23"/>
      <c r="K4700" s="23"/>
      <c r="L4700" s="23"/>
      <c r="M4700" s="131"/>
      <c r="N4700" s="131"/>
      <c r="O4700" s="131"/>
    </row>
    <row r="4701" spans="4:15" x14ac:dyDescent="0.3">
      <c r="D4701" s="33"/>
      <c r="E4701" s="127"/>
      <c r="F4701" s="128"/>
      <c r="G4701" s="128"/>
      <c r="H4701" s="129"/>
      <c r="I4701" s="130"/>
      <c r="J4701" s="23"/>
      <c r="K4701" s="23"/>
      <c r="L4701" s="23"/>
      <c r="M4701" s="131"/>
      <c r="N4701" s="131"/>
      <c r="O4701" s="131"/>
    </row>
    <row r="4702" spans="4:15" x14ac:dyDescent="0.3">
      <c r="D4702" s="33"/>
      <c r="E4702" s="127"/>
      <c r="F4702" s="128"/>
      <c r="G4702" s="128"/>
      <c r="H4702" s="129"/>
      <c r="I4702" s="130"/>
      <c r="J4702" s="23"/>
      <c r="K4702" s="23"/>
      <c r="L4702" s="23"/>
      <c r="M4702" s="131"/>
      <c r="N4702" s="131"/>
      <c r="O4702" s="131"/>
    </row>
    <row r="4703" spans="4:15" x14ac:dyDescent="0.3">
      <c r="D4703" s="33"/>
      <c r="E4703" s="127"/>
      <c r="F4703" s="128"/>
      <c r="G4703" s="128"/>
      <c r="H4703" s="129"/>
      <c r="I4703" s="130"/>
      <c r="J4703" s="23"/>
      <c r="K4703" s="23"/>
      <c r="L4703" s="23"/>
      <c r="M4703" s="131"/>
      <c r="N4703" s="131"/>
      <c r="O4703" s="131"/>
    </row>
    <row r="4704" spans="4:15" x14ac:dyDescent="0.3">
      <c r="D4704" s="33"/>
      <c r="E4704" s="127"/>
      <c r="F4704" s="128"/>
      <c r="G4704" s="128"/>
      <c r="H4704" s="129"/>
      <c r="I4704" s="130"/>
      <c r="J4704" s="23"/>
      <c r="K4704" s="23"/>
      <c r="L4704" s="23"/>
      <c r="M4704" s="131"/>
      <c r="N4704" s="131"/>
      <c r="O4704" s="131"/>
    </row>
    <row r="4705" spans="4:15" x14ac:dyDescent="0.3">
      <c r="D4705" s="33"/>
      <c r="E4705" s="127"/>
      <c r="F4705" s="128"/>
      <c r="G4705" s="128"/>
      <c r="H4705" s="129"/>
      <c r="I4705" s="130"/>
      <c r="J4705" s="23"/>
      <c r="K4705" s="23"/>
      <c r="L4705" s="23"/>
      <c r="M4705" s="131"/>
      <c r="N4705" s="131"/>
      <c r="O4705" s="131"/>
    </row>
    <row r="4706" spans="4:15" x14ac:dyDescent="0.3">
      <c r="D4706" s="33"/>
      <c r="E4706" s="127"/>
      <c r="F4706" s="128"/>
      <c r="G4706" s="128"/>
      <c r="H4706" s="129"/>
      <c r="I4706" s="130"/>
      <c r="J4706" s="23"/>
      <c r="K4706" s="23"/>
      <c r="L4706" s="23"/>
      <c r="M4706" s="131"/>
      <c r="N4706" s="131"/>
      <c r="O4706" s="131"/>
    </row>
    <row r="4707" spans="4:15" x14ac:dyDescent="0.3">
      <c r="D4707" s="33"/>
      <c r="E4707" s="127"/>
      <c r="F4707" s="128"/>
      <c r="G4707" s="128"/>
      <c r="H4707" s="129"/>
      <c r="I4707" s="130"/>
      <c r="J4707" s="23"/>
      <c r="K4707" s="23"/>
      <c r="L4707" s="23"/>
      <c r="M4707" s="131"/>
      <c r="N4707" s="131"/>
      <c r="O4707" s="131"/>
    </row>
    <row r="4708" spans="4:15" x14ac:dyDescent="0.3">
      <c r="D4708" s="33"/>
      <c r="E4708" s="127"/>
      <c r="F4708" s="128"/>
      <c r="G4708" s="128"/>
      <c r="H4708" s="129"/>
      <c r="I4708" s="130"/>
      <c r="J4708" s="23"/>
      <c r="K4708" s="23"/>
      <c r="L4708" s="23"/>
      <c r="M4708" s="131"/>
      <c r="N4708" s="131"/>
      <c r="O4708" s="131"/>
    </row>
    <row r="4709" spans="4:15" x14ac:dyDescent="0.3">
      <c r="D4709" s="33"/>
      <c r="E4709" s="127"/>
      <c r="F4709" s="128"/>
      <c r="G4709" s="128"/>
      <c r="H4709" s="129"/>
      <c r="I4709" s="130"/>
      <c r="J4709" s="23"/>
      <c r="K4709" s="23"/>
      <c r="L4709" s="23"/>
      <c r="M4709" s="131"/>
      <c r="N4709" s="131"/>
      <c r="O4709" s="131"/>
    </row>
    <row r="4710" spans="4:15" x14ac:dyDescent="0.3">
      <c r="D4710" s="33"/>
      <c r="E4710" s="127"/>
      <c r="F4710" s="128"/>
      <c r="G4710" s="128"/>
      <c r="H4710" s="129"/>
      <c r="I4710" s="130"/>
      <c r="J4710" s="23"/>
      <c r="K4710" s="23"/>
      <c r="L4710" s="23"/>
      <c r="M4710" s="131"/>
      <c r="N4710" s="131"/>
      <c r="O4710" s="131"/>
    </row>
    <row r="4711" spans="4:15" x14ac:dyDescent="0.3">
      <c r="D4711" s="33"/>
      <c r="E4711" s="127"/>
      <c r="F4711" s="128"/>
      <c r="G4711" s="128"/>
      <c r="H4711" s="129"/>
      <c r="I4711" s="130"/>
      <c r="J4711" s="23"/>
      <c r="K4711" s="23"/>
      <c r="L4711" s="23"/>
      <c r="M4711" s="131"/>
      <c r="N4711" s="131"/>
      <c r="O4711" s="131"/>
    </row>
    <row r="4712" spans="4:15" x14ac:dyDescent="0.3">
      <c r="D4712" s="33"/>
      <c r="E4712" s="127"/>
      <c r="F4712" s="128"/>
      <c r="G4712" s="128"/>
      <c r="H4712" s="129"/>
      <c r="I4712" s="130"/>
      <c r="J4712" s="23"/>
      <c r="K4712" s="23"/>
      <c r="L4712" s="23"/>
      <c r="M4712" s="131"/>
      <c r="N4712" s="131"/>
      <c r="O4712" s="131"/>
    </row>
    <row r="4713" spans="4:15" x14ac:dyDescent="0.3">
      <c r="D4713" s="33"/>
      <c r="E4713" s="127"/>
      <c r="F4713" s="128"/>
      <c r="G4713" s="128"/>
      <c r="H4713" s="129"/>
      <c r="I4713" s="130"/>
      <c r="J4713" s="23"/>
      <c r="K4713" s="23"/>
      <c r="L4713" s="23"/>
      <c r="M4713" s="131"/>
      <c r="N4713" s="131"/>
      <c r="O4713" s="131"/>
    </row>
    <row r="4714" spans="4:15" x14ac:dyDescent="0.3">
      <c r="D4714" s="33"/>
      <c r="E4714" s="127"/>
      <c r="F4714" s="128"/>
      <c r="G4714" s="128"/>
      <c r="H4714" s="129"/>
      <c r="I4714" s="130"/>
      <c r="J4714" s="23"/>
      <c r="K4714" s="23"/>
      <c r="L4714" s="23"/>
      <c r="M4714" s="131"/>
      <c r="N4714" s="131"/>
      <c r="O4714" s="131"/>
    </row>
    <row r="4715" spans="4:15" x14ac:dyDescent="0.3">
      <c r="D4715" s="33"/>
      <c r="E4715" s="127"/>
      <c r="F4715" s="128"/>
      <c r="G4715" s="128"/>
      <c r="H4715" s="129"/>
      <c r="I4715" s="130"/>
      <c r="J4715" s="23"/>
      <c r="K4715" s="23"/>
      <c r="L4715" s="23"/>
      <c r="M4715" s="131"/>
      <c r="N4715" s="131"/>
      <c r="O4715" s="131"/>
    </row>
    <row r="4716" spans="4:15" x14ac:dyDescent="0.3">
      <c r="D4716" s="33"/>
      <c r="E4716" s="127"/>
      <c r="F4716" s="128"/>
      <c r="G4716" s="128"/>
      <c r="H4716" s="129"/>
      <c r="I4716" s="130"/>
      <c r="J4716" s="23"/>
      <c r="K4716" s="23"/>
      <c r="L4716" s="23"/>
      <c r="M4716" s="131"/>
      <c r="N4716" s="131"/>
      <c r="O4716" s="131"/>
    </row>
    <row r="4717" spans="4:15" x14ac:dyDescent="0.3">
      <c r="D4717" s="33"/>
      <c r="E4717" s="127"/>
      <c r="F4717" s="128"/>
      <c r="G4717" s="128"/>
      <c r="H4717" s="129"/>
      <c r="I4717" s="130"/>
      <c r="J4717" s="23"/>
      <c r="K4717" s="23"/>
      <c r="L4717" s="23"/>
      <c r="M4717" s="131"/>
      <c r="N4717" s="131"/>
      <c r="O4717" s="131"/>
    </row>
    <row r="4718" spans="4:15" x14ac:dyDescent="0.3">
      <c r="D4718" s="33"/>
      <c r="E4718" s="127"/>
      <c r="F4718" s="128"/>
      <c r="G4718" s="128"/>
      <c r="H4718" s="129"/>
      <c r="I4718" s="130"/>
      <c r="J4718" s="23"/>
      <c r="K4718" s="23"/>
      <c r="L4718" s="23"/>
      <c r="M4718" s="131"/>
      <c r="N4718" s="131"/>
      <c r="O4718" s="131"/>
    </row>
    <row r="4719" spans="4:15" x14ac:dyDescent="0.3">
      <c r="D4719" s="33"/>
      <c r="E4719" s="127"/>
      <c r="F4719" s="128"/>
      <c r="G4719" s="128"/>
      <c r="H4719" s="129"/>
      <c r="I4719" s="130"/>
      <c r="J4719" s="23"/>
      <c r="K4719" s="23"/>
      <c r="L4719" s="23"/>
      <c r="M4719" s="131"/>
      <c r="N4719" s="131"/>
      <c r="O4719" s="131"/>
    </row>
    <row r="4720" spans="4:15" x14ac:dyDescent="0.3">
      <c r="D4720" s="33"/>
      <c r="E4720" s="127"/>
      <c r="F4720" s="128"/>
      <c r="G4720" s="128"/>
      <c r="H4720" s="129"/>
      <c r="I4720" s="130"/>
      <c r="J4720" s="23"/>
      <c r="K4720" s="23"/>
      <c r="L4720" s="23"/>
      <c r="M4720" s="131"/>
      <c r="N4720" s="131"/>
      <c r="O4720" s="131"/>
    </row>
    <row r="4721" spans="4:15" x14ac:dyDescent="0.3">
      <c r="D4721" s="33"/>
      <c r="E4721" s="127"/>
      <c r="F4721" s="128"/>
      <c r="G4721" s="128"/>
      <c r="H4721" s="129"/>
      <c r="I4721" s="130"/>
      <c r="J4721" s="23"/>
      <c r="K4721" s="23"/>
      <c r="L4721" s="23"/>
      <c r="M4721" s="131"/>
      <c r="N4721" s="131"/>
      <c r="O4721" s="131"/>
    </row>
    <row r="4722" spans="4:15" x14ac:dyDescent="0.3">
      <c r="D4722" s="33"/>
      <c r="E4722" s="127"/>
      <c r="F4722" s="128"/>
      <c r="G4722" s="128"/>
      <c r="H4722" s="129"/>
      <c r="I4722" s="130"/>
      <c r="J4722" s="23"/>
      <c r="K4722" s="23"/>
      <c r="L4722" s="23"/>
      <c r="M4722" s="131"/>
      <c r="N4722" s="131"/>
      <c r="O4722" s="131"/>
    </row>
    <row r="4723" spans="4:15" x14ac:dyDescent="0.3">
      <c r="D4723" s="33"/>
      <c r="E4723" s="127"/>
      <c r="F4723" s="128"/>
      <c r="G4723" s="128"/>
      <c r="H4723" s="129"/>
      <c r="I4723" s="130"/>
      <c r="J4723" s="23"/>
      <c r="K4723" s="23"/>
      <c r="L4723" s="23"/>
      <c r="M4723" s="131"/>
      <c r="N4723" s="131"/>
      <c r="O4723" s="131"/>
    </row>
    <row r="4724" spans="4:15" x14ac:dyDescent="0.3">
      <c r="D4724" s="33"/>
      <c r="E4724" s="127"/>
      <c r="F4724" s="128"/>
      <c r="G4724" s="128"/>
      <c r="H4724" s="129"/>
      <c r="I4724" s="130"/>
      <c r="J4724" s="23"/>
      <c r="K4724" s="23"/>
      <c r="L4724" s="23"/>
      <c r="M4724" s="131"/>
      <c r="N4724" s="131"/>
      <c r="O4724" s="131"/>
    </row>
    <row r="4725" spans="4:15" x14ac:dyDescent="0.3">
      <c r="D4725" s="33"/>
      <c r="E4725" s="127"/>
      <c r="F4725" s="128"/>
      <c r="G4725" s="128"/>
      <c r="H4725" s="129"/>
      <c r="I4725" s="130"/>
      <c r="J4725" s="23"/>
      <c r="K4725" s="23"/>
      <c r="L4725" s="23"/>
      <c r="M4725" s="131"/>
      <c r="N4725" s="131"/>
      <c r="O4725" s="131"/>
    </row>
    <row r="4726" spans="4:15" x14ac:dyDescent="0.3">
      <c r="D4726" s="33"/>
      <c r="E4726" s="127"/>
      <c r="F4726" s="128"/>
      <c r="G4726" s="128"/>
      <c r="H4726" s="129"/>
      <c r="I4726" s="130"/>
      <c r="J4726" s="23"/>
      <c r="K4726" s="23"/>
      <c r="L4726" s="23"/>
      <c r="M4726" s="131"/>
      <c r="N4726" s="131"/>
      <c r="O4726" s="131"/>
    </row>
    <row r="4727" spans="4:15" x14ac:dyDescent="0.3">
      <c r="D4727" s="33"/>
      <c r="E4727" s="127"/>
      <c r="F4727" s="128"/>
      <c r="G4727" s="128"/>
      <c r="H4727" s="129"/>
      <c r="I4727" s="130"/>
      <c r="J4727" s="23"/>
      <c r="K4727" s="23"/>
      <c r="L4727" s="23"/>
      <c r="M4727" s="131"/>
      <c r="N4727" s="131"/>
      <c r="O4727" s="131"/>
    </row>
    <row r="4728" spans="4:15" x14ac:dyDescent="0.3">
      <c r="D4728" s="33"/>
      <c r="E4728" s="127"/>
      <c r="F4728" s="128"/>
      <c r="G4728" s="128"/>
      <c r="H4728" s="129"/>
      <c r="I4728" s="130"/>
      <c r="J4728" s="23"/>
      <c r="K4728" s="23"/>
      <c r="L4728" s="23"/>
      <c r="M4728" s="131"/>
      <c r="N4728" s="131"/>
      <c r="O4728" s="131"/>
    </row>
    <row r="4729" spans="4:15" x14ac:dyDescent="0.3">
      <c r="D4729" s="33"/>
      <c r="E4729" s="127"/>
      <c r="F4729" s="128"/>
      <c r="G4729" s="128"/>
      <c r="H4729" s="129"/>
      <c r="I4729" s="130"/>
      <c r="J4729" s="23"/>
      <c r="K4729" s="23"/>
      <c r="L4729" s="23"/>
      <c r="M4729" s="131"/>
      <c r="N4729" s="131"/>
      <c r="O4729" s="131"/>
    </row>
    <row r="4730" spans="4:15" x14ac:dyDescent="0.3">
      <c r="D4730" s="33"/>
      <c r="E4730" s="127"/>
      <c r="F4730" s="128"/>
      <c r="G4730" s="128"/>
      <c r="H4730" s="129"/>
      <c r="I4730" s="130"/>
      <c r="J4730" s="23"/>
      <c r="K4730" s="23"/>
      <c r="L4730" s="23"/>
      <c r="M4730" s="131"/>
      <c r="N4730" s="131"/>
      <c r="O4730" s="131"/>
    </row>
    <row r="4731" spans="4:15" x14ac:dyDescent="0.3">
      <c r="D4731" s="33"/>
      <c r="E4731" s="127"/>
      <c r="F4731" s="128"/>
      <c r="G4731" s="128"/>
      <c r="H4731" s="129"/>
      <c r="I4731" s="130"/>
      <c r="J4731" s="23"/>
      <c r="K4731" s="23"/>
      <c r="L4731" s="23"/>
      <c r="M4731" s="131"/>
      <c r="N4731" s="131"/>
      <c r="O4731" s="131"/>
    </row>
    <row r="4732" spans="4:15" x14ac:dyDescent="0.3">
      <c r="D4732" s="33"/>
      <c r="E4732" s="127"/>
      <c r="F4732" s="128"/>
      <c r="G4732" s="128"/>
      <c r="H4732" s="129"/>
      <c r="I4732" s="130"/>
      <c r="J4732" s="23"/>
      <c r="K4732" s="23"/>
      <c r="L4732" s="23"/>
      <c r="M4732" s="131"/>
      <c r="N4732" s="131"/>
      <c r="O4732" s="131"/>
    </row>
    <row r="4733" spans="4:15" x14ac:dyDescent="0.3">
      <c r="D4733" s="33"/>
      <c r="E4733" s="127"/>
      <c r="F4733" s="128"/>
      <c r="G4733" s="128"/>
      <c r="H4733" s="129"/>
      <c r="I4733" s="130"/>
      <c r="J4733" s="23"/>
      <c r="K4733" s="23"/>
      <c r="L4733" s="23"/>
      <c r="M4733" s="131"/>
      <c r="N4733" s="131"/>
      <c r="O4733" s="131"/>
    </row>
    <row r="4734" spans="4:15" x14ac:dyDescent="0.3">
      <c r="D4734" s="33"/>
      <c r="E4734" s="127"/>
      <c r="F4734" s="128"/>
      <c r="G4734" s="128"/>
      <c r="H4734" s="129"/>
      <c r="I4734" s="130"/>
      <c r="J4734" s="23"/>
      <c r="K4734" s="23"/>
      <c r="L4734" s="23"/>
      <c r="M4734" s="131"/>
      <c r="N4734" s="131"/>
      <c r="O4734" s="131"/>
    </row>
    <row r="4735" spans="4:15" x14ac:dyDescent="0.3">
      <c r="D4735" s="33"/>
      <c r="E4735" s="127"/>
      <c r="F4735" s="128"/>
      <c r="G4735" s="128"/>
      <c r="H4735" s="129"/>
      <c r="I4735" s="130"/>
      <c r="J4735" s="23"/>
      <c r="K4735" s="23"/>
      <c r="L4735" s="23"/>
      <c r="M4735" s="131"/>
      <c r="N4735" s="131"/>
      <c r="O4735" s="131"/>
    </row>
    <row r="4736" spans="4:15" x14ac:dyDescent="0.3">
      <c r="D4736" s="33"/>
      <c r="E4736" s="127"/>
      <c r="F4736" s="128"/>
      <c r="G4736" s="128"/>
      <c r="H4736" s="129"/>
      <c r="I4736" s="130"/>
      <c r="J4736" s="23"/>
      <c r="K4736" s="23"/>
      <c r="L4736" s="23"/>
      <c r="M4736" s="131"/>
      <c r="N4736" s="131"/>
      <c r="O4736" s="131"/>
    </row>
    <row r="4737" spans="4:15" x14ac:dyDescent="0.3">
      <c r="D4737" s="33"/>
      <c r="E4737" s="127"/>
      <c r="F4737" s="128"/>
      <c r="G4737" s="128"/>
      <c r="H4737" s="129"/>
      <c r="I4737" s="130"/>
      <c r="J4737" s="23"/>
      <c r="K4737" s="23"/>
      <c r="L4737" s="23"/>
      <c r="M4737" s="131"/>
      <c r="N4737" s="131"/>
      <c r="O4737" s="131"/>
    </row>
    <row r="4738" spans="4:15" x14ac:dyDescent="0.3">
      <c r="D4738" s="33"/>
      <c r="E4738" s="127"/>
      <c r="F4738" s="128"/>
      <c r="G4738" s="128"/>
      <c r="H4738" s="129"/>
      <c r="I4738" s="130"/>
      <c r="J4738" s="23"/>
      <c r="K4738" s="23"/>
      <c r="L4738" s="23"/>
      <c r="M4738" s="131"/>
      <c r="N4738" s="131"/>
      <c r="O4738" s="131"/>
    </row>
    <row r="4739" spans="4:15" x14ac:dyDescent="0.3">
      <c r="D4739" s="33"/>
      <c r="E4739" s="127"/>
      <c r="F4739" s="128"/>
      <c r="G4739" s="128"/>
      <c r="H4739" s="129"/>
      <c r="I4739" s="130"/>
      <c r="J4739" s="23"/>
      <c r="K4739" s="23"/>
      <c r="L4739" s="23"/>
      <c r="M4739" s="131"/>
      <c r="N4739" s="131"/>
      <c r="O4739" s="131"/>
    </row>
    <row r="4740" spans="4:15" x14ac:dyDescent="0.3">
      <c r="D4740" s="33"/>
      <c r="E4740" s="127"/>
      <c r="F4740" s="128"/>
      <c r="G4740" s="128"/>
      <c r="H4740" s="129"/>
      <c r="I4740" s="130"/>
      <c r="J4740" s="23"/>
      <c r="K4740" s="23"/>
      <c r="L4740" s="23"/>
      <c r="M4740" s="131"/>
      <c r="N4740" s="131"/>
      <c r="O4740" s="131"/>
    </row>
    <row r="4741" spans="4:15" x14ac:dyDescent="0.3">
      <c r="D4741" s="33"/>
      <c r="E4741" s="127"/>
      <c r="F4741" s="128"/>
      <c r="G4741" s="128"/>
      <c r="H4741" s="129"/>
      <c r="I4741" s="130"/>
      <c r="J4741" s="23"/>
      <c r="K4741" s="23"/>
      <c r="L4741" s="23"/>
      <c r="M4741" s="131"/>
      <c r="N4741" s="131"/>
      <c r="O4741" s="131"/>
    </row>
    <row r="4742" spans="4:15" x14ac:dyDescent="0.3">
      <c r="D4742" s="33"/>
      <c r="E4742" s="127"/>
      <c r="F4742" s="128"/>
      <c r="G4742" s="128"/>
      <c r="H4742" s="129"/>
      <c r="I4742" s="130"/>
      <c r="J4742" s="23"/>
      <c r="K4742" s="23"/>
      <c r="L4742" s="23"/>
      <c r="M4742" s="131"/>
      <c r="N4742" s="131"/>
      <c r="O4742" s="131"/>
    </row>
    <row r="4743" spans="4:15" x14ac:dyDescent="0.3">
      <c r="D4743" s="33"/>
      <c r="E4743" s="127"/>
      <c r="F4743" s="128"/>
      <c r="G4743" s="128"/>
      <c r="H4743" s="129"/>
      <c r="I4743" s="130"/>
      <c r="J4743" s="23"/>
      <c r="K4743" s="23"/>
      <c r="L4743" s="23"/>
      <c r="M4743" s="131"/>
      <c r="N4743" s="131"/>
      <c r="O4743" s="131"/>
    </row>
    <row r="4744" spans="4:15" x14ac:dyDescent="0.3">
      <c r="D4744" s="33"/>
      <c r="E4744" s="127"/>
      <c r="F4744" s="128"/>
      <c r="G4744" s="128"/>
      <c r="H4744" s="129"/>
      <c r="I4744" s="130"/>
      <c r="J4744" s="23"/>
      <c r="K4744" s="23"/>
      <c r="L4744" s="23"/>
      <c r="M4744" s="131"/>
      <c r="N4744" s="131"/>
      <c r="O4744" s="131"/>
    </row>
    <row r="4745" spans="4:15" x14ac:dyDescent="0.3">
      <c r="D4745" s="33"/>
      <c r="E4745" s="127"/>
      <c r="F4745" s="128"/>
      <c r="G4745" s="128"/>
      <c r="H4745" s="129"/>
      <c r="I4745" s="130"/>
      <c r="J4745" s="23"/>
      <c r="K4745" s="23"/>
      <c r="L4745" s="23"/>
      <c r="M4745" s="131"/>
      <c r="N4745" s="131"/>
      <c r="O4745" s="131"/>
    </row>
    <row r="4746" spans="4:15" x14ac:dyDescent="0.3">
      <c r="D4746" s="33"/>
      <c r="E4746" s="127"/>
      <c r="F4746" s="128"/>
      <c r="G4746" s="128"/>
      <c r="H4746" s="129"/>
      <c r="I4746" s="130"/>
      <c r="J4746" s="23"/>
      <c r="K4746" s="23"/>
      <c r="L4746" s="23"/>
      <c r="M4746" s="131"/>
      <c r="N4746" s="131"/>
      <c r="O4746" s="131"/>
    </row>
    <row r="4747" spans="4:15" x14ac:dyDescent="0.3">
      <c r="D4747" s="33"/>
      <c r="E4747" s="127"/>
      <c r="F4747" s="128"/>
      <c r="G4747" s="128"/>
      <c r="H4747" s="129"/>
      <c r="I4747" s="130"/>
      <c r="J4747" s="23"/>
      <c r="K4747" s="23"/>
      <c r="L4747" s="23"/>
      <c r="M4747" s="131"/>
      <c r="N4747" s="131"/>
      <c r="O4747" s="131"/>
    </row>
    <row r="4748" spans="4:15" x14ac:dyDescent="0.3">
      <c r="D4748" s="33"/>
      <c r="E4748" s="127"/>
      <c r="F4748" s="128"/>
      <c r="G4748" s="128"/>
      <c r="H4748" s="129"/>
      <c r="I4748" s="130"/>
      <c r="J4748" s="23"/>
      <c r="K4748" s="23"/>
      <c r="L4748" s="23"/>
      <c r="M4748" s="131"/>
      <c r="N4748" s="131"/>
      <c r="O4748" s="131"/>
    </row>
    <row r="4749" spans="4:15" x14ac:dyDescent="0.3">
      <c r="D4749" s="33"/>
      <c r="E4749" s="127"/>
      <c r="F4749" s="128"/>
      <c r="G4749" s="128"/>
      <c r="H4749" s="129"/>
      <c r="I4749" s="130"/>
      <c r="J4749" s="23"/>
      <c r="K4749" s="23"/>
      <c r="L4749" s="23"/>
      <c r="M4749" s="131"/>
      <c r="N4749" s="131"/>
      <c r="O4749" s="131"/>
    </row>
    <row r="4750" spans="4:15" x14ac:dyDescent="0.3">
      <c r="D4750" s="33"/>
      <c r="E4750" s="127"/>
      <c r="F4750" s="128"/>
      <c r="G4750" s="128"/>
      <c r="H4750" s="129"/>
      <c r="I4750" s="130"/>
      <c r="J4750" s="23"/>
      <c r="K4750" s="23"/>
      <c r="L4750" s="23"/>
      <c r="M4750" s="131"/>
      <c r="N4750" s="131"/>
      <c r="O4750" s="131"/>
    </row>
    <row r="4751" spans="4:15" x14ac:dyDescent="0.3">
      <c r="D4751" s="33"/>
      <c r="E4751" s="127"/>
      <c r="F4751" s="128"/>
      <c r="G4751" s="128"/>
      <c r="H4751" s="129"/>
      <c r="I4751" s="130"/>
      <c r="J4751" s="23"/>
      <c r="K4751" s="23"/>
      <c r="L4751" s="23"/>
      <c r="M4751" s="131"/>
      <c r="N4751" s="131"/>
      <c r="O4751" s="131"/>
    </row>
    <row r="4752" spans="4:15" x14ac:dyDescent="0.3">
      <c r="D4752" s="33"/>
      <c r="E4752" s="127"/>
      <c r="F4752" s="128"/>
      <c r="G4752" s="128"/>
      <c r="H4752" s="129"/>
      <c r="I4752" s="130"/>
      <c r="J4752" s="23"/>
      <c r="K4752" s="23"/>
      <c r="L4752" s="23"/>
      <c r="M4752" s="131"/>
      <c r="N4752" s="131"/>
      <c r="O4752" s="131"/>
    </row>
    <row r="4753" spans="4:15" x14ac:dyDescent="0.3">
      <c r="D4753" s="33"/>
      <c r="E4753" s="127"/>
      <c r="F4753" s="128"/>
      <c r="G4753" s="128"/>
      <c r="H4753" s="129"/>
      <c r="I4753" s="130"/>
      <c r="J4753" s="23"/>
      <c r="K4753" s="23"/>
      <c r="L4753" s="23"/>
      <c r="M4753" s="131"/>
      <c r="N4753" s="131"/>
      <c r="O4753" s="131"/>
    </row>
    <row r="4754" spans="4:15" x14ac:dyDescent="0.3">
      <c r="D4754" s="33"/>
      <c r="E4754" s="127"/>
      <c r="F4754" s="128"/>
      <c r="G4754" s="128"/>
      <c r="H4754" s="129"/>
      <c r="I4754" s="130"/>
      <c r="J4754" s="23"/>
      <c r="K4754" s="23"/>
      <c r="L4754" s="23"/>
      <c r="M4754" s="131"/>
      <c r="N4754" s="131"/>
      <c r="O4754" s="131"/>
    </row>
    <row r="4755" spans="4:15" x14ac:dyDescent="0.3">
      <c r="D4755" s="33"/>
      <c r="E4755" s="127"/>
      <c r="F4755" s="128"/>
      <c r="G4755" s="128"/>
      <c r="H4755" s="129"/>
      <c r="I4755" s="130"/>
      <c r="J4755" s="23"/>
      <c r="K4755" s="23"/>
      <c r="L4755" s="23"/>
      <c r="M4755" s="131"/>
      <c r="N4755" s="131"/>
      <c r="O4755" s="131"/>
    </row>
    <row r="4756" spans="4:15" x14ac:dyDescent="0.3">
      <c r="D4756" s="33"/>
      <c r="E4756" s="127"/>
      <c r="F4756" s="128"/>
      <c r="G4756" s="128"/>
      <c r="H4756" s="129"/>
      <c r="I4756" s="130"/>
      <c r="J4756" s="23"/>
      <c r="K4756" s="23"/>
      <c r="L4756" s="23"/>
      <c r="M4756" s="131"/>
      <c r="N4756" s="131"/>
      <c r="O4756" s="131"/>
    </row>
    <row r="4757" spans="4:15" x14ac:dyDescent="0.3">
      <c r="D4757" s="33"/>
      <c r="E4757" s="127"/>
      <c r="F4757" s="128"/>
      <c r="G4757" s="128"/>
      <c r="H4757" s="129"/>
      <c r="I4757" s="130"/>
      <c r="J4757" s="23"/>
      <c r="K4757" s="23"/>
      <c r="L4757" s="23"/>
      <c r="M4757" s="131"/>
      <c r="N4757" s="131"/>
      <c r="O4757" s="131"/>
    </row>
    <row r="4758" spans="4:15" x14ac:dyDescent="0.3">
      <c r="D4758" s="33"/>
      <c r="E4758" s="127"/>
      <c r="F4758" s="128"/>
      <c r="G4758" s="128"/>
      <c r="H4758" s="129"/>
      <c r="I4758" s="130"/>
      <c r="J4758" s="23"/>
      <c r="K4758" s="23"/>
      <c r="L4758" s="23"/>
      <c r="M4758" s="131"/>
      <c r="N4758" s="131"/>
      <c r="O4758" s="131"/>
    </row>
    <row r="4759" spans="4:15" x14ac:dyDescent="0.3">
      <c r="D4759" s="33"/>
      <c r="E4759" s="127"/>
      <c r="F4759" s="128"/>
      <c r="G4759" s="128"/>
      <c r="H4759" s="129"/>
      <c r="I4759" s="130"/>
      <c r="J4759" s="23"/>
      <c r="K4759" s="23"/>
      <c r="L4759" s="23"/>
      <c r="M4759" s="131"/>
      <c r="N4759" s="131"/>
      <c r="O4759" s="131"/>
    </row>
    <row r="4760" spans="4:15" x14ac:dyDescent="0.3">
      <c r="D4760" s="33"/>
      <c r="E4760" s="127"/>
      <c r="F4760" s="128"/>
      <c r="G4760" s="128"/>
      <c r="H4760" s="129"/>
      <c r="I4760" s="130"/>
      <c r="J4760" s="23"/>
      <c r="K4760" s="23"/>
      <c r="L4760" s="23"/>
      <c r="M4760" s="131"/>
      <c r="N4760" s="131"/>
      <c r="O4760" s="131"/>
    </row>
    <row r="4761" spans="4:15" x14ac:dyDescent="0.3">
      <c r="D4761" s="33"/>
      <c r="E4761" s="127"/>
      <c r="F4761" s="128"/>
      <c r="G4761" s="128"/>
      <c r="H4761" s="129"/>
      <c r="I4761" s="130"/>
      <c r="J4761" s="23"/>
      <c r="K4761" s="23"/>
      <c r="L4761" s="23"/>
      <c r="M4761" s="131"/>
      <c r="N4761" s="131"/>
      <c r="O4761" s="131"/>
    </row>
    <row r="4762" spans="4:15" x14ac:dyDescent="0.3">
      <c r="D4762" s="33"/>
      <c r="E4762" s="127"/>
      <c r="F4762" s="128"/>
      <c r="G4762" s="128"/>
      <c r="H4762" s="129"/>
      <c r="I4762" s="130"/>
      <c r="J4762" s="23"/>
      <c r="K4762" s="23"/>
      <c r="L4762" s="23"/>
      <c r="M4762" s="131"/>
      <c r="N4762" s="131"/>
      <c r="O4762" s="131"/>
    </row>
    <row r="4763" spans="4:15" x14ac:dyDescent="0.3">
      <c r="D4763" s="33"/>
      <c r="E4763" s="127"/>
      <c r="F4763" s="128"/>
      <c r="G4763" s="128"/>
      <c r="H4763" s="129"/>
      <c r="I4763" s="130"/>
      <c r="J4763" s="23"/>
      <c r="K4763" s="23"/>
      <c r="L4763" s="23"/>
      <c r="M4763" s="131"/>
      <c r="N4763" s="131"/>
      <c r="O4763" s="131"/>
    </row>
    <row r="4764" spans="4:15" x14ac:dyDescent="0.3">
      <c r="D4764" s="33"/>
      <c r="E4764" s="127"/>
      <c r="F4764" s="128"/>
      <c r="G4764" s="128"/>
      <c r="H4764" s="129"/>
      <c r="I4764" s="130"/>
      <c r="J4764" s="23"/>
      <c r="K4764" s="23"/>
      <c r="L4764" s="23"/>
      <c r="M4764" s="131"/>
      <c r="N4764" s="131"/>
      <c r="O4764" s="131"/>
    </row>
    <row r="4765" spans="4:15" x14ac:dyDescent="0.3">
      <c r="D4765" s="33"/>
      <c r="E4765" s="127"/>
      <c r="F4765" s="128"/>
      <c r="G4765" s="128"/>
      <c r="H4765" s="129"/>
      <c r="I4765" s="130"/>
      <c r="J4765" s="23"/>
      <c r="K4765" s="23"/>
      <c r="L4765" s="23"/>
      <c r="M4765" s="131"/>
      <c r="N4765" s="131"/>
      <c r="O4765" s="131"/>
    </row>
    <row r="4766" spans="4:15" x14ac:dyDescent="0.3">
      <c r="D4766" s="33"/>
      <c r="E4766" s="127"/>
      <c r="F4766" s="128"/>
      <c r="G4766" s="128"/>
      <c r="H4766" s="129"/>
      <c r="I4766" s="130"/>
      <c r="J4766" s="23"/>
      <c r="K4766" s="23"/>
      <c r="L4766" s="23"/>
      <c r="M4766" s="131"/>
      <c r="N4766" s="131"/>
      <c r="O4766" s="131"/>
    </row>
    <row r="4767" spans="4:15" x14ac:dyDescent="0.3">
      <c r="D4767" s="33"/>
      <c r="E4767" s="127"/>
      <c r="F4767" s="128"/>
      <c r="G4767" s="128"/>
      <c r="H4767" s="129"/>
      <c r="I4767" s="130"/>
      <c r="J4767" s="23"/>
      <c r="K4767" s="23"/>
      <c r="L4767" s="23"/>
      <c r="M4767" s="131"/>
      <c r="N4767" s="131"/>
      <c r="O4767" s="131"/>
    </row>
    <row r="4768" spans="4:15" x14ac:dyDescent="0.3">
      <c r="D4768" s="33"/>
      <c r="E4768" s="127"/>
      <c r="F4768" s="128"/>
      <c r="G4768" s="128"/>
      <c r="H4768" s="129"/>
      <c r="I4768" s="130"/>
      <c r="J4768" s="23"/>
      <c r="K4768" s="23"/>
      <c r="L4768" s="23"/>
      <c r="M4768" s="131"/>
      <c r="N4768" s="131"/>
      <c r="O4768" s="131"/>
    </row>
    <row r="4769" spans="4:15" x14ac:dyDescent="0.3">
      <c r="D4769" s="33"/>
      <c r="E4769" s="127"/>
      <c r="F4769" s="128"/>
      <c r="G4769" s="128"/>
      <c r="H4769" s="129"/>
      <c r="I4769" s="130"/>
      <c r="J4769" s="23"/>
      <c r="K4769" s="23"/>
      <c r="L4769" s="23"/>
      <c r="M4769" s="131"/>
      <c r="N4769" s="131"/>
      <c r="O4769" s="131"/>
    </row>
    <row r="4770" spans="4:15" x14ac:dyDescent="0.3">
      <c r="D4770" s="33"/>
      <c r="E4770" s="127"/>
      <c r="F4770" s="128"/>
      <c r="G4770" s="128"/>
      <c r="H4770" s="129"/>
      <c r="I4770" s="130"/>
      <c r="J4770" s="23"/>
      <c r="K4770" s="23"/>
      <c r="L4770" s="23"/>
      <c r="M4770" s="131"/>
      <c r="N4770" s="131"/>
      <c r="O4770" s="131"/>
    </row>
    <row r="4771" spans="4:15" x14ac:dyDescent="0.3">
      <c r="D4771" s="33"/>
      <c r="E4771" s="127"/>
      <c r="F4771" s="128"/>
      <c r="G4771" s="128"/>
      <c r="H4771" s="129"/>
      <c r="I4771" s="130"/>
      <c r="J4771" s="23"/>
      <c r="K4771" s="23"/>
      <c r="L4771" s="23"/>
      <c r="M4771" s="131"/>
      <c r="N4771" s="131"/>
      <c r="O4771" s="131"/>
    </row>
    <row r="4772" spans="4:15" x14ac:dyDescent="0.3">
      <c r="D4772" s="33"/>
      <c r="E4772" s="127"/>
      <c r="F4772" s="128"/>
      <c r="G4772" s="128"/>
      <c r="H4772" s="129"/>
      <c r="I4772" s="130"/>
      <c r="J4772" s="23"/>
      <c r="K4772" s="23"/>
      <c r="L4772" s="23"/>
      <c r="M4772" s="131"/>
      <c r="N4772" s="131"/>
      <c r="O4772" s="131"/>
    </row>
    <row r="4773" spans="4:15" x14ac:dyDescent="0.3">
      <c r="D4773" s="33"/>
      <c r="E4773" s="127"/>
      <c r="F4773" s="128"/>
      <c r="G4773" s="128"/>
      <c r="H4773" s="129"/>
      <c r="I4773" s="130"/>
      <c r="J4773" s="23"/>
      <c r="K4773" s="23"/>
      <c r="L4773" s="23"/>
      <c r="M4773" s="131"/>
      <c r="N4773" s="131"/>
      <c r="O4773" s="131"/>
    </row>
    <row r="4774" spans="4:15" x14ac:dyDescent="0.3">
      <c r="D4774" s="33"/>
      <c r="E4774" s="127"/>
      <c r="F4774" s="128"/>
      <c r="G4774" s="128"/>
      <c r="H4774" s="129"/>
      <c r="I4774" s="130"/>
      <c r="J4774" s="23"/>
      <c r="K4774" s="23"/>
      <c r="L4774" s="23"/>
      <c r="M4774" s="131"/>
      <c r="N4774" s="131"/>
      <c r="O4774" s="131"/>
    </row>
    <row r="4775" spans="4:15" x14ac:dyDescent="0.3">
      <c r="D4775" s="33"/>
      <c r="E4775" s="127"/>
      <c r="F4775" s="128"/>
      <c r="G4775" s="128"/>
      <c r="H4775" s="129"/>
      <c r="I4775" s="130"/>
      <c r="J4775" s="23"/>
      <c r="K4775" s="23"/>
      <c r="L4775" s="23"/>
      <c r="M4775" s="131"/>
      <c r="N4775" s="131"/>
      <c r="O4775" s="131"/>
    </row>
    <row r="4776" spans="4:15" x14ac:dyDescent="0.3">
      <c r="D4776" s="33"/>
      <c r="E4776" s="127"/>
      <c r="F4776" s="128"/>
      <c r="G4776" s="128"/>
      <c r="H4776" s="129"/>
      <c r="I4776" s="130"/>
      <c r="J4776" s="23"/>
      <c r="K4776" s="23"/>
      <c r="L4776" s="23"/>
      <c r="M4776" s="131"/>
      <c r="N4776" s="131"/>
      <c r="O4776" s="131"/>
    </row>
    <row r="4777" spans="4:15" x14ac:dyDescent="0.3">
      <c r="D4777" s="33"/>
      <c r="E4777" s="127"/>
      <c r="F4777" s="128"/>
      <c r="G4777" s="128"/>
      <c r="H4777" s="129"/>
      <c r="I4777" s="130"/>
      <c r="J4777" s="23"/>
      <c r="K4777" s="23"/>
      <c r="L4777" s="23"/>
      <c r="M4777" s="131"/>
      <c r="N4777" s="131"/>
      <c r="O4777" s="131"/>
    </row>
    <row r="4778" spans="4:15" x14ac:dyDescent="0.3">
      <c r="D4778" s="33"/>
      <c r="E4778" s="127"/>
      <c r="F4778" s="128"/>
      <c r="G4778" s="128"/>
      <c r="H4778" s="129"/>
      <c r="I4778" s="130"/>
      <c r="J4778" s="23"/>
      <c r="K4778" s="23"/>
      <c r="L4778" s="23"/>
      <c r="M4778" s="131"/>
      <c r="N4778" s="131"/>
      <c r="O4778" s="131"/>
    </row>
    <row r="4779" spans="4:15" x14ac:dyDescent="0.3">
      <c r="D4779" s="33"/>
      <c r="E4779" s="127"/>
      <c r="F4779" s="128"/>
      <c r="G4779" s="128"/>
      <c r="H4779" s="129"/>
      <c r="I4779" s="130"/>
      <c r="J4779" s="23"/>
      <c r="K4779" s="23"/>
      <c r="L4779" s="23"/>
      <c r="M4779" s="131"/>
      <c r="N4779" s="131"/>
      <c r="O4779" s="131"/>
    </row>
    <row r="4780" spans="4:15" x14ac:dyDescent="0.3">
      <c r="D4780" s="33"/>
      <c r="E4780" s="127"/>
      <c r="F4780" s="128"/>
      <c r="G4780" s="128"/>
      <c r="H4780" s="129"/>
      <c r="I4780" s="130"/>
      <c r="J4780" s="23"/>
      <c r="K4780" s="23"/>
      <c r="L4780" s="23"/>
      <c r="M4780" s="131"/>
      <c r="N4780" s="131"/>
      <c r="O4780" s="131"/>
    </row>
    <row r="4781" spans="4:15" x14ac:dyDescent="0.3">
      <c r="D4781" s="33"/>
      <c r="E4781" s="127"/>
      <c r="F4781" s="128"/>
      <c r="G4781" s="128"/>
      <c r="H4781" s="129"/>
      <c r="I4781" s="130"/>
      <c r="J4781" s="23"/>
      <c r="K4781" s="23"/>
      <c r="L4781" s="23"/>
      <c r="M4781" s="131"/>
      <c r="N4781" s="131"/>
      <c r="O4781" s="131"/>
    </row>
    <row r="4782" spans="4:15" x14ac:dyDescent="0.3">
      <c r="D4782" s="33"/>
      <c r="E4782" s="127"/>
      <c r="F4782" s="128"/>
      <c r="G4782" s="128"/>
      <c r="H4782" s="129"/>
      <c r="I4782" s="130"/>
      <c r="J4782" s="23"/>
      <c r="K4782" s="23"/>
      <c r="L4782" s="23"/>
      <c r="M4782" s="131"/>
      <c r="N4782" s="131"/>
      <c r="O4782" s="131"/>
    </row>
    <row r="4783" spans="4:15" x14ac:dyDescent="0.3">
      <c r="D4783" s="33"/>
      <c r="E4783" s="127"/>
      <c r="F4783" s="128"/>
      <c r="G4783" s="128"/>
      <c r="H4783" s="129"/>
      <c r="I4783" s="130"/>
      <c r="J4783" s="23"/>
      <c r="K4783" s="23"/>
      <c r="L4783" s="23"/>
      <c r="M4783" s="131"/>
      <c r="N4783" s="131"/>
      <c r="O4783" s="131"/>
    </row>
    <row r="4784" spans="4:15" x14ac:dyDescent="0.3">
      <c r="D4784" s="33"/>
      <c r="E4784" s="127"/>
      <c r="F4784" s="128"/>
      <c r="G4784" s="128"/>
      <c r="H4784" s="129"/>
      <c r="I4784" s="130"/>
      <c r="J4784" s="23"/>
      <c r="K4784" s="23"/>
      <c r="L4784" s="23"/>
      <c r="M4784" s="131"/>
      <c r="N4784" s="131"/>
      <c r="O4784" s="131"/>
    </row>
    <row r="4785" spans="4:15" x14ac:dyDescent="0.3">
      <c r="D4785" s="33"/>
      <c r="E4785" s="127"/>
      <c r="F4785" s="128"/>
      <c r="G4785" s="128"/>
      <c r="H4785" s="129"/>
      <c r="I4785" s="130"/>
      <c r="J4785" s="23"/>
      <c r="K4785" s="23"/>
      <c r="L4785" s="23"/>
      <c r="M4785" s="131"/>
      <c r="N4785" s="131"/>
      <c r="O4785" s="131"/>
    </row>
    <row r="4786" spans="4:15" x14ac:dyDescent="0.3">
      <c r="D4786" s="33"/>
      <c r="E4786" s="127"/>
      <c r="F4786" s="128"/>
      <c r="G4786" s="128"/>
      <c r="H4786" s="129"/>
      <c r="I4786" s="130"/>
      <c r="J4786" s="23"/>
      <c r="K4786" s="23"/>
      <c r="L4786" s="23"/>
      <c r="M4786" s="131"/>
      <c r="N4786" s="131"/>
      <c r="O4786" s="131"/>
    </row>
    <row r="4787" spans="4:15" x14ac:dyDescent="0.3">
      <c r="D4787" s="33"/>
      <c r="E4787" s="127"/>
      <c r="F4787" s="128"/>
      <c r="G4787" s="128"/>
      <c r="H4787" s="129"/>
      <c r="I4787" s="130"/>
      <c r="J4787" s="23"/>
      <c r="K4787" s="23"/>
      <c r="L4787" s="23"/>
      <c r="M4787" s="131"/>
      <c r="N4787" s="131"/>
      <c r="O4787" s="131"/>
    </row>
    <row r="4788" spans="4:15" x14ac:dyDescent="0.3">
      <c r="D4788" s="33"/>
      <c r="E4788" s="127"/>
      <c r="F4788" s="128"/>
      <c r="G4788" s="128"/>
      <c r="H4788" s="129"/>
      <c r="I4788" s="130"/>
      <c r="J4788" s="23"/>
      <c r="K4788" s="23"/>
      <c r="L4788" s="23"/>
      <c r="M4788" s="131"/>
      <c r="N4788" s="131"/>
      <c r="O4788" s="131"/>
    </row>
    <row r="4789" spans="4:15" x14ac:dyDescent="0.3">
      <c r="D4789" s="33"/>
      <c r="E4789" s="127"/>
      <c r="F4789" s="128"/>
      <c r="G4789" s="128"/>
      <c r="H4789" s="129"/>
      <c r="I4789" s="130"/>
      <c r="J4789" s="23"/>
      <c r="K4789" s="23"/>
      <c r="L4789" s="23"/>
      <c r="M4789" s="131"/>
      <c r="N4789" s="131"/>
      <c r="O4789" s="131"/>
    </row>
    <row r="4790" spans="4:15" x14ac:dyDescent="0.3">
      <c r="D4790" s="33"/>
      <c r="E4790" s="127"/>
      <c r="F4790" s="128"/>
      <c r="G4790" s="128"/>
      <c r="H4790" s="129"/>
      <c r="I4790" s="130"/>
      <c r="J4790" s="23"/>
      <c r="K4790" s="23"/>
      <c r="L4790" s="23"/>
      <c r="M4790" s="131"/>
      <c r="N4790" s="131"/>
      <c r="O4790" s="131"/>
    </row>
    <row r="4791" spans="4:15" x14ac:dyDescent="0.3">
      <c r="D4791" s="33"/>
      <c r="E4791" s="127"/>
      <c r="F4791" s="128"/>
      <c r="G4791" s="128"/>
      <c r="H4791" s="129"/>
      <c r="I4791" s="130"/>
      <c r="J4791" s="23"/>
      <c r="K4791" s="23"/>
      <c r="L4791" s="23"/>
      <c r="M4791" s="131"/>
      <c r="N4791" s="131"/>
      <c r="O4791" s="131"/>
    </row>
    <row r="4792" spans="4:15" x14ac:dyDescent="0.3">
      <c r="D4792" s="33"/>
      <c r="E4792" s="127"/>
      <c r="F4792" s="128"/>
      <c r="G4792" s="128"/>
      <c r="H4792" s="129"/>
      <c r="I4792" s="130"/>
      <c r="J4792" s="23"/>
      <c r="K4792" s="23"/>
      <c r="L4792" s="23"/>
      <c r="M4792" s="131"/>
      <c r="N4792" s="131"/>
      <c r="O4792" s="131"/>
    </row>
    <row r="4793" spans="4:15" x14ac:dyDescent="0.3">
      <c r="D4793" s="33"/>
      <c r="E4793" s="127"/>
      <c r="F4793" s="128"/>
      <c r="G4793" s="128"/>
      <c r="H4793" s="129"/>
      <c r="I4793" s="130"/>
      <c r="J4793" s="23"/>
      <c r="K4793" s="23"/>
      <c r="L4793" s="23"/>
      <c r="M4793" s="131"/>
      <c r="N4793" s="131"/>
      <c r="O4793" s="131"/>
    </row>
    <row r="4794" spans="4:15" x14ac:dyDescent="0.3">
      <c r="D4794" s="33"/>
      <c r="E4794" s="127"/>
      <c r="F4794" s="128"/>
      <c r="G4794" s="128"/>
      <c r="H4794" s="129"/>
      <c r="I4794" s="130"/>
      <c r="J4794" s="23"/>
      <c r="K4794" s="23"/>
      <c r="L4794" s="23"/>
      <c r="M4794" s="131"/>
      <c r="N4794" s="131"/>
      <c r="O4794" s="131"/>
    </row>
    <row r="4795" spans="4:15" x14ac:dyDescent="0.3">
      <c r="D4795" s="33"/>
      <c r="E4795" s="127"/>
      <c r="F4795" s="128"/>
      <c r="G4795" s="128"/>
      <c r="H4795" s="129"/>
      <c r="I4795" s="130"/>
      <c r="J4795" s="23"/>
      <c r="K4795" s="23"/>
      <c r="L4795" s="23"/>
      <c r="M4795" s="131"/>
      <c r="N4795" s="131"/>
      <c r="O4795" s="131"/>
    </row>
    <row r="4796" spans="4:15" x14ac:dyDescent="0.3">
      <c r="D4796" s="33"/>
      <c r="E4796" s="127"/>
      <c r="F4796" s="128"/>
      <c r="G4796" s="128"/>
      <c r="H4796" s="129"/>
      <c r="I4796" s="130"/>
      <c r="J4796" s="23"/>
      <c r="K4796" s="23"/>
      <c r="L4796" s="23"/>
      <c r="M4796" s="131"/>
      <c r="N4796" s="131"/>
      <c r="O4796" s="131"/>
    </row>
    <row r="4797" spans="4:15" x14ac:dyDescent="0.3">
      <c r="D4797" s="33"/>
      <c r="E4797" s="127"/>
      <c r="F4797" s="128"/>
      <c r="G4797" s="128"/>
      <c r="H4797" s="129"/>
      <c r="I4797" s="130"/>
      <c r="J4797" s="23"/>
      <c r="K4797" s="23"/>
      <c r="L4797" s="23"/>
      <c r="M4797" s="131"/>
      <c r="N4797" s="131"/>
      <c r="O4797" s="131"/>
    </row>
    <row r="4798" spans="4:15" x14ac:dyDescent="0.3">
      <c r="D4798" s="33"/>
      <c r="E4798" s="127"/>
      <c r="F4798" s="128"/>
      <c r="G4798" s="128"/>
      <c r="H4798" s="129"/>
      <c r="I4798" s="130"/>
      <c r="J4798" s="23"/>
      <c r="K4798" s="23"/>
      <c r="L4798" s="23"/>
      <c r="M4798" s="131"/>
      <c r="N4798" s="131"/>
      <c r="O4798" s="131"/>
    </row>
    <row r="4799" spans="4:15" x14ac:dyDescent="0.3">
      <c r="D4799" s="33"/>
      <c r="E4799" s="127"/>
      <c r="F4799" s="128"/>
      <c r="G4799" s="128"/>
      <c r="H4799" s="129"/>
      <c r="I4799" s="130"/>
      <c r="J4799" s="23"/>
      <c r="K4799" s="23"/>
      <c r="L4799" s="23"/>
      <c r="M4799" s="131"/>
      <c r="N4799" s="131"/>
      <c r="O4799" s="131"/>
    </row>
    <row r="4800" spans="4:15" x14ac:dyDescent="0.3">
      <c r="D4800" s="33"/>
      <c r="E4800" s="127"/>
      <c r="F4800" s="128"/>
      <c r="G4800" s="128"/>
      <c r="H4800" s="129"/>
      <c r="I4800" s="130"/>
      <c r="J4800" s="23"/>
      <c r="K4800" s="23"/>
      <c r="L4800" s="23"/>
      <c r="M4800" s="131"/>
      <c r="N4800" s="131"/>
      <c r="O4800" s="131"/>
    </row>
    <row r="4801" spans="4:15" x14ac:dyDescent="0.3">
      <c r="D4801" s="33"/>
      <c r="E4801" s="127"/>
      <c r="F4801" s="128"/>
      <c r="G4801" s="128"/>
      <c r="H4801" s="129"/>
      <c r="I4801" s="130"/>
      <c r="J4801" s="23"/>
      <c r="K4801" s="23"/>
      <c r="L4801" s="23"/>
      <c r="M4801" s="131"/>
      <c r="N4801" s="131"/>
      <c r="O4801" s="131"/>
    </row>
    <row r="4802" spans="4:15" x14ac:dyDescent="0.3">
      <c r="D4802" s="33"/>
      <c r="E4802" s="127"/>
      <c r="F4802" s="128"/>
      <c r="G4802" s="128"/>
      <c r="H4802" s="129"/>
      <c r="I4802" s="130"/>
      <c r="J4802" s="23"/>
      <c r="K4802" s="23"/>
      <c r="L4802" s="23"/>
      <c r="M4802" s="131"/>
      <c r="N4802" s="131"/>
      <c r="O4802" s="131"/>
    </row>
    <row r="4803" spans="4:15" x14ac:dyDescent="0.3">
      <c r="D4803" s="33"/>
      <c r="E4803" s="127"/>
      <c r="F4803" s="128"/>
      <c r="G4803" s="128"/>
      <c r="H4803" s="129"/>
      <c r="I4803" s="130"/>
      <c r="J4803" s="23"/>
      <c r="K4803" s="23"/>
      <c r="L4803" s="23"/>
      <c r="M4803" s="131"/>
      <c r="N4803" s="131"/>
      <c r="O4803" s="131"/>
    </row>
    <row r="4804" spans="4:15" x14ac:dyDescent="0.3">
      <c r="D4804" s="33"/>
      <c r="E4804" s="127"/>
      <c r="F4804" s="128"/>
      <c r="G4804" s="128"/>
      <c r="H4804" s="129"/>
      <c r="I4804" s="130"/>
      <c r="J4804" s="23"/>
      <c r="K4804" s="23"/>
      <c r="L4804" s="23"/>
      <c r="M4804" s="131"/>
      <c r="N4804" s="131"/>
      <c r="O4804" s="131"/>
    </row>
    <row r="4805" spans="4:15" x14ac:dyDescent="0.3">
      <c r="D4805" s="33"/>
      <c r="E4805" s="127"/>
      <c r="F4805" s="128"/>
      <c r="G4805" s="128"/>
      <c r="H4805" s="129"/>
      <c r="I4805" s="130"/>
      <c r="J4805" s="23"/>
      <c r="K4805" s="23"/>
      <c r="L4805" s="23"/>
      <c r="M4805" s="131"/>
      <c r="N4805" s="131"/>
      <c r="O4805" s="131"/>
    </row>
    <row r="4806" spans="4:15" x14ac:dyDescent="0.3">
      <c r="D4806" s="33"/>
      <c r="E4806" s="127"/>
      <c r="F4806" s="128"/>
      <c r="G4806" s="128"/>
      <c r="H4806" s="129"/>
      <c r="I4806" s="130"/>
      <c r="J4806" s="23"/>
      <c r="K4806" s="23"/>
      <c r="L4806" s="23"/>
      <c r="M4806" s="131"/>
      <c r="N4806" s="131"/>
      <c r="O4806" s="131"/>
    </row>
    <row r="4807" spans="4:15" x14ac:dyDescent="0.3">
      <c r="D4807" s="33"/>
      <c r="E4807" s="127"/>
      <c r="F4807" s="128"/>
      <c r="G4807" s="128"/>
      <c r="H4807" s="129"/>
      <c r="I4807" s="130"/>
      <c r="J4807" s="23"/>
      <c r="K4807" s="23"/>
      <c r="L4807" s="23"/>
      <c r="M4807" s="131"/>
      <c r="N4807" s="131"/>
      <c r="O4807" s="131"/>
    </row>
    <row r="4808" spans="4:15" x14ac:dyDescent="0.3">
      <c r="D4808" s="33"/>
      <c r="E4808" s="127"/>
      <c r="F4808" s="128"/>
      <c r="G4808" s="128"/>
      <c r="H4808" s="129"/>
      <c r="I4808" s="130"/>
      <c r="J4808" s="23"/>
      <c r="K4808" s="23"/>
      <c r="L4808" s="23"/>
      <c r="M4808" s="131"/>
      <c r="N4808" s="131"/>
      <c r="O4808" s="131"/>
    </row>
    <row r="4809" spans="4:15" x14ac:dyDescent="0.3">
      <c r="D4809" s="33"/>
      <c r="E4809" s="127"/>
      <c r="F4809" s="128"/>
      <c r="G4809" s="128"/>
      <c r="H4809" s="129"/>
      <c r="I4809" s="130"/>
      <c r="J4809" s="23"/>
      <c r="K4809" s="23"/>
      <c r="L4809" s="23"/>
      <c r="M4809" s="131"/>
      <c r="N4809" s="131"/>
      <c r="O4809" s="131"/>
    </row>
    <row r="4810" spans="4:15" x14ac:dyDescent="0.3">
      <c r="D4810" s="33"/>
      <c r="E4810" s="127"/>
      <c r="F4810" s="128"/>
      <c r="G4810" s="128"/>
      <c r="H4810" s="129"/>
      <c r="I4810" s="130"/>
      <c r="J4810" s="23"/>
      <c r="K4810" s="23"/>
      <c r="L4810" s="23"/>
      <c r="M4810" s="131"/>
      <c r="N4810" s="131"/>
      <c r="O4810" s="131"/>
    </row>
    <row r="4811" spans="4:15" x14ac:dyDescent="0.3">
      <c r="D4811" s="33"/>
      <c r="E4811" s="127"/>
      <c r="F4811" s="128"/>
      <c r="G4811" s="128"/>
      <c r="H4811" s="129"/>
      <c r="I4811" s="130"/>
      <c r="J4811" s="23"/>
      <c r="K4811" s="23"/>
      <c r="L4811" s="23"/>
      <c r="M4811" s="131"/>
      <c r="N4811" s="131"/>
      <c r="O4811" s="131"/>
    </row>
    <row r="4812" spans="4:15" x14ac:dyDescent="0.3">
      <c r="D4812" s="33"/>
      <c r="E4812" s="127"/>
      <c r="F4812" s="128"/>
      <c r="G4812" s="128"/>
      <c r="H4812" s="129"/>
      <c r="I4812" s="130"/>
      <c r="J4812" s="23"/>
      <c r="K4812" s="23"/>
      <c r="L4812" s="23"/>
      <c r="M4812" s="131"/>
      <c r="N4812" s="131"/>
      <c r="O4812" s="131"/>
    </row>
    <row r="4813" spans="4:15" x14ac:dyDescent="0.3">
      <c r="D4813" s="33"/>
      <c r="E4813" s="127"/>
      <c r="F4813" s="128"/>
      <c r="G4813" s="128"/>
      <c r="H4813" s="129"/>
      <c r="I4813" s="130"/>
      <c r="J4813" s="23"/>
      <c r="K4813" s="23"/>
      <c r="L4813" s="23"/>
      <c r="M4813" s="131"/>
      <c r="N4813" s="131"/>
      <c r="O4813" s="131"/>
    </row>
    <row r="4814" spans="4:15" x14ac:dyDescent="0.3">
      <c r="D4814" s="33"/>
      <c r="E4814" s="127"/>
      <c r="F4814" s="128"/>
      <c r="G4814" s="128"/>
      <c r="H4814" s="129"/>
      <c r="I4814" s="130"/>
      <c r="J4814" s="23"/>
      <c r="K4814" s="23"/>
      <c r="L4814" s="23"/>
      <c r="M4814" s="131"/>
      <c r="N4814" s="131"/>
      <c r="O4814" s="131"/>
    </row>
    <row r="4815" spans="4:15" x14ac:dyDescent="0.3">
      <c r="D4815" s="33"/>
      <c r="E4815" s="127"/>
      <c r="F4815" s="128"/>
      <c r="G4815" s="128"/>
      <c r="H4815" s="129"/>
      <c r="I4815" s="130"/>
      <c r="J4815" s="23"/>
      <c r="K4815" s="23"/>
      <c r="L4815" s="23"/>
      <c r="M4815" s="131"/>
      <c r="N4815" s="131"/>
      <c r="O4815" s="131"/>
    </row>
    <row r="4816" spans="4:15" x14ac:dyDescent="0.3">
      <c r="D4816" s="33"/>
      <c r="E4816" s="127"/>
      <c r="F4816" s="128"/>
      <c r="G4816" s="128"/>
      <c r="H4816" s="129"/>
      <c r="I4816" s="130"/>
      <c r="J4816" s="23"/>
      <c r="K4816" s="23"/>
      <c r="L4816" s="23"/>
      <c r="M4816" s="131"/>
      <c r="N4816" s="131"/>
      <c r="O4816" s="131"/>
    </row>
    <row r="4817" spans="4:15" x14ac:dyDescent="0.3">
      <c r="D4817" s="33"/>
      <c r="E4817" s="127"/>
      <c r="F4817" s="128"/>
      <c r="G4817" s="128"/>
      <c r="H4817" s="129"/>
      <c r="I4817" s="130"/>
      <c r="J4817" s="23"/>
      <c r="K4817" s="23"/>
      <c r="L4817" s="23"/>
      <c r="M4817" s="131"/>
      <c r="N4817" s="131"/>
      <c r="O4817" s="131"/>
    </row>
    <row r="4818" spans="4:15" x14ac:dyDescent="0.3">
      <c r="D4818" s="33"/>
      <c r="E4818" s="127"/>
      <c r="F4818" s="128"/>
      <c r="G4818" s="128"/>
      <c r="H4818" s="129"/>
      <c r="I4818" s="130"/>
      <c r="J4818" s="23"/>
      <c r="K4818" s="23"/>
      <c r="L4818" s="23"/>
      <c r="M4818" s="131"/>
      <c r="N4818" s="131"/>
      <c r="O4818" s="131"/>
    </row>
    <row r="4819" spans="4:15" x14ac:dyDescent="0.3">
      <c r="D4819" s="33"/>
      <c r="E4819" s="127"/>
      <c r="F4819" s="128"/>
      <c r="G4819" s="128"/>
      <c r="H4819" s="129"/>
      <c r="I4819" s="130"/>
      <c r="J4819" s="23"/>
      <c r="K4819" s="23"/>
      <c r="L4819" s="23"/>
      <c r="M4819" s="131"/>
      <c r="N4819" s="131"/>
      <c r="O4819" s="131"/>
    </row>
    <row r="4820" spans="4:15" x14ac:dyDescent="0.3">
      <c r="D4820" s="33"/>
      <c r="E4820" s="127"/>
      <c r="F4820" s="128"/>
      <c r="G4820" s="128"/>
      <c r="H4820" s="129"/>
      <c r="I4820" s="130"/>
      <c r="J4820" s="23"/>
      <c r="K4820" s="23"/>
      <c r="L4820" s="23"/>
      <c r="M4820" s="131"/>
      <c r="N4820" s="131"/>
      <c r="O4820" s="131"/>
    </row>
    <row r="4821" spans="4:15" x14ac:dyDescent="0.3">
      <c r="D4821" s="33"/>
      <c r="E4821" s="127"/>
      <c r="F4821" s="128"/>
      <c r="G4821" s="128"/>
      <c r="H4821" s="129"/>
      <c r="I4821" s="130"/>
      <c r="J4821" s="23"/>
      <c r="K4821" s="23"/>
      <c r="L4821" s="23"/>
      <c r="M4821" s="131"/>
      <c r="N4821" s="131"/>
      <c r="O4821" s="131"/>
    </row>
    <row r="4822" spans="4:15" x14ac:dyDescent="0.3">
      <c r="D4822" s="33"/>
      <c r="E4822" s="127"/>
      <c r="F4822" s="128"/>
      <c r="G4822" s="128"/>
      <c r="H4822" s="129"/>
      <c r="I4822" s="130"/>
      <c r="J4822" s="23"/>
      <c r="K4822" s="23"/>
      <c r="L4822" s="23"/>
      <c r="M4822" s="131"/>
      <c r="N4822" s="131"/>
      <c r="O4822" s="131"/>
    </row>
    <row r="4823" spans="4:15" x14ac:dyDescent="0.3">
      <c r="D4823" s="33"/>
      <c r="E4823" s="127"/>
      <c r="F4823" s="128"/>
      <c r="G4823" s="128"/>
      <c r="H4823" s="129"/>
      <c r="I4823" s="130"/>
      <c r="J4823" s="23"/>
      <c r="K4823" s="23"/>
      <c r="L4823" s="23"/>
      <c r="M4823" s="131"/>
      <c r="N4823" s="131"/>
      <c r="O4823" s="131"/>
    </row>
    <row r="4824" spans="4:15" x14ac:dyDescent="0.3">
      <c r="D4824" s="33"/>
      <c r="E4824" s="127"/>
      <c r="F4824" s="128"/>
      <c r="G4824" s="128"/>
      <c r="H4824" s="129"/>
      <c r="I4824" s="130"/>
      <c r="J4824" s="23"/>
      <c r="K4824" s="23"/>
      <c r="L4824" s="23"/>
      <c r="M4824" s="131"/>
      <c r="N4824" s="131"/>
      <c r="O4824" s="131"/>
    </row>
    <row r="4825" spans="4:15" x14ac:dyDescent="0.3">
      <c r="D4825" s="33"/>
      <c r="E4825" s="127"/>
      <c r="F4825" s="128"/>
      <c r="G4825" s="128"/>
      <c r="H4825" s="129"/>
      <c r="I4825" s="130"/>
      <c r="J4825" s="23"/>
      <c r="K4825" s="23"/>
      <c r="L4825" s="23"/>
      <c r="M4825" s="131"/>
      <c r="N4825" s="131"/>
      <c r="O4825" s="131"/>
    </row>
    <row r="4826" spans="4:15" x14ac:dyDescent="0.3">
      <c r="D4826" s="33"/>
      <c r="E4826" s="127"/>
      <c r="F4826" s="128"/>
      <c r="G4826" s="128"/>
      <c r="H4826" s="129"/>
      <c r="I4826" s="130"/>
      <c r="J4826" s="23"/>
      <c r="K4826" s="23"/>
      <c r="L4826" s="23"/>
      <c r="M4826" s="131"/>
      <c r="N4826" s="131"/>
      <c r="O4826" s="131"/>
    </row>
    <row r="4827" spans="4:15" x14ac:dyDescent="0.3">
      <c r="D4827" s="33"/>
      <c r="E4827" s="127"/>
      <c r="F4827" s="128"/>
      <c r="G4827" s="128"/>
      <c r="H4827" s="129"/>
      <c r="I4827" s="130"/>
      <c r="J4827" s="23"/>
      <c r="K4827" s="23"/>
      <c r="L4827" s="23"/>
      <c r="M4827" s="131"/>
      <c r="N4827" s="131"/>
      <c r="O4827" s="131"/>
    </row>
    <row r="4828" spans="4:15" x14ac:dyDescent="0.3">
      <c r="D4828" s="33"/>
      <c r="E4828" s="127"/>
      <c r="F4828" s="128"/>
      <c r="G4828" s="128"/>
      <c r="H4828" s="129"/>
      <c r="I4828" s="130"/>
      <c r="J4828" s="23"/>
      <c r="K4828" s="23"/>
      <c r="L4828" s="23"/>
      <c r="M4828" s="131"/>
      <c r="N4828" s="131"/>
      <c r="O4828" s="131"/>
    </row>
    <row r="4829" spans="4:15" x14ac:dyDescent="0.3">
      <c r="D4829" s="33"/>
      <c r="E4829" s="127"/>
      <c r="F4829" s="128"/>
      <c r="G4829" s="128"/>
      <c r="H4829" s="129"/>
      <c r="I4829" s="130"/>
      <c r="J4829" s="23"/>
      <c r="K4829" s="23"/>
      <c r="L4829" s="23"/>
      <c r="M4829" s="131"/>
      <c r="N4829" s="131"/>
      <c r="O4829" s="131"/>
    </row>
    <row r="4830" spans="4:15" x14ac:dyDescent="0.3">
      <c r="D4830" s="33"/>
      <c r="E4830" s="127"/>
      <c r="F4830" s="128"/>
      <c r="G4830" s="128"/>
      <c r="H4830" s="129"/>
      <c r="I4830" s="130"/>
      <c r="J4830" s="23"/>
      <c r="K4830" s="23"/>
      <c r="L4830" s="23"/>
      <c r="M4830" s="131"/>
      <c r="N4830" s="131"/>
      <c r="O4830" s="131"/>
    </row>
    <row r="4831" spans="4:15" x14ac:dyDescent="0.3">
      <c r="D4831" s="33"/>
      <c r="E4831" s="127"/>
      <c r="F4831" s="128"/>
      <c r="G4831" s="128"/>
      <c r="H4831" s="129"/>
      <c r="I4831" s="130"/>
      <c r="J4831" s="23"/>
      <c r="K4831" s="23"/>
      <c r="L4831" s="23"/>
      <c r="M4831" s="131"/>
      <c r="N4831" s="131"/>
      <c r="O4831" s="131"/>
    </row>
    <row r="4832" spans="4:15" x14ac:dyDescent="0.3">
      <c r="D4832" s="33"/>
      <c r="E4832" s="127"/>
      <c r="F4832" s="128"/>
      <c r="G4832" s="128"/>
      <c r="H4832" s="129"/>
      <c r="I4832" s="130"/>
      <c r="J4832" s="23"/>
      <c r="K4832" s="23"/>
      <c r="L4832" s="23"/>
      <c r="M4832" s="131"/>
      <c r="N4832" s="131"/>
      <c r="O4832" s="131"/>
    </row>
    <row r="4833" spans="4:15" x14ac:dyDescent="0.3">
      <c r="D4833" s="33"/>
      <c r="E4833" s="127"/>
      <c r="F4833" s="128"/>
      <c r="G4833" s="128"/>
      <c r="H4833" s="129"/>
      <c r="I4833" s="130"/>
      <c r="J4833" s="23"/>
      <c r="K4833" s="23"/>
      <c r="L4833" s="23"/>
      <c r="M4833" s="131"/>
      <c r="N4833" s="131"/>
      <c r="O4833" s="131"/>
    </row>
    <row r="4834" spans="4:15" x14ac:dyDescent="0.3">
      <c r="D4834" s="33"/>
      <c r="E4834" s="127"/>
      <c r="F4834" s="128"/>
      <c r="G4834" s="128"/>
      <c r="H4834" s="129"/>
      <c r="I4834" s="130"/>
      <c r="J4834" s="23"/>
      <c r="K4834" s="23"/>
      <c r="L4834" s="23"/>
      <c r="M4834" s="131"/>
      <c r="N4834" s="131"/>
      <c r="O4834" s="131"/>
    </row>
    <row r="4835" spans="4:15" x14ac:dyDescent="0.3">
      <c r="D4835" s="33"/>
      <c r="E4835" s="127"/>
      <c r="F4835" s="128"/>
      <c r="G4835" s="128"/>
      <c r="H4835" s="129"/>
      <c r="I4835" s="130"/>
      <c r="J4835" s="23"/>
      <c r="K4835" s="23"/>
      <c r="L4835" s="23"/>
      <c r="M4835" s="131"/>
      <c r="N4835" s="131"/>
      <c r="O4835" s="131"/>
    </row>
    <row r="4836" spans="4:15" x14ac:dyDescent="0.3">
      <c r="D4836" s="33"/>
      <c r="E4836" s="127"/>
      <c r="F4836" s="128"/>
      <c r="G4836" s="128"/>
      <c r="H4836" s="129"/>
      <c r="I4836" s="130"/>
      <c r="J4836" s="23"/>
      <c r="K4836" s="23"/>
      <c r="L4836" s="23"/>
      <c r="M4836" s="131"/>
      <c r="N4836" s="131"/>
      <c r="O4836" s="131"/>
    </row>
    <row r="4837" spans="4:15" x14ac:dyDescent="0.3">
      <c r="D4837" s="33"/>
      <c r="E4837" s="127"/>
      <c r="F4837" s="128"/>
      <c r="G4837" s="128"/>
      <c r="H4837" s="129"/>
      <c r="I4837" s="130"/>
      <c r="J4837" s="23"/>
      <c r="K4837" s="23"/>
      <c r="L4837" s="23"/>
      <c r="M4837" s="131"/>
      <c r="N4837" s="131"/>
      <c r="O4837" s="131"/>
    </row>
    <row r="4838" spans="4:15" x14ac:dyDescent="0.3">
      <c r="D4838" s="33"/>
      <c r="E4838" s="127"/>
      <c r="F4838" s="128"/>
      <c r="G4838" s="128"/>
      <c r="H4838" s="129"/>
      <c r="I4838" s="130"/>
      <c r="J4838" s="23"/>
      <c r="K4838" s="23"/>
      <c r="L4838" s="23"/>
      <c r="M4838" s="131"/>
      <c r="N4838" s="131"/>
      <c r="O4838" s="131"/>
    </row>
    <row r="4839" spans="4:15" x14ac:dyDescent="0.3">
      <c r="D4839" s="33"/>
      <c r="E4839" s="127"/>
      <c r="F4839" s="128"/>
      <c r="G4839" s="128"/>
      <c r="H4839" s="129"/>
      <c r="I4839" s="130"/>
      <c r="J4839" s="23"/>
      <c r="K4839" s="23"/>
      <c r="L4839" s="23"/>
      <c r="M4839" s="131"/>
      <c r="N4839" s="131"/>
      <c r="O4839" s="131"/>
    </row>
    <row r="4840" spans="4:15" x14ac:dyDescent="0.3">
      <c r="D4840" s="33"/>
      <c r="E4840" s="127"/>
      <c r="F4840" s="128"/>
      <c r="G4840" s="128"/>
      <c r="H4840" s="129"/>
      <c r="I4840" s="130"/>
      <c r="J4840" s="23"/>
      <c r="K4840" s="23"/>
      <c r="L4840" s="23"/>
      <c r="M4840" s="131"/>
      <c r="N4840" s="131"/>
      <c r="O4840" s="131"/>
    </row>
    <row r="4841" spans="4:15" x14ac:dyDescent="0.3">
      <c r="D4841" s="33"/>
      <c r="E4841" s="127"/>
      <c r="F4841" s="128"/>
      <c r="G4841" s="128"/>
      <c r="H4841" s="129"/>
      <c r="I4841" s="130"/>
      <c r="J4841" s="23"/>
      <c r="K4841" s="23"/>
      <c r="L4841" s="23"/>
      <c r="M4841" s="131"/>
      <c r="N4841" s="131"/>
      <c r="O4841" s="131"/>
    </row>
    <row r="4842" spans="4:15" x14ac:dyDescent="0.3">
      <c r="D4842" s="33"/>
      <c r="E4842" s="127"/>
      <c r="F4842" s="128"/>
      <c r="G4842" s="128"/>
      <c r="H4842" s="129"/>
      <c r="I4842" s="130"/>
      <c r="J4842" s="23"/>
      <c r="K4842" s="23"/>
      <c r="L4842" s="23"/>
      <c r="M4842" s="131"/>
      <c r="N4842" s="131"/>
      <c r="O4842" s="131"/>
    </row>
    <row r="4843" spans="4:15" x14ac:dyDescent="0.3">
      <c r="D4843" s="33"/>
      <c r="E4843" s="127"/>
      <c r="F4843" s="128"/>
      <c r="G4843" s="128"/>
      <c r="H4843" s="129"/>
      <c r="I4843" s="130"/>
      <c r="J4843" s="23"/>
      <c r="K4843" s="23"/>
      <c r="L4843" s="23"/>
      <c r="M4843" s="131"/>
      <c r="N4843" s="131"/>
      <c r="O4843" s="131"/>
    </row>
    <row r="4844" spans="4:15" x14ac:dyDescent="0.3">
      <c r="D4844" s="33"/>
      <c r="E4844" s="127"/>
      <c r="F4844" s="128"/>
      <c r="G4844" s="128"/>
      <c r="H4844" s="129"/>
      <c r="I4844" s="130"/>
      <c r="J4844" s="23"/>
      <c r="K4844" s="23"/>
      <c r="L4844" s="23"/>
      <c r="M4844" s="131"/>
      <c r="N4844" s="131"/>
      <c r="O4844" s="131"/>
    </row>
    <row r="4845" spans="4:15" x14ac:dyDescent="0.3">
      <c r="D4845" s="33"/>
      <c r="E4845" s="127"/>
      <c r="F4845" s="128"/>
      <c r="G4845" s="128"/>
      <c r="H4845" s="129"/>
      <c r="I4845" s="130"/>
      <c r="J4845" s="23"/>
      <c r="K4845" s="23"/>
      <c r="L4845" s="23"/>
      <c r="M4845" s="131"/>
      <c r="N4845" s="131"/>
      <c r="O4845" s="131"/>
    </row>
    <row r="4846" spans="4:15" x14ac:dyDescent="0.3">
      <c r="D4846" s="33"/>
      <c r="E4846" s="127"/>
      <c r="F4846" s="128"/>
      <c r="G4846" s="128"/>
      <c r="H4846" s="129"/>
      <c r="I4846" s="130"/>
      <c r="J4846" s="23"/>
      <c r="K4846" s="23"/>
      <c r="L4846" s="23"/>
      <c r="M4846" s="131"/>
      <c r="N4846" s="131"/>
      <c r="O4846" s="131"/>
    </row>
    <row r="4847" spans="4:15" x14ac:dyDescent="0.3">
      <c r="D4847" s="33"/>
      <c r="E4847" s="127"/>
      <c r="F4847" s="128"/>
      <c r="G4847" s="128"/>
      <c r="H4847" s="129"/>
      <c r="I4847" s="130"/>
      <c r="J4847" s="23"/>
      <c r="K4847" s="23"/>
      <c r="L4847" s="23"/>
      <c r="M4847" s="131"/>
      <c r="N4847" s="131"/>
      <c r="O4847" s="131"/>
    </row>
    <row r="4848" spans="4:15" x14ac:dyDescent="0.3">
      <c r="D4848" s="33"/>
      <c r="E4848" s="127"/>
      <c r="F4848" s="128"/>
      <c r="G4848" s="128"/>
      <c r="H4848" s="129"/>
      <c r="I4848" s="130"/>
      <c r="J4848" s="23"/>
      <c r="K4848" s="23"/>
      <c r="L4848" s="23"/>
      <c r="M4848" s="131"/>
      <c r="N4848" s="131"/>
      <c r="O4848" s="131"/>
    </row>
    <row r="4849" spans="4:15" x14ac:dyDescent="0.3">
      <c r="D4849" s="33"/>
      <c r="E4849" s="127"/>
      <c r="F4849" s="128"/>
      <c r="G4849" s="128"/>
      <c r="H4849" s="129"/>
      <c r="I4849" s="130"/>
      <c r="J4849" s="23"/>
      <c r="K4849" s="23"/>
      <c r="L4849" s="23"/>
      <c r="M4849" s="131"/>
      <c r="N4849" s="131"/>
      <c r="O4849" s="131"/>
    </row>
    <row r="4850" spans="4:15" x14ac:dyDescent="0.3">
      <c r="D4850" s="33"/>
      <c r="E4850" s="127"/>
      <c r="F4850" s="128"/>
      <c r="G4850" s="128"/>
      <c r="H4850" s="129"/>
      <c r="I4850" s="130"/>
      <c r="J4850" s="23"/>
      <c r="K4850" s="23"/>
      <c r="L4850" s="23"/>
      <c r="M4850" s="131"/>
      <c r="N4850" s="131"/>
      <c r="O4850" s="131"/>
    </row>
    <row r="4851" spans="4:15" x14ac:dyDescent="0.3">
      <c r="D4851" s="33"/>
      <c r="E4851" s="127"/>
      <c r="F4851" s="128"/>
      <c r="G4851" s="128"/>
      <c r="H4851" s="129"/>
      <c r="I4851" s="130"/>
      <c r="J4851" s="23"/>
      <c r="K4851" s="23"/>
      <c r="L4851" s="23"/>
      <c r="M4851" s="131"/>
      <c r="N4851" s="131"/>
      <c r="O4851" s="131"/>
    </row>
    <row r="4852" spans="4:15" x14ac:dyDescent="0.3">
      <c r="D4852" s="33"/>
      <c r="E4852" s="127"/>
      <c r="F4852" s="128"/>
      <c r="G4852" s="128"/>
      <c r="H4852" s="129"/>
      <c r="I4852" s="130"/>
      <c r="J4852" s="23"/>
      <c r="K4852" s="23"/>
      <c r="L4852" s="23"/>
      <c r="M4852" s="131"/>
      <c r="N4852" s="131"/>
      <c r="O4852" s="131"/>
    </row>
    <row r="4853" spans="4:15" x14ac:dyDescent="0.3">
      <c r="D4853" s="33"/>
      <c r="E4853" s="127"/>
      <c r="F4853" s="128"/>
      <c r="G4853" s="128"/>
      <c r="H4853" s="129"/>
      <c r="I4853" s="130"/>
      <c r="J4853" s="23"/>
      <c r="K4853" s="23"/>
      <c r="L4853" s="23"/>
      <c r="M4853" s="131"/>
      <c r="N4853" s="131"/>
      <c r="O4853" s="131"/>
    </row>
    <row r="4854" spans="4:15" x14ac:dyDescent="0.3">
      <c r="D4854" s="33"/>
      <c r="E4854" s="127"/>
      <c r="F4854" s="128"/>
      <c r="G4854" s="128"/>
      <c r="H4854" s="129"/>
      <c r="I4854" s="130"/>
      <c r="J4854" s="23"/>
      <c r="K4854" s="23"/>
      <c r="L4854" s="23"/>
      <c r="M4854" s="131"/>
      <c r="N4854" s="131"/>
      <c r="O4854" s="131"/>
    </row>
    <row r="4855" spans="4:15" x14ac:dyDescent="0.3">
      <c r="D4855" s="33"/>
      <c r="E4855" s="127"/>
      <c r="F4855" s="128"/>
      <c r="G4855" s="128"/>
      <c r="H4855" s="129"/>
      <c r="I4855" s="130"/>
      <c r="J4855" s="23"/>
      <c r="K4855" s="23"/>
      <c r="L4855" s="23"/>
      <c r="M4855" s="131"/>
      <c r="N4855" s="131"/>
      <c r="O4855" s="131"/>
    </row>
    <row r="4856" spans="4:15" x14ac:dyDescent="0.3">
      <c r="D4856" s="33"/>
      <c r="E4856" s="127"/>
      <c r="F4856" s="128"/>
      <c r="G4856" s="128"/>
      <c r="H4856" s="129"/>
      <c r="I4856" s="130"/>
      <c r="J4856" s="23"/>
      <c r="K4856" s="23"/>
      <c r="L4856" s="23"/>
      <c r="M4856" s="131"/>
      <c r="N4856" s="131"/>
      <c r="O4856" s="131"/>
    </row>
    <row r="4857" spans="4:15" x14ac:dyDescent="0.3">
      <c r="D4857" s="33"/>
      <c r="E4857" s="127"/>
      <c r="F4857" s="128"/>
      <c r="G4857" s="128"/>
      <c r="H4857" s="129"/>
      <c r="I4857" s="130"/>
      <c r="J4857" s="23"/>
      <c r="K4857" s="23"/>
      <c r="L4857" s="23"/>
      <c r="M4857" s="131"/>
      <c r="N4857" s="131"/>
      <c r="O4857" s="131"/>
    </row>
    <row r="4858" spans="4:15" x14ac:dyDescent="0.3">
      <c r="D4858" s="33"/>
      <c r="E4858" s="127"/>
      <c r="F4858" s="128"/>
      <c r="G4858" s="128"/>
      <c r="H4858" s="129"/>
      <c r="I4858" s="130"/>
      <c r="J4858" s="23"/>
      <c r="K4858" s="23"/>
      <c r="L4858" s="23"/>
      <c r="M4858" s="131"/>
      <c r="N4858" s="131"/>
      <c r="O4858" s="131"/>
    </row>
    <row r="4859" spans="4:15" x14ac:dyDescent="0.3">
      <c r="D4859" s="33"/>
      <c r="E4859" s="127"/>
      <c r="F4859" s="128"/>
      <c r="G4859" s="128"/>
      <c r="H4859" s="129"/>
      <c r="I4859" s="130"/>
      <c r="J4859" s="23"/>
      <c r="K4859" s="23"/>
      <c r="L4859" s="23"/>
      <c r="M4859" s="131"/>
      <c r="N4859" s="131"/>
      <c r="O4859" s="131"/>
    </row>
    <row r="4860" spans="4:15" x14ac:dyDescent="0.3">
      <c r="D4860" s="33"/>
      <c r="E4860" s="127"/>
      <c r="F4860" s="128"/>
      <c r="G4860" s="128"/>
      <c r="H4860" s="129"/>
      <c r="I4860" s="130"/>
      <c r="J4860" s="23"/>
      <c r="K4860" s="23"/>
      <c r="L4860" s="23"/>
      <c r="M4860" s="131"/>
      <c r="N4860" s="131"/>
      <c r="O4860" s="131"/>
    </row>
    <row r="4861" spans="4:15" x14ac:dyDescent="0.3">
      <c r="D4861" s="33"/>
      <c r="E4861" s="127"/>
      <c r="F4861" s="128"/>
      <c r="G4861" s="128"/>
      <c r="H4861" s="129"/>
      <c r="I4861" s="130"/>
      <c r="J4861" s="23"/>
      <c r="K4861" s="23"/>
      <c r="L4861" s="23"/>
      <c r="M4861" s="131"/>
      <c r="N4861" s="131"/>
      <c r="O4861" s="131"/>
    </row>
    <row r="4862" spans="4:15" x14ac:dyDescent="0.3">
      <c r="D4862" s="33"/>
      <c r="E4862" s="127"/>
      <c r="F4862" s="128"/>
      <c r="G4862" s="128"/>
      <c r="H4862" s="129"/>
      <c r="I4862" s="130"/>
      <c r="J4862" s="23"/>
      <c r="K4862" s="23"/>
      <c r="L4862" s="23"/>
      <c r="M4862" s="131"/>
      <c r="N4862" s="131"/>
      <c r="O4862" s="131"/>
    </row>
    <row r="4863" spans="4:15" x14ac:dyDescent="0.3">
      <c r="D4863" s="33"/>
      <c r="E4863" s="127"/>
      <c r="F4863" s="128"/>
      <c r="G4863" s="128"/>
      <c r="H4863" s="129"/>
      <c r="I4863" s="130"/>
      <c r="J4863" s="23"/>
      <c r="K4863" s="23"/>
      <c r="L4863" s="23"/>
      <c r="M4863" s="131"/>
      <c r="N4863" s="131"/>
      <c r="O4863" s="131"/>
    </row>
    <row r="4864" spans="4:15" x14ac:dyDescent="0.3">
      <c r="D4864" s="33"/>
      <c r="E4864" s="127"/>
      <c r="F4864" s="128"/>
      <c r="G4864" s="128"/>
      <c r="H4864" s="129"/>
      <c r="I4864" s="130"/>
      <c r="J4864" s="23"/>
      <c r="K4864" s="23"/>
      <c r="L4864" s="23"/>
      <c r="M4864" s="131"/>
      <c r="N4864" s="131"/>
      <c r="O4864" s="131"/>
    </row>
    <row r="4865" spans="4:15" x14ac:dyDescent="0.3">
      <c r="D4865" s="33"/>
      <c r="E4865" s="127"/>
      <c r="F4865" s="128"/>
      <c r="G4865" s="128"/>
      <c r="H4865" s="129"/>
      <c r="I4865" s="130"/>
      <c r="J4865" s="23"/>
      <c r="K4865" s="23"/>
      <c r="L4865" s="23"/>
      <c r="M4865" s="131"/>
      <c r="N4865" s="131"/>
      <c r="O4865" s="131"/>
    </row>
    <row r="4866" spans="4:15" x14ac:dyDescent="0.3">
      <c r="D4866" s="33"/>
      <c r="E4866" s="127"/>
      <c r="F4866" s="128"/>
      <c r="G4866" s="128"/>
      <c r="H4866" s="129"/>
      <c r="I4866" s="130"/>
      <c r="J4866" s="23"/>
      <c r="K4866" s="23"/>
      <c r="L4866" s="23"/>
      <c r="M4866" s="131"/>
      <c r="N4866" s="131"/>
      <c r="O4866" s="131"/>
    </row>
    <row r="4867" spans="4:15" x14ac:dyDescent="0.3">
      <c r="D4867" s="33"/>
      <c r="E4867" s="127"/>
      <c r="F4867" s="128"/>
      <c r="G4867" s="128"/>
      <c r="H4867" s="129"/>
      <c r="I4867" s="130"/>
      <c r="J4867" s="23"/>
      <c r="K4867" s="23"/>
      <c r="L4867" s="23"/>
      <c r="M4867" s="131"/>
      <c r="N4867" s="131"/>
      <c r="O4867" s="131"/>
    </row>
    <row r="4868" spans="4:15" x14ac:dyDescent="0.3">
      <c r="D4868" s="33"/>
      <c r="E4868" s="127"/>
      <c r="F4868" s="128"/>
      <c r="G4868" s="128"/>
      <c r="H4868" s="129"/>
      <c r="I4868" s="130"/>
      <c r="J4868" s="23"/>
      <c r="K4868" s="23"/>
      <c r="L4868" s="23"/>
      <c r="M4868" s="131"/>
      <c r="N4868" s="131"/>
      <c r="O4868" s="131"/>
    </row>
    <row r="4869" spans="4:15" x14ac:dyDescent="0.3">
      <c r="D4869" s="33"/>
      <c r="E4869" s="127"/>
      <c r="F4869" s="128"/>
      <c r="G4869" s="128"/>
      <c r="H4869" s="129"/>
      <c r="I4869" s="130"/>
      <c r="J4869" s="23"/>
      <c r="K4869" s="23"/>
      <c r="L4869" s="23"/>
      <c r="M4869" s="131"/>
      <c r="N4869" s="131"/>
      <c r="O4869" s="131"/>
    </row>
    <row r="4870" spans="4:15" x14ac:dyDescent="0.3">
      <c r="D4870" s="33"/>
      <c r="E4870" s="127"/>
      <c r="F4870" s="128"/>
      <c r="G4870" s="128"/>
      <c r="H4870" s="129"/>
      <c r="I4870" s="130"/>
      <c r="J4870" s="23"/>
      <c r="K4870" s="23"/>
      <c r="L4870" s="23"/>
      <c r="M4870" s="131"/>
      <c r="N4870" s="131"/>
      <c r="O4870" s="131"/>
    </row>
    <row r="4871" spans="4:15" x14ac:dyDescent="0.3">
      <c r="D4871" s="33"/>
      <c r="E4871" s="127"/>
      <c r="F4871" s="128"/>
      <c r="G4871" s="128"/>
      <c r="H4871" s="129"/>
      <c r="I4871" s="130"/>
      <c r="J4871" s="23"/>
      <c r="K4871" s="23"/>
      <c r="L4871" s="23"/>
      <c r="M4871" s="131"/>
      <c r="N4871" s="131"/>
      <c r="O4871" s="131"/>
    </row>
    <row r="4872" spans="4:15" x14ac:dyDescent="0.3">
      <c r="D4872" s="33"/>
      <c r="E4872" s="127"/>
      <c r="F4872" s="128"/>
      <c r="G4872" s="128"/>
      <c r="H4872" s="129"/>
      <c r="I4872" s="130"/>
      <c r="J4872" s="23"/>
      <c r="K4872" s="23"/>
      <c r="L4872" s="23"/>
      <c r="M4872" s="131"/>
      <c r="N4872" s="131"/>
      <c r="O4872" s="131"/>
    </row>
    <row r="4873" spans="4:15" x14ac:dyDescent="0.3">
      <c r="D4873" s="33"/>
      <c r="E4873" s="127"/>
      <c r="F4873" s="128"/>
      <c r="G4873" s="128"/>
      <c r="H4873" s="129"/>
      <c r="I4873" s="130"/>
      <c r="J4873" s="23"/>
      <c r="K4873" s="23"/>
      <c r="L4873" s="23"/>
      <c r="M4873" s="131"/>
      <c r="N4873" s="131"/>
      <c r="O4873" s="131"/>
    </row>
    <row r="4874" spans="4:15" x14ac:dyDescent="0.3">
      <c r="D4874" s="33"/>
      <c r="E4874" s="127"/>
      <c r="F4874" s="128"/>
      <c r="G4874" s="128"/>
      <c r="H4874" s="129"/>
      <c r="I4874" s="130"/>
      <c r="J4874" s="23"/>
      <c r="K4874" s="23"/>
      <c r="L4874" s="23"/>
      <c r="M4874" s="131"/>
      <c r="N4874" s="131"/>
      <c r="O4874" s="131"/>
    </row>
    <row r="4875" spans="4:15" x14ac:dyDescent="0.3">
      <c r="D4875" s="33"/>
      <c r="E4875" s="127"/>
      <c r="F4875" s="128"/>
      <c r="G4875" s="128"/>
      <c r="H4875" s="129"/>
      <c r="I4875" s="130"/>
      <c r="J4875" s="23"/>
      <c r="K4875" s="23"/>
      <c r="L4875" s="23"/>
      <c r="M4875" s="131"/>
      <c r="N4875" s="131"/>
      <c r="O4875" s="131"/>
    </row>
    <row r="4876" spans="4:15" x14ac:dyDescent="0.3">
      <c r="D4876" s="33"/>
      <c r="E4876" s="127"/>
      <c r="F4876" s="128"/>
      <c r="G4876" s="128"/>
      <c r="H4876" s="129"/>
      <c r="I4876" s="130"/>
      <c r="J4876" s="23"/>
      <c r="K4876" s="23"/>
      <c r="L4876" s="23"/>
      <c r="M4876" s="131"/>
      <c r="N4876" s="131"/>
      <c r="O4876" s="131"/>
    </row>
    <row r="4877" spans="4:15" x14ac:dyDescent="0.3">
      <c r="D4877" s="33"/>
      <c r="E4877" s="127"/>
      <c r="F4877" s="128"/>
      <c r="G4877" s="128"/>
      <c r="H4877" s="129"/>
      <c r="I4877" s="130"/>
      <c r="J4877" s="23"/>
      <c r="K4877" s="23"/>
      <c r="L4877" s="23"/>
      <c r="M4877" s="131"/>
      <c r="N4877" s="131"/>
      <c r="O4877" s="131"/>
    </row>
    <row r="4878" spans="4:15" x14ac:dyDescent="0.3">
      <c r="D4878" s="33"/>
      <c r="E4878" s="127"/>
      <c r="F4878" s="128"/>
      <c r="G4878" s="128"/>
      <c r="H4878" s="129"/>
      <c r="I4878" s="130"/>
      <c r="J4878" s="23"/>
      <c r="K4878" s="23"/>
      <c r="L4878" s="23"/>
      <c r="M4878" s="131"/>
      <c r="N4878" s="131"/>
      <c r="O4878" s="131"/>
    </row>
    <row r="4879" spans="4:15" x14ac:dyDescent="0.3">
      <c r="D4879" s="33"/>
      <c r="E4879" s="127"/>
      <c r="F4879" s="128"/>
      <c r="G4879" s="128"/>
      <c r="H4879" s="129"/>
      <c r="I4879" s="130"/>
      <c r="J4879" s="23"/>
      <c r="K4879" s="23"/>
      <c r="L4879" s="23"/>
      <c r="M4879" s="131"/>
      <c r="N4879" s="131"/>
      <c r="O4879" s="131"/>
    </row>
    <row r="4880" spans="4:15" x14ac:dyDescent="0.3">
      <c r="D4880" s="33"/>
      <c r="E4880" s="127"/>
      <c r="F4880" s="128"/>
      <c r="G4880" s="128"/>
      <c r="H4880" s="129"/>
      <c r="I4880" s="130"/>
      <c r="J4880" s="23"/>
      <c r="K4880" s="23"/>
      <c r="L4880" s="23"/>
      <c r="M4880" s="131"/>
      <c r="N4880" s="131"/>
      <c r="O4880" s="131"/>
    </row>
    <row r="4881" spans="4:15" x14ac:dyDescent="0.3">
      <c r="D4881" s="33"/>
      <c r="E4881" s="127"/>
      <c r="F4881" s="128"/>
      <c r="G4881" s="128"/>
      <c r="H4881" s="129"/>
      <c r="I4881" s="130"/>
      <c r="J4881" s="23"/>
      <c r="K4881" s="23"/>
      <c r="L4881" s="23"/>
      <c r="M4881" s="131"/>
      <c r="N4881" s="131"/>
      <c r="O4881" s="131"/>
    </row>
    <row r="4882" spans="4:15" x14ac:dyDescent="0.3">
      <c r="D4882" s="33"/>
      <c r="E4882" s="127"/>
      <c r="F4882" s="128"/>
      <c r="G4882" s="128"/>
      <c r="H4882" s="129"/>
      <c r="I4882" s="130"/>
      <c r="J4882" s="23"/>
      <c r="K4882" s="23"/>
      <c r="L4882" s="23"/>
      <c r="M4882" s="131"/>
      <c r="N4882" s="131"/>
      <c r="O4882" s="131"/>
    </row>
    <row r="4883" spans="4:15" x14ac:dyDescent="0.3">
      <c r="D4883" s="33"/>
      <c r="E4883" s="127"/>
      <c r="F4883" s="128"/>
      <c r="G4883" s="128"/>
      <c r="H4883" s="129"/>
      <c r="I4883" s="130"/>
      <c r="J4883" s="23"/>
      <c r="K4883" s="23"/>
      <c r="L4883" s="23"/>
      <c r="M4883" s="131"/>
      <c r="N4883" s="131"/>
      <c r="O4883" s="131"/>
    </row>
    <row r="4884" spans="4:15" x14ac:dyDescent="0.3">
      <c r="D4884" s="33"/>
      <c r="E4884" s="127"/>
      <c r="F4884" s="128"/>
      <c r="G4884" s="128"/>
      <c r="H4884" s="129"/>
      <c r="I4884" s="130"/>
      <c r="J4884" s="23"/>
      <c r="K4884" s="23"/>
      <c r="L4884" s="23"/>
      <c r="M4884" s="131"/>
      <c r="N4884" s="131"/>
      <c r="O4884" s="131"/>
    </row>
    <row r="4885" spans="4:15" x14ac:dyDescent="0.3">
      <c r="D4885" s="33"/>
      <c r="E4885" s="127"/>
      <c r="F4885" s="128"/>
      <c r="G4885" s="128"/>
      <c r="H4885" s="129"/>
      <c r="I4885" s="130"/>
      <c r="J4885" s="23"/>
      <c r="K4885" s="23"/>
      <c r="L4885" s="23"/>
      <c r="M4885" s="131"/>
      <c r="N4885" s="131"/>
      <c r="O4885" s="131"/>
    </row>
    <row r="4886" spans="4:15" x14ac:dyDescent="0.3">
      <c r="D4886" s="33"/>
      <c r="E4886" s="127"/>
      <c r="F4886" s="128"/>
      <c r="G4886" s="128"/>
      <c r="H4886" s="129"/>
      <c r="I4886" s="130"/>
      <c r="J4886" s="23"/>
      <c r="K4886" s="23"/>
      <c r="L4886" s="23"/>
      <c r="M4886" s="131"/>
      <c r="N4886" s="131"/>
      <c r="O4886" s="131"/>
    </row>
    <row r="4887" spans="4:15" x14ac:dyDescent="0.3">
      <c r="D4887" s="33"/>
      <c r="E4887" s="127"/>
      <c r="F4887" s="128"/>
      <c r="G4887" s="128"/>
      <c r="H4887" s="129"/>
      <c r="I4887" s="130"/>
      <c r="J4887" s="23"/>
      <c r="K4887" s="23"/>
      <c r="L4887" s="23"/>
      <c r="M4887" s="131"/>
      <c r="N4887" s="131"/>
      <c r="O4887" s="131"/>
    </row>
    <row r="4888" spans="4:15" x14ac:dyDescent="0.3">
      <c r="D4888" s="33"/>
      <c r="E4888" s="127"/>
      <c r="F4888" s="128"/>
      <c r="G4888" s="128"/>
      <c r="H4888" s="129"/>
      <c r="I4888" s="130"/>
      <c r="J4888" s="23"/>
      <c r="K4888" s="23"/>
      <c r="L4888" s="23"/>
      <c r="M4888" s="131"/>
      <c r="N4888" s="131"/>
      <c r="O4888" s="131"/>
    </row>
    <row r="4889" spans="4:15" x14ac:dyDescent="0.3">
      <c r="D4889" s="33"/>
      <c r="E4889" s="127"/>
      <c r="F4889" s="128"/>
      <c r="G4889" s="128"/>
      <c r="H4889" s="129"/>
      <c r="I4889" s="130"/>
      <c r="J4889" s="23"/>
      <c r="K4889" s="23"/>
      <c r="L4889" s="23"/>
      <c r="M4889" s="131"/>
      <c r="N4889" s="131"/>
      <c r="O4889" s="131"/>
    </row>
    <row r="4890" spans="4:15" x14ac:dyDescent="0.3">
      <c r="D4890" s="33"/>
      <c r="E4890" s="127"/>
      <c r="F4890" s="128"/>
      <c r="G4890" s="128"/>
      <c r="H4890" s="129"/>
      <c r="I4890" s="130"/>
      <c r="J4890" s="23"/>
      <c r="K4890" s="23"/>
      <c r="L4890" s="23"/>
      <c r="M4890" s="131"/>
      <c r="N4890" s="131"/>
      <c r="O4890" s="131"/>
    </row>
    <row r="4891" spans="4:15" x14ac:dyDescent="0.3">
      <c r="D4891" s="33"/>
      <c r="E4891" s="127"/>
      <c r="F4891" s="128"/>
      <c r="G4891" s="128"/>
      <c r="H4891" s="129"/>
      <c r="I4891" s="130"/>
      <c r="J4891" s="23"/>
      <c r="K4891" s="23"/>
      <c r="L4891" s="23"/>
      <c r="M4891" s="131"/>
      <c r="N4891" s="131"/>
      <c r="O4891" s="131"/>
    </row>
    <row r="4892" spans="4:15" x14ac:dyDescent="0.3">
      <c r="D4892" s="33"/>
      <c r="E4892" s="127"/>
      <c r="F4892" s="128"/>
      <c r="G4892" s="128"/>
      <c r="H4892" s="129"/>
      <c r="I4892" s="130"/>
      <c r="J4892" s="23"/>
      <c r="K4892" s="23"/>
      <c r="L4892" s="23"/>
      <c r="M4892" s="131"/>
      <c r="N4892" s="131"/>
      <c r="O4892" s="131"/>
    </row>
    <row r="4893" spans="4:15" x14ac:dyDescent="0.3">
      <c r="D4893" s="33"/>
      <c r="E4893" s="127"/>
      <c r="F4893" s="128"/>
      <c r="G4893" s="128"/>
      <c r="H4893" s="129"/>
      <c r="I4893" s="130"/>
      <c r="J4893" s="23"/>
      <c r="K4893" s="23"/>
      <c r="L4893" s="23"/>
      <c r="M4893" s="131"/>
      <c r="N4893" s="131"/>
      <c r="O4893" s="131"/>
    </row>
    <row r="4894" spans="4:15" x14ac:dyDescent="0.3">
      <c r="D4894" s="33"/>
      <c r="E4894" s="127"/>
      <c r="F4894" s="128"/>
      <c r="G4894" s="128"/>
      <c r="H4894" s="129"/>
      <c r="I4894" s="130"/>
      <c r="J4894" s="23"/>
      <c r="K4894" s="23"/>
      <c r="L4894" s="23"/>
      <c r="M4894" s="131"/>
      <c r="N4894" s="131"/>
      <c r="O4894" s="131"/>
    </row>
    <row r="4895" spans="4:15" x14ac:dyDescent="0.3">
      <c r="D4895" s="33"/>
      <c r="E4895" s="127"/>
      <c r="F4895" s="128"/>
      <c r="G4895" s="128"/>
      <c r="H4895" s="129"/>
      <c r="I4895" s="130"/>
      <c r="J4895" s="23"/>
      <c r="K4895" s="23"/>
      <c r="L4895" s="23"/>
      <c r="M4895" s="131"/>
      <c r="N4895" s="131"/>
      <c r="O4895" s="131"/>
    </row>
    <row r="4896" spans="4:15" x14ac:dyDescent="0.3">
      <c r="D4896" s="33"/>
      <c r="E4896" s="127"/>
      <c r="F4896" s="128"/>
      <c r="G4896" s="128"/>
      <c r="H4896" s="129"/>
      <c r="I4896" s="130"/>
      <c r="J4896" s="23"/>
      <c r="K4896" s="23"/>
      <c r="L4896" s="23"/>
      <c r="M4896" s="131"/>
      <c r="N4896" s="131"/>
      <c r="O4896" s="131"/>
    </row>
    <row r="4897" spans="4:15" x14ac:dyDescent="0.3">
      <c r="D4897" s="33"/>
      <c r="E4897" s="127"/>
      <c r="F4897" s="128"/>
      <c r="G4897" s="128"/>
      <c r="H4897" s="129"/>
      <c r="I4897" s="130"/>
      <c r="J4897" s="23"/>
      <c r="K4897" s="23"/>
      <c r="L4897" s="23"/>
      <c r="M4897" s="131"/>
      <c r="N4897" s="131"/>
      <c r="O4897" s="131"/>
    </row>
    <row r="4898" spans="4:15" x14ac:dyDescent="0.3">
      <c r="D4898" s="33"/>
      <c r="E4898" s="127"/>
      <c r="F4898" s="128"/>
      <c r="G4898" s="128"/>
      <c r="H4898" s="129"/>
      <c r="I4898" s="130"/>
      <c r="J4898" s="23"/>
      <c r="K4898" s="23"/>
      <c r="L4898" s="23"/>
      <c r="M4898" s="131"/>
      <c r="N4898" s="131"/>
      <c r="O4898" s="131"/>
    </row>
    <row r="4899" spans="4:15" x14ac:dyDescent="0.3">
      <c r="D4899" s="33"/>
      <c r="E4899" s="127"/>
      <c r="F4899" s="128"/>
      <c r="G4899" s="128"/>
      <c r="H4899" s="129"/>
      <c r="I4899" s="130"/>
      <c r="J4899" s="23"/>
      <c r="K4899" s="23"/>
      <c r="L4899" s="23"/>
      <c r="M4899" s="131"/>
      <c r="N4899" s="131"/>
      <c r="O4899" s="131"/>
    </row>
    <row r="4900" spans="4:15" x14ac:dyDescent="0.3">
      <c r="D4900" s="33"/>
      <c r="E4900" s="127"/>
      <c r="F4900" s="128"/>
      <c r="G4900" s="128"/>
      <c r="H4900" s="129"/>
      <c r="I4900" s="130"/>
      <c r="J4900" s="23"/>
      <c r="K4900" s="23"/>
      <c r="L4900" s="23"/>
      <c r="M4900" s="131"/>
      <c r="N4900" s="131"/>
      <c r="O4900" s="131"/>
    </row>
    <row r="4901" spans="4:15" x14ac:dyDescent="0.3">
      <c r="D4901" s="33"/>
      <c r="E4901" s="127"/>
      <c r="F4901" s="128"/>
      <c r="G4901" s="128"/>
      <c r="H4901" s="129"/>
      <c r="I4901" s="130"/>
      <c r="J4901" s="23"/>
      <c r="K4901" s="23"/>
      <c r="L4901" s="23"/>
      <c r="M4901" s="131"/>
      <c r="N4901" s="131"/>
      <c r="O4901" s="131"/>
    </row>
    <row r="4902" spans="4:15" x14ac:dyDescent="0.3">
      <c r="D4902" s="33"/>
      <c r="E4902" s="127"/>
      <c r="F4902" s="128"/>
      <c r="G4902" s="128"/>
      <c r="H4902" s="129"/>
      <c r="I4902" s="130"/>
      <c r="J4902" s="23"/>
      <c r="K4902" s="23"/>
      <c r="L4902" s="23"/>
      <c r="M4902" s="131"/>
      <c r="N4902" s="131"/>
      <c r="O4902" s="131"/>
    </row>
    <row r="4903" spans="4:15" x14ac:dyDescent="0.3">
      <c r="D4903" s="33"/>
      <c r="E4903" s="127"/>
      <c r="F4903" s="128"/>
      <c r="G4903" s="128"/>
      <c r="H4903" s="129"/>
      <c r="I4903" s="130"/>
      <c r="J4903" s="23"/>
      <c r="K4903" s="23"/>
      <c r="L4903" s="23"/>
      <c r="M4903" s="131"/>
      <c r="N4903" s="131"/>
      <c r="O4903" s="131"/>
    </row>
    <row r="4904" spans="4:15" x14ac:dyDescent="0.3">
      <c r="D4904" s="33"/>
      <c r="E4904" s="127"/>
      <c r="F4904" s="128"/>
      <c r="G4904" s="128"/>
      <c r="H4904" s="129"/>
      <c r="I4904" s="130"/>
      <c r="J4904" s="23"/>
      <c r="K4904" s="23"/>
      <c r="L4904" s="23"/>
      <c r="M4904" s="131"/>
      <c r="N4904" s="131"/>
      <c r="O4904" s="131"/>
    </row>
    <row r="4905" spans="4:15" x14ac:dyDescent="0.3">
      <c r="D4905" s="33"/>
      <c r="E4905" s="127"/>
      <c r="F4905" s="128"/>
      <c r="G4905" s="128"/>
      <c r="H4905" s="129"/>
      <c r="I4905" s="130"/>
      <c r="J4905" s="23"/>
      <c r="K4905" s="23"/>
      <c r="L4905" s="23"/>
      <c r="M4905" s="131"/>
      <c r="N4905" s="131"/>
      <c r="O4905" s="131"/>
    </row>
    <row r="4906" spans="4:15" x14ac:dyDescent="0.3">
      <c r="D4906" s="33"/>
      <c r="E4906" s="127"/>
      <c r="F4906" s="128"/>
      <c r="G4906" s="128"/>
      <c r="H4906" s="129"/>
      <c r="I4906" s="130"/>
      <c r="J4906" s="23"/>
      <c r="K4906" s="23"/>
      <c r="L4906" s="23"/>
      <c r="M4906" s="131"/>
      <c r="N4906" s="131"/>
      <c r="O4906" s="131"/>
    </row>
    <row r="4907" spans="4:15" x14ac:dyDescent="0.3">
      <c r="D4907" s="33"/>
      <c r="E4907" s="127"/>
      <c r="F4907" s="128"/>
      <c r="G4907" s="128"/>
      <c r="H4907" s="129"/>
      <c r="I4907" s="130"/>
      <c r="J4907" s="23"/>
      <c r="K4907" s="23"/>
      <c r="L4907" s="23"/>
      <c r="M4907" s="131"/>
      <c r="N4907" s="131"/>
      <c r="O4907" s="131"/>
    </row>
    <row r="4908" spans="4:15" x14ac:dyDescent="0.3">
      <c r="D4908" s="33"/>
      <c r="E4908" s="127"/>
      <c r="F4908" s="128"/>
      <c r="G4908" s="128"/>
      <c r="H4908" s="129"/>
      <c r="I4908" s="130"/>
      <c r="J4908" s="23"/>
      <c r="K4908" s="23"/>
      <c r="L4908" s="23"/>
      <c r="M4908" s="131"/>
      <c r="N4908" s="131"/>
      <c r="O4908" s="131"/>
    </row>
    <row r="4909" spans="4:15" x14ac:dyDescent="0.3">
      <c r="D4909" s="33"/>
      <c r="E4909" s="127"/>
      <c r="F4909" s="128"/>
      <c r="G4909" s="128"/>
      <c r="H4909" s="129"/>
      <c r="I4909" s="130"/>
      <c r="J4909" s="23"/>
      <c r="K4909" s="23"/>
      <c r="L4909" s="23"/>
      <c r="M4909" s="131"/>
      <c r="N4909" s="131"/>
      <c r="O4909" s="131"/>
    </row>
    <row r="4910" spans="4:15" x14ac:dyDescent="0.3">
      <c r="D4910" s="33"/>
      <c r="E4910" s="127"/>
      <c r="F4910" s="128"/>
      <c r="G4910" s="128"/>
      <c r="H4910" s="129"/>
      <c r="I4910" s="130"/>
      <c r="J4910" s="23"/>
      <c r="K4910" s="23"/>
      <c r="L4910" s="23"/>
      <c r="M4910" s="131"/>
      <c r="N4910" s="131"/>
      <c r="O4910" s="131"/>
    </row>
    <row r="4911" spans="4:15" x14ac:dyDescent="0.3">
      <c r="D4911" s="33"/>
      <c r="E4911" s="127"/>
      <c r="F4911" s="128"/>
      <c r="G4911" s="128"/>
      <c r="H4911" s="129"/>
      <c r="I4911" s="130"/>
      <c r="J4911" s="23"/>
      <c r="K4911" s="23"/>
      <c r="L4911" s="23"/>
      <c r="M4911" s="131"/>
      <c r="N4911" s="131"/>
      <c r="O4911" s="131"/>
    </row>
    <row r="4912" spans="4:15" x14ac:dyDescent="0.3">
      <c r="D4912" s="33"/>
      <c r="E4912" s="127"/>
      <c r="F4912" s="128"/>
      <c r="G4912" s="128"/>
      <c r="H4912" s="129"/>
      <c r="I4912" s="130"/>
      <c r="J4912" s="23"/>
      <c r="K4912" s="23"/>
      <c r="L4912" s="23"/>
      <c r="M4912" s="131"/>
      <c r="N4912" s="131"/>
      <c r="O4912" s="131"/>
    </row>
    <row r="4913" spans="4:15" x14ac:dyDescent="0.3">
      <c r="D4913" s="33"/>
      <c r="E4913" s="127"/>
      <c r="F4913" s="128"/>
      <c r="G4913" s="128"/>
      <c r="H4913" s="129"/>
      <c r="I4913" s="130"/>
      <c r="J4913" s="23"/>
      <c r="K4913" s="23"/>
      <c r="L4913" s="23"/>
      <c r="M4913" s="131"/>
      <c r="N4913" s="131"/>
      <c r="O4913" s="131"/>
    </row>
    <row r="4914" spans="4:15" x14ac:dyDescent="0.3">
      <c r="D4914" s="33"/>
      <c r="E4914" s="127"/>
      <c r="F4914" s="128"/>
      <c r="G4914" s="128"/>
      <c r="H4914" s="129"/>
      <c r="I4914" s="130"/>
      <c r="J4914" s="23"/>
      <c r="K4914" s="23"/>
      <c r="L4914" s="23"/>
      <c r="M4914" s="131"/>
      <c r="N4914" s="131"/>
      <c r="O4914" s="131"/>
    </row>
    <row r="4915" spans="4:15" x14ac:dyDescent="0.3">
      <c r="D4915" s="33"/>
      <c r="E4915" s="127"/>
      <c r="F4915" s="128"/>
      <c r="G4915" s="128"/>
      <c r="H4915" s="129"/>
      <c r="I4915" s="130"/>
      <c r="J4915" s="23"/>
      <c r="K4915" s="23"/>
      <c r="L4915" s="23"/>
      <c r="M4915" s="131"/>
      <c r="N4915" s="131"/>
      <c r="O4915" s="131"/>
    </row>
    <row r="4916" spans="4:15" x14ac:dyDescent="0.3">
      <c r="D4916" s="33"/>
      <c r="E4916" s="127"/>
      <c r="F4916" s="128"/>
      <c r="G4916" s="128"/>
      <c r="H4916" s="129"/>
      <c r="I4916" s="130"/>
      <c r="J4916" s="23"/>
      <c r="K4916" s="23"/>
      <c r="L4916" s="23"/>
      <c r="M4916" s="131"/>
      <c r="N4916" s="131"/>
      <c r="O4916" s="131"/>
    </row>
    <row r="4917" spans="4:15" x14ac:dyDescent="0.3">
      <c r="D4917" s="33"/>
      <c r="E4917" s="127"/>
      <c r="F4917" s="128"/>
      <c r="G4917" s="128"/>
      <c r="H4917" s="129"/>
      <c r="I4917" s="130"/>
      <c r="J4917" s="23"/>
      <c r="K4917" s="23"/>
      <c r="L4917" s="23"/>
      <c r="M4917" s="131"/>
      <c r="N4917" s="131"/>
      <c r="O4917" s="131"/>
    </row>
    <row r="4918" spans="4:15" x14ac:dyDescent="0.3">
      <c r="D4918" s="33"/>
      <c r="E4918" s="127"/>
      <c r="F4918" s="128"/>
      <c r="G4918" s="128"/>
      <c r="H4918" s="129"/>
      <c r="I4918" s="130"/>
      <c r="J4918" s="23"/>
      <c r="K4918" s="23"/>
      <c r="L4918" s="23"/>
      <c r="M4918" s="131"/>
      <c r="N4918" s="131"/>
      <c r="O4918" s="131"/>
    </row>
    <row r="4919" spans="4:15" x14ac:dyDescent="0.3">
      <c r="D4919" s="33"/>
      <c r="E4919" s="127"/>
      <c r="F4919" s="128"/>
      <c r="G4919" s="128"/>
      <c r="H4919" s="129"/>
      <c r="I4919" s="130"/>
      <c r="J4919" s="23"/>
      <c r="K4919" s="23"/>
      <c r="L4919" s="23"/>
      <c r="M4919" s="131"/>
      <c r="N4919" s="131"/>
      <c r="O4919" s="131"/>
    </row>
    <row r="4920" spans="4:15" x14ac:dyDescent="0.3">
      <c r="D4920" s="33"/>
      <c r="E4920" s="127"/>
      <c r="F4920" s="128"/>
      <c r="G4920" s="128"/>
      <c r="H4920" s="129"/>
      <c r="I4920" s="130"/>
      <c r="J4920" s="23"/>
      <c r="K4920" s="23"/>
      <c r="L4920" s="23"/>
      <c r="M4920" s="131"/>
      <c r="N4920" s="131"/>
      <c r="O4920" s="131"/>
    </row>
    <row r="4921" spans="4:15" x14ac:dyDescent="0.3">
      <c r="D4921" s="33"/>
      <c r="E4921" s="127"/>
      <c r="F4921" s="128"/>
      <c r="G4921" s="128"/>
      <c r="H4921" s="129"/>
      <c r="I4921" s="130"/>
      <c r="J4921" s="23"/>
      <c r="K4921" s="23"/>
      <c r="L4921" s="23"/>
      <c r="M4921" s="131"/>
      <c r="N4921" s="131"/>
      <c r="O4921" s="131"/>
    </row>
    <row r="4922" spans="4:15" x14ac:dyDescent="0.3">
      <c r="D4922" s="33"/>
      <c r="E4922" s="127"/>
      <c r="F4922" s="128"/>
      <c r="G4922" s="128"/>
      <c r="H4922" s="129"/>
      <c r="I4922" s="130"/>
      <c r="J4922" s="23"/>
      <c r="K4922" s="23"/>
      <c r="L4922" s="23"/>
      <c r="M4922" s="131"/>
      <c r="N4922" s="131"/>
      <c r="O4922" s="131"/>
    </row>
    <row r="4923" spans="4:15" x14ac:dyDescent="0.3">
      <c r="D4923" s="33"/>
      <c r="E4923" s="127"/>
      <c r="F4923" s="128"/>
      <c r="G4923" s="128"/>
      <c r="H4923" s="129"/>
      <c r="I4923" s="130"/>
      <c r="J4923" s="23"/>
      <c r="K4923" s="23"/>
      <c r="L4923" s="23"/>
      <c r="M4923" s="131"/>
      <c r="N4923" s="131"/>
      <c r="O4923" s="131"/>
    </row>
    <row r="4924" spans="4:15" x14ac:dyDescent="0.3">
      <c r="D4924" s="33"/>
      <c r="E4924" s="127"/>
      <c r="F4924" s="128"/>
      <c r="G4924" s="128"/>
      <c r="H4924" s="129"/>
      <c r="I4924" s="130"/>
      <c r="J4924" s="23"/>
      <c r="K4924" s="23"/>
      <c r="L4924" s="23"/>
      <c r="M4924" s="131"/>
      <c r="N4924" s="131"/>
      <c r="O4924" s="131"/>
    </row>
    <row r="4925" spans="4:15" x14ac:dyDescent="0.3">
      <c r="D4925" s="33"/>
      <c r="E4925" s="127"/>
      <c r="F4925" s="128"/>
      <c r="G4925" s="128"/>
      <c r="H4925" s="129"/>
      <c r="I4925" s="130"/>
      <c r="J4925" s="23"/>
      <c r="K4925" s="23"/>
      <c r="L4925" s="23"/>
      <c r="M4925" s="131"/>
      <c r="N4925" s="131"/>
      <c r="O4925" s="131"/>
    </row>
    <row r="4926" spans="4:15" x14ac:dyDescent="0.3">
      <c r="D4926" s="33"/>
      <c r="E4926" s="127"/>
      <c r="F4926" s="128"/>
      <c r="G4926" s="128"/>
      <c r="H4926" s="129"/>
      <c r="I4926" s="130"/>
      <c r="J4926" s="23"/>
      <c r="K4926" s="23"/>
      <c r="L4926" s="23"/>
      <c r="M4926" s="131"/>
      <c r="N4926" s="131"/>
      <c r="O4926" s="131"/>
    </row>
    <row r="4927" spans="4:15" x14ac:dyDescent="0.3">
      <c r="D4927" s="33"/>
      <c r="E4927" s="127"/>
      <c r="F4927" s="128"/>
      <c r="G4927" s="128"/>
      <c r="H4927" s="129"/>
      <c r="I4927" s="130"/>
      <c r="J4927" s="23"/>
      <c r="K4927" s="23"/>
      <c r="L4927" s="23"/>
      <c r="M4927" s="131"/>
      <c r="N4927" s="131"/>
      <c r="O4927" s="131"/>
    </row>
    <row r="4928" spans="4:15" x14ac:dyDescent="0.3">
      <c r="D4928" s="33"/>
      <c r="E4928" s="127"/>
      <c r="F4928" s="128"/>
      <c r="G4928" s="128"/>
      <c r="H4928" s="129"/>
      <c r="I4928" s="130"/>
      <c r="J4928" s="23"/>
      <c r="K4928" s="23"/>
      <c r="L4928" s="23"/>
      <c r="M4928" s="131"/>
      <c r="N4928" s="131"/>
      <c r="O4928" s="131"/>
    </row>
    <row r="4929" spans="4:15" x14ac:dyDescent="0.3">
      <c r="D4929" s="33"/>
      <c r="E4929" s="127"/>
      <c r="F4929" s="128"/>
      <c r="G4929" s="128"/>
      <c r="H4929" s="129"/>
      <c r="I4929" s="130"/>
      <c r="J4929" s="23"/>
      <c r="K4929" s="23"/>
      <c r="L4929" s="23"/>
      <c r="M4929" s="131"/>
      <c r="N4929" s="131"/>
      <c r="O4929" s="131"/>
    </row>
    <row r="4930" spans="4:15" x14ac:dyDescent="0.3">
      <c r="D4930" s="33"/>
      <c r="E4930" s="127"/>
      <c r="F4930" s="128"/>
      <c r="G4930" s="128"/>
      <c r="H4930" s="129"/>
      <c r="I4930" s="130"/>
      <c r="J4930" s="23"/>
      <c r="K4930" s="23"/>
      <c r="L4930" s="23"/>
      <c r="M4930" s="131"/>
      <c r="N4930" s="131"/>
      <c r="O4930" s="131"/>
    </row>
    <row r="4931" spans="4:15" x14ac:dyDescent="0.3">
      <c r="D4931" s="33"/>
      <c r="E4931" s="127"/>
      <c r="F4931" s="128"/>
      <c r="G4931" s="128"/>
      <c r="H4931" s="129"/>
      <c r="I4931" s="130"/>
      <c r="J4931" s="23"/>
      <c r="K4931" s="23"/>
      <c r="L4931" s="23"/>
      <c r="M4931" s="131"/>
      <c r="N4931" s="131"/>
      <c r="O4931" s="131"/>
    </row>
    <row r="4932" spans="4:15" x14ac:dyDescent="0.3">
      <c r="D4932" s="33"/>
      <c r="E4932" s="127"/>
      <c r="F4932" s="128"/>
      <c r="G4932" s="128"/>
      <c r="H4932" s="129"/>
      <c r="I4932" s="130"/>
      <c r="J4932" s="23"/>
      <c r="K4932" s="23"/>
      <c r="L4932" s="23"/>
      <c r="M4932" s="131"/>
      <c r="N4932" s="131"/>
      <c r="O4932" s="131"/>
    </row>
    <row r="4933" spans="4:15" x14ac:dyDescent="0.3">
      <c r="D4933" s="33"/>
      <c r="E4933" s="127"/>
      <c r="F4933" s="128"/>
      <c r="G4933" s="128"/>
      <c r="H4933" s="129"/>
      <c r="I4933" s="130"/>
      <c r="J4933" s="23"/>
      <c r="K4933" s="23"/>
      <c r="L4933" s="23"/>
      <c r="M4933" s="131"/>
      <c r="N4933" s="131"/>
      <c r="O4933" s="131"/>
    </row>
    <row r="4934" spans="4:15" x14ac:dyDescent="0.3">
      <c r="D4934" s="33"/>
      <c r="E4934" s="127"/>
      <c r="F4934" s="128"/>
      <c r="G4934" s="128"/>
      <c r="H4934" s="129"/>
      <c r="I4934" s="130"/>
      <c r="J4934" s="23"/>
      <c r="K4934" s="23"/>
      <c r="L4934" s="23"/>
      <c r="M4934" s="131"/>
      <c r="N4934" s="131"/>
      <c r="O4934" s="131"/>
    </row>
    <row r="4935" spans="4:15" x14ac:dyDescent="0.3">
      <c r="D4935" s="33"/>
      <c r="E4935" s="127"/>
      <c r="F4935" s="128"/>
      <c r="G4935" s="128"/>
      <c r="H4935" s="129"/>
      <c r="I4935" s="130"/>
      <c r="J4935" s="23"/>
      <c r="K4935" s="23"/>
      <c r="L4935" s="23"/>
      <c r="M4935" s="131"/>
      <c r="N4935" s="131"/>
      <c r="O4935" s="131"/>
    </row>
    <row r="4936" spans="4:15" x14ac:dyDescent="0.3">
      <c r="D4936" s="33"/>
      <c r="E4936" s="127"/>
      <c r="F4936" s="128"/>
      <c r="G4936" s="128"/>
      <c r="H4936" s="129"/>
      <c r="I4936" s="130"/>
      <c r="J4936" s="23"/>
      <c r="K4936" s="23"/>
      <c r="L4936" s="23"/>
      <c r="M4936" s="131"/>
      <c r="N4936" s="131"/>
      <c r="O4936" s="131"/>
    </row>
    <row r="4937" spans="4:15" x14ac:dyDescent="0.3">
      <c r="D4937" s="33"/>
      <c r="E4937" s="127"/>
      <c r="F4937" s="128"/>
      <c r="G4937" s="128"/>
      <c r="H4937" s="129"/>
      <c r="I4937" s="130"/>
      <c r="J4937" s="23"/>
      <c r="K4937" s="23"/>
      <c r="L4937" s="23"/>
      <c r="M4937" s="131"/>
      <c r="N4937" s="131"/>
      <c r="O4937" s="131"/>
    </row>
    <row r="4938" spans="4:15" x14ac:dyDescent="0.3">
      <c r="D4938" s="33"/>
      <c r="E4938" s="127"/>
      <c r="F4938" s="128"/>
      <c r="G4938" s="128"/>
      <c r="H4938" s="129"/>
      <c r="I4938" s="130"/>
      <c r="J4938" s="23"/>
      <c r="K4938" s="23"/>
      <c r="L4938" s="23"/>
      <c r="M4938" s="131"/>
      <c r="N4938" s="131"/>
      <c r="O4938" s="131"/>
    </row>
    <row r="4939" spans="4:15" x14ac:dyDescent="0.3">
      <c r="D4939" s="33"/>
      <c r="E4939" s="127"/>
      <c r="F4939" s="128"/>
      <c r="G4939" s="128"/>
      <c r="H4939" s="129"/>
      <c r="I4939" s="130"/>
      <c r="J4939" s="23"/>
      <c r="K4939" s="23"/>
      <c r="L4939" s="23"/>
      <c r="M4939" s="131"/>
      <c r="N4939" s="131"/>
      <c r="O4939" s="131"/>
    </row>
    <row r="4940" spans="4:15" x14ac:dyDescent="0.3">
      <c r="D4940" s="33"/>
      <c r="E4940" s="127"/>
      <c r="F4940" s="128"/>
      <c r="G4940" s="128"/>
      <c r="H4940" s="129"/>
      <c r="I4940" s="130"/>
      <c r="J4940" s="23"/>
      <c r="K4940" s="23"/>
      <c r="L4940" s="23"/>
      <c r="M4940" s="131"/>
      <c r="N4940" s="131"/>
      <c r="O4940" s="131"/>
    </row>
    <row r="4941" spans="4:15" x14ac:dyDescent="0.3">
      <c r="D4941" s="33"/>
      <c r="E4941" s="127"/>
      <c r="F4941" s="128"/>
      <c r="G4941" s="128"/>
      <c r="H4941" s="129"/>
      <c r="I4941" s="130"/>
      <c r="J4941" s="23"/>
      <c r="K4941" s="23"/>
      <c r="L4941" s="23"/>
      <c r="M4941" s="131"/>
      <c r="N4941" s="131"/>
      <c r="O4941" s="131"/>
    </row>
    <row r="4942" spans="4:15" x14ac:dyDescent="0.3">
      <c r="D4942" s="33"/>
      <c r="E4942" s="127"/>
      <c r="F4942" s="128"/>
      <c r="G4942" s="128"/>
      <c r="H4942" s="129"/>
      <c r="I4942" s="130"/>
      <c r="J4942" s="23"/>
      <c r="K4942" s="23"/>
      <c r="L4942" s="23"/>
      <c r="M4942" s="131"/>
      <c r="N4942" s="131"/>
      <c r="O4942" s="131"/>
    </row>
    <row r="4943" spans="4:15" x14ac:dyDescent="0.3">
      <c r="D4943" s="33"/>
      <c r="E4943" s="127"/>
      <c r="F4943" s="128"/>
      <c r="G4943" s="128"/>
      <c r="H4943" s="129"/>
      <c r="I4943" s="130"/>
      <c r="J4943" s="23"/>
      <c r="K4943" s="23"/>
      <c r="L4943" s="23"/>
      <c r="M4943" s="131"/>
      <c r="N4943" s="131"/>
      <c r="O4943" s="131"/>
    </row>
    <row r="4944" spans="4:15" x14ac:dyDescent="0.3">
      <c r="D4944" s="33"/>
      <c r="E4944" s="127"/>
      <c r="F4944" s="128"/>
      <c r="G4944" s="128"/>
      <c r="H4944" s="129"/>
      <c r="I4944" s="130"/>
      <c r="J4944" s="23"/>
      <c r="K4944" s="23"/>
      <c r="L4944" s="23"/>
      <c r="M4944" s="131"/>
      <c r="N4944" s="131"/>
      <c r="O4944" s="131"/>
    </row>
    <row r="4945" spans="4:15" x14ac:dyDescent="0.3">
      <c r="D4945" s="33"/>
      <c r="E4945" s="127"/>
      <c r="F4945" s="128"/>
      <c r="G4945" s="128"/>
      <c r="H4945" s="129"/>
      <c r="I4945" s="130"/>
      <c r="J4945" s="23"/>
      <c r="K4945" s="23"/>
      <c r="L4945" s="23"/>
      <c r="M4945" s="131"/>
      <c r="N4945" s="131"/>
      <c r="O4945" s="131"/>
    </row>
    <row r="4946" spans="4:15" x14ac:dyDescent="0.3">
      <c r="D4946" s="33"/>
      <c r="E4946" s="127"/>
      <c r="F4946" s="128"/>
      <c r="G4946" s="128"/>
      <c r="H4946" s="129"/>
      <c r="I4946" s="130"/>
      <c r="J4946" s="23"/>
      <c r="K4946" s="23"/>
      <c r="L4946" s="23"/>
      <c r="M4946" s="131"/>
      <c r="N4946" s="131"/>
      <c r="O4946" s="131"/>
    </row>
    <row r="4947" spans="4:15" x14ac:dyDescent="0.3">
      <c r="D4947" s="33"/>
      <c r="E4947" s="127"/>
      <c r="F4947" s="128"/>
      <c r="G4947" s="128"/>
      <c r="H4947" s="129"/>
      <c r="I4947" s="130"/>
      <c r="J4947" s="23"/>
      <c r="K4947" s="23"/>
      <c r="L4947" s="23"/>
      <c r="M4947" s="131"/>
      <c r="N4947" s="131"/>
      <c r="O4947" s="131"/>
    </row>
    <row r="4948" spans="4:15" x14ac:dyDescent="0.3">
      <c r="D4948" s="33"/>
      <c r="E4948" s="127"/>
      <c r="F4948" s="128"/>
      <c r="G4948" s="128"/>
      <c r="H4948" s="129"/>
      <c r="I4948" s="130"/>
      <c r="J4948" s="23"/>
      <c r="K4948" s="23"/>
      <c r="L4948" s="23"/>
      <c r="M4948" s="131"/>
      <c r="N4948" s="131"/>
      <c r="O4948" s="131"/>
    </row>
    <row r="4949" spans="4:15" x14ac:dyDescent="0.3">
      <c r="D4949" s="33"/>
      <c r="E4949" s="127"/>
      <c r="F4949" s="128"/>
      <c r="G4949" s="128"/>
      <c r="H4949" s="129"/>
      <c r="I4949" s="130"/>
      <c r="J4949" s="23"/>
      <c r="K4949" s="23"/>
      <c r="L4949" s="23"/>
      <c r="M4949" s="131"/>
      <c r="N4949" s="131"/>
      <c r="O4949" s="131"/>
    </row>
    <row r="4950" spans="4:15" x14ac:dyDescent="0.3">
      <c r="D4950" s="33"/>
      <c r="E4950" s="127"/>
      <c r="F4950" s="128"/>
      <c r="G4950" s="128"/>
      <c r="H4950" s="129"/>
      <c r="I4950" s="130"/>
      <c r="J4950" s="23"/>
      <c r="K4950" s="23"/>
      <c r="L4950" s="23"/>
      <c r="M4950" s="131"/>
      <c r="N4950" s="131"/>
      <c r="O4950" s="131"/>
    </row>
    <row r="4951" spans="4:15" x14ac:dyDescent="0.3">
      <c r="D4951" s="33"/>
      <c r="E4951" s="127"/>
      <c r="F4951" s="128"/>
      <c r="G4951" s="128"/>
      <c r="H4951" s="129"/>
      <c r="I4951" s="130"/>
      <c r="J4951" s="23"/>
      <c r="K4951" s="23"/>
      <c r="L4951" s="23"/>
      <c r="M4951" s="131"/>
      <c r="N4951" s="131"/>
      <c r="O4951" s="131"/>
    </row>
    <row r="4952" spans="4:15" x14ac:dyDescent="0.3">
      <c r="D4952" s="33"/>
      <c r="E4952" s="127"/>
      <c r="F4952" s="128"/>
      <c r="G4952" s="128"/>
      <c r="H4952" s="129"/>
      <c r="I4952" s="130"/>
      <c r="J4952" s="23"/>
      <c r="K4952" s="23"/>
      <c r="L4952" s="23"/>
      <c r="M4952" s="131"/>
      <c r="N4952" s="131"/>
      <c r="O4952" s="131"/>
    </row>
    <row r="4953" spans="4:15" x14ac:dyDescent="0.3">
      <c r="D4953" s="33"/>
      <c r="E4953" s="127"/>
      <c r="F4953" s="128"/>
      <c r="G4953" s="128"/>
      <c r="H4953" s="129"/>
      <c r="I4953" s="130"/>
      <c r="J4953" s="23"/>
      <c r="K4953" s="23"/>
      <c r="L4953" s="23"/>
      <c r="M4953" s="131"/>
      <c r="N4953" s="131"/>
      <c r="O4953" s="131"/>
    </row>
    <row r="4954" spans="4:15" x14ac:dyDescent="0.3">
      <c r="D4954" s="33"/>
      <c r="E4954" s="127"/>
      <c r="F4954" s="128"/>
      <c r="G4954" s="128"/>
      <c r="H4954" s="129"/>
      <c r="I4954" s="130"/>
      <c r="J4954" s="23"/>
      <c r="K4954" s="23"/>
      <c r="L4954" s="23"/>
      <c r="M4954" s="131"/>
      <c r="N4954" s="131"/>
      <c r="O4954" s="131"/>
    </row>
    <row r="4955" spans="4:15" x14ac:dyDescent="0.3">
      <c r="D4955" s="33"/>
      <c r="E4955" s="127"/>
      <c r="F4955" s="128"/>
      <c r="G4955" s="128"/>
      <c r="H4955" s="129"/>
      <c r="I4955" s="130"/>
      <c r="J4955" s="23"/>
      <c r="K4955" s="23"/>
      <c r="L4955" s="23"/>
      <c r="M4955" s="131"/>
      <c r="N4955" s="131"/>
      <c r="O4955" s="131"/>
    </row>
    <row r="4956" spans="4:15" x14ac:dyDescent="0.3">
      <c r="D4956" s="33"/>
      <c r="E4956" s="127"/>
      <c r="F4956" s="128"/>
      <c r="G4956" s="128"/>
      <c r="H4956" s="129"/>
      <c r="I4956" s="130"/>
      <c r="J4956" s="23"/>
      <c r="K4956" s="23"/>
      <c r="L4956" s="23"/>
      <c r="M4956" s="131"/>
      <c r="N4956" s="131"/>
      <c r="O4956" s="131"/>
    </row>
    <row r="4957" spans="4:15" x14ac:dyDescent="0.3">
      <c r="D4957" s="33"/>
      <c r="E4957" s="127"/>
      <c r="F4957" s="128"/>
      <c r="G4957" s="128"/>
      <c r="H4957" s="129"/>
      <c r="I4957" s="130"/>
      <c r="J4957" s="23"/>
      <c r="K4957" s="23"/>
      <c r="L4957" s="23"/>
      <c r="M4957" s="131"/>
      <c r="N4957" s="131"/>
      <c r="O4957" s="131"/>
    </row>
    <row r="4958" spans="4:15" x14ac:dyDescent="0.3">
      <c r="D4958" s="33"/>
      <c r="E4958" s="127"/>
      <c r="F4958" s="128"/>
      <c r="G4958" s="128"/>
      <c r="H4958" s="129"/>
      <c r="I4958" s="130"/>
      <c r="J4958" s="23"/>
      <c r="K4958" s="23"/>
      <c r="L4958" s="23"/>
      <c r="M4958" s="131"/>
      <c r="N4958" s="131"/>
      <c r="O4958" s="131"/>
    </row>
    <row r="4959" spans="4:15" x14ac:dyDescent="0.3">
      <c r="D4959" s="33"/>
      <c r="E4959" s="127"/>
      <c r="F4959" s="128"/>
      <c r="G4959" s="128"/>
      <c r="H4959" s="129"/>
      <c r="I4959" s="130"/>
      <c r="J4959" s="23"/>
      <c r="K4959" s="23"/>
      <c r="L4959" s="23"/>
      <c r="M4959" s="131"/>
      <c r="N4959" s="131"/>
      <c r="O4959" s="131"/>
    </row>
    <row r="4960" spans="4:15" x14ac:dyDescent="0.3">
      <c r="D4960" s="33"/>
      <c r="E4960" s="127"/>
      <c r="F4960" s="128"/>
      <c r="G4960" s="128"/>
      <c r="H4960" s="129"/>
      <c r="I4960" s="130"/>
      <c r="J4960" s="23"/>
      <c r="K4960" s="23"/>
      <c r="L4960" s="23"/>
      <c r="M4960" s="131"/>
      <c r="N4960" s="131"/>
      <c r="O4960" s="131"/>
    </row>
    <row r="4961" spans="4:15" x14ac:dyDescent="0.3">
      <c r="D4961" s="33"/>
      <c r="E4961" s="127"/>
      <c r="F4961" s="128"/>
      <c r="G4961" s="128"/>
      <c r="H4961" s="129"/>
      <c r="I4961" s="130"/>
      <c r="J4961" s="23"/>
      <c r="K4961" s="23"/>
      <c r="L4961" s="23"/>
      <c r="M4961" s="131"/>
      <c r="N4961" s="131"/>
      <c r="O4961" s="131"/>
    </row>
    <row r="4962" spans="4:15" x14ac:dyDescent="0.3">
      <c r="D4962" s="33"/>
      <c r="E4962" s="127"/>
      <c r="F4962" s="128"/>
      <c r="G4962" s="128"/>
      <c r="H4962" s="129"/>
      <c r="I4962" s="130"/>
      <c r="J4962" s="23"/>
      <c r="K4962" s="23"/>
      <c r="L4962" s="23"/>
      <c r="M4962" s="131"/>
      <c r="N4962" s="131"/>
      <c r="O4962" s="131"/>
    </row>
    <row r="4963" spans="4:15" x14ac:dyDescent="0.3">
      <c r="D4963" s="33"/>
      <c r="E4963" s="127"/>
      <c r="F4963" s="128"/>
      <c r="G4963" s="128"/>
      <c r="H4963" s="129"/>
      <c r="I4963" s="130"/>
      <c r="J4963" s="23"/>
      <c r="K4963" s="23"/>
      <c r="L4963" s="23"/>
      <c r="M4963" s="131"/>
      <c r="N4963" s="131"/>
      <c r="O4963" s="131"/>
    </row>
    <row r="4964" spans="4:15" x14ac:dyDescent="0.3">
      <c r="D4964" s="33"/>
      <c r="E4964" s="127"/>
      <c r="F4964" s="128"/>
      <c r="G4964" s="128"/>
      <c r="H4964" s="129"/>
      <c r="I4964" s="130"/>
      <c r="J4964" s="23"/>
      <c r="K4964" s="23"/>
      <c r="L4964" s="23"/>
      <c r="M4964" s="131"/>
      <c r="N4964" s="131"/>
      <c r="O4964" s="131"/>
    </row>
    <row r="4965" spans="4:15" x14ac:dyDescent="0.3">
      <c r="D4965" s="33"/>
      <c r="E4965" s="127"/>
      <c r="F4965" s="128"/>
      <c r="G4965" s="128"/>
      <c r="H4965" s="129"/>
      <c r="I4965" s="130"/>
      <c r="J4965" s="23"/>
      <c r="K4965" s="23"/>
      <c r="L4965" s="23"/>
      <c r="M4965" s="131"/>
      <c r="N4965" s="131"/>
      <c r="O4965" s="131"/>
    </row>
    <row r="4966" spans="4:15" x14ac:dyDescent="0.3">
      <c r="D4966" s="33"/>
      <c r="E4966" s="127"/>
      <c r="F4966" s="128"/>
      <c r="G4966" s="128"/>
      <c r="H4966" s="129"/>
      <c r="I4966" s="130"/>
      <c r="J4966" s="23"/>
      <c r="K4966" s="23"/>
      <c r="L4966" s="23"/>
      <c r="M4966" s="131"/>
      <c r="N4966" s="131"/>
      <c r="O4966" s="131"/>
    </row>
    <row r="4967" spans="4:15" x14ac:dyDescent="0.3">
      <c r="D4967" s="33"/>
      <c r="E4967" s="127"/>
      <c r="F4967" s="128"/>
      <c r="G4967" s="128"/>
      <c r="H4967" s="129"/>
      <c r="I4967" s="130"/>
      <c r="J4967" s="23"/>
      <c r="K4967" s="23"/>
      <c r="L4967" s="23"/>
      <c r="M4967" s="131"/>
      <c r="N4967" s="131"/>
      <c r="O4967" s="131"/>
    </row>
    <row r="4968" spans="4:15" x14ac:dyDescent="0.3">
      <c r="D4968" s="33"/>
      <c r="E4968" s="127"/>
      <c r="F4968" s="128"/>
      <c r="G4968" s="128"/>
      <c r="H4968" s="129"/>
      <c r="I4968" s="130"/>
      <c r="J4968" s="23"/>
      <c r="K4968" s="23"/>
      <c r="L4968" s="23"/>
      <c r="M4968" s="131"/>
      <c r="N4968" s="131"/>
      <c r="O4968" s="131"/>
    </row>
    <row r="4969" spans="4:15" x14ac:dyDescent="0.3">
      <c r="D4969" s="33"/>
      <c r="E4969" s="127"/>
      <c r="F4969" s="128"/>
      <c r="G4969" s="128"/>
      <c r="H4969" s="129"/>
      <c r="I4969" s="130"/>
      <c r="J4969" s="23"/>
      <c r="K4969" s="23"/>
      <c r="L4969" s="23"/>
      <c r="M4969" s="131"/>
      <c r="N4969" s="131"/>
      <c r="O4969" s="131"/>
    </row>
    <row r="4970" spans="4:15" x14ac:dyDescent="0.3">
      <c r="D4970" s="33"/>
      <c r="E4970" s="127"/>
      <c r="F4970" s="128"/>
      <c r="G4970" s="128"/>
      <c r="H4970" s="129"/>
      <c r="I4970" s="130"/>
      <c r="J4970" s="23"/>
      <c r="K4970" s="23"/>
      <c r="L4970" s="23"/>
      <c r="M4970" s="131"/>
      <c r="N4970" s="131"/>
      <c r="O4970" s="131"/>
    </row>
    <row r="4971" spans="4:15" x14ac:dyDescent="0.3">
      <c r="D4971" s="33"/>
      <c r="E4971" s="127"/>
      <c r="F4971" s="128"/>
      <c r="G4971" s="128"/>
      <c r="H4971" s="129"/>
      <c r="I4971" s="130"/>
      <c r="J4971" s="23"/>
      <c r="K4971" s="23"/>
      <c r="L4971" s="23"/>
      <c r="M4971" s="131"/>
      <c r="N4971" s="131"/>
      <c r="O4971" s="131"/>
    </row>
    <row r="4972" spans="4:15" x14ac:dyDescent="0.3">
      <c r="D4972" s="33"/>
      <c r="E4972" s="127"/>
      <c r="F4972" s="128"/>
      <c r="G4972" s="128"/>
      <c r="H4972" s="129"/>
      <c r="I4972" s="130"/>
      <c r="J4972" s="23"/>
      <c r="K4972" s="23"/>
      <c r="L4972" s="23"/>
      <c r="M4972" s="131"/>
      <c r="N4972" s="131"/>
      <c r="O4972" s="131"/>
    </row>
    <row r="4973" spans="4:15" x14ac:dyDescent="0.3">
      <c r="D4973" s="33"/>
      <c r="E4973" s="127"/>
      <c r="F4973" s="128"/>
      <c r="G4973" s="128"/>
      <c r="H4973" s="129"/>
      <c r="I4973" s="130"/>
      <c r="J4973" s="23"/>
      <c r="K4973" s="23"/>
      <c r="L4973" s="23"/>
      <c r="M4973" s="131"/>
      <c r="N4973" s="131"/>
      <c r="O4973" s="131"/>
    </row>
    <row r="4974" spans="4:15" x14ac:dyDescent="0.3">
      <c r="D4974" s="33"/>
      <c r="E4974" s="127"/>
      <c r="F4974" s="128"/>
      <c r="G4974" s="128"/>
      <c r="H4974" s="129"/>
      <c r="I4974" s="130"/>
      <c r="J4974" s="23"/>
      <c r="K4974" s="23"/>
      <c r="L4974" s="23"/>
      <c r="M4974" s="131"/>
      <c r="N4974" s="131"/>
      <c r="O4974" s="131"/>
    </row>
    <row r="4975" spans="4:15" x14ac:dyDescent="0.3">
      <c r="D4975" s="33"/>
      <c r="E4975" s="127"/>
      <c r="F4975" s="128"/>
      <c r="G4975" s="128"/>
      <c r="H4975" s="129"/>
      <c r="I4975" s="130"/>
      <c r="J4975" s="23"/>
      <c r="K4975" s="23"/>
      <c r="L4975" s="23"/>
      <c r="M4975" s="131"/>
      <c r="N4975" s="131"/>
      <c r="O4975" s="131"/>
    </row>
    <row r="4976" spans="4:15" x14ac:dyDescent="0.3">
      <c r="D4976" s="33"/>
      <c r="E4976" s="127"/>
      <c r="F4976" s="128"/>
      <c r="G4976" s="128"/>
      <c r="H4976" s="129"/>
      <c r="I4976" s="130"/>
      <c r="J4976" s="23"/>
      <c r="K4976" s="23"/>
      <c r="L4976" s="23"/>
      <c r="M4976" s="131"/>
      <c r="N4976" s="131"/>
      <c r="O4976" s="131"/>
    </row>
    <row r="4977" spans="4:15" x14ac:dyDescent="0.3">
      <c r="D4977" s="33"/>
      <c r="E4977" s="127"/>
      <c r="F4977" s="128"/>
      <c r="G4977" s="128"/>
      <c r="H4977" s="129"/>
      <c r="I4977" s="130"/>
      <c r="J4977" s="23"/>
      <c r="K4977" s="23"/>
      <c r="L4977" s="23"/>
      <c r="M4977" s="131"/>
      <c r="N4977" s="131"/>
      <c r="O4977" s="131"/>
    </row>
    <row r="4978" spans="4:15" x14ac:dyDescent="0.3">
      <c r="D4978" s="33"/>
      <c r="E4978" s="127"/>
      <c r="F4978" s="128"/>
      <c r="G4978" s="128"/>
      <c r="H4978" s="129"/>
      <c r="I4978" s="130"/>
      <c r="J4978" s="23"/>
      <c r="K4978" s="23"/>
      <c r="L4978" s="23"/>
      <c r="M4978" s="131"/>
      <c r="N4978" s="131"/>
      <c r="O4978" s="131"/>
    </row>
    <row r="4979" spans="4:15" x14ac:dyDescent="0.3">
      <c r="D4979" s="33"/>
      <c r="E4979" s="127"/>
      <c r="F4979" s="128"/>
      <c r="G4979" s="128"/>
      <c r="H4979" s="129"/>
      <c r="I4979" s="130"/>
      <c r="J4979" s="23"/>
      <c r="K4979" s="23"/>
      <c r="L4979" s="23"/>
      <c r="M4979" s="131"/>
      <c r="N4979" s="131"/>
      <c r="O4979" s="131"/>
    </row>
    <row r="4980" spans="4:15" x14ac:dyDescent="0.3">
      <c r="D4980" s="33"/>
      <c r="E4980" s="127"/>
      <c r="F4980" s="128"/>
      <c r="G4980" s="128"/>
      <c r="H4980" s="129"/>
      <c r="I4980" s="130"/>
      <c r="J4980" s="23"/>
      <c r="K4980" s="23"/>
      <c r="L4980" s="23"/>
      <c r="M4980" s="131"/>
      <c r="N4980" s="131"/>
      <c r="O4980" s="131"/>
    </row>
    <row r="4981" spans="4:15" x14ac:dyDescent="0.3">
      <c r="D4981" s="33"/>
      <c r="E4981" s="127"/>
      <c r="F4981" s="128"/>
      <c r="G4981" s="128"/>
      <c r="H4981" s="129"/>
      <c r="I4981" s="130"/>
      <c r="J4981" s="23"/>
      <c r="K4981" s="23"/>
      <c r="L4981" s="23"/>
      <c r="M4981" s="131"/>
      <c r="N4981" s="131"/>
      <c r="O4981" s="131"/>
    </row>
    <row r="4982" spans="4:15" x14ac:dyDescent="0.3">
      <c r="D4982" s="33"/>
      <c r="E4982" s="127"/>
      <c r="F4982" s="128"/>
      <c r="G4982" s="128"/>
      <c r="H4982" s="129"/>
      <c r="I4982" s="130"/>
      <c r="J4982" s="23"/>
      <c r="K4982" s="23"/>
      <c r="L4982" s="23"/>
      <c r="M4982" s="131"/>
      <c r="N4982" s="131"/>
      <c r="O4982" s="131"/>
    </row>
    <row r="4983" spans="4:15" x14ac:dyDescent="0.3">
      <c r="D4983" s="33"/>
      <c r="E4983" s="127"/>
      <c r="F4983" s="128"/>
      <c r="G4983" s="128"/>
      <c r="H4983" s="129"/>
      <c r="I4983" s="130"/>
      <c r="J4983" s="23"/>
      <c r="K4983" s="23"/>
      <c r="L4983" s="23"/>
      <c r="M4983" s="131"/>
      <c r="N4983" s="131"/>
      <c r="O4983" s="131"/>
    </row>
    <row r="4984" spans="4:15" x14ac:dyDescent="0.3">
      <c r="D4984" s="33"/>
      <c r="E4984" s="127"/>
      <c r="F4984" s="128"/>
      <c r="G4984" s="128"/>
      <c r="H4984" s="129"/>
      <c r="I4984" s="130"/>
      <c r="J4984" s="23"/>
      <c r="K4984" s="23"/>
      <c r="L4984" s="23"/>
      <c r="M4984" s="131"/>
      <c r="N4984" s="131"/>
      <c r="O4984" s="131"/>
    </row>
    <row r="4985" spans="4:15" x14ac:dyDescent="0.3">
      <c r="D4985" s="33"/>
      <c r="E4985" s="127"/>
      <c r="F4985" s="128"/>
      <c r="G4985" s="128"/>
      <c r="H4985" s="129"/>
      <c r="I4985" s="130"/>
      <c r="J4985" s="23"/>
      <c r="K4985" s="23"/>
      <c r="L4985" s="23"/>
      <c r="M4985" s="131"/>
      <c r="N4985" s="131"/>
      <c r="O4985" s="131"/>
    </row>
    <row r="4986" spans="4:15" x14ac:dyDescent="0.3">
      <c r="D4986" s="33"/>
      <c r="E4986" s="127"/>
      <c r="F4986" s="128"/>
      <c r="G4986" s="128"/>
      <c r="H4986" s="129"/>
      <c r="I4986" s="130"/>
      <c r="J4986" s="23"/>
      <c r="K4986" s="23"/>
      <c r="L4986" s="23"/>
      <c r="M4986" s="131"/>
      <c r="N4986" s="131"/>
      <c r="O4986" s="131"/>
    </row>
    <row r="4987" spans="4:15" x14ac:dyDescent="0.3">
      <c r="D4987" s="33"/>
      <c r="E4987" s="127"/>
      <c r="F4987" s="128"/>
      <c r="G4987" s="128"/>
      <c r="H4987" s="129"/>
      <c r="I4987" s="130"/>
      <c r="J4987" s="23"/>
      <c r="K4987" s="23"/>
      <c r="L4987" s="23"/>
      <c r="M4987" s="131"/>
      <c r="N4987" s="131"/>
      <c r="O4987" s="131"/>
    </row>
    <row r="4988" spans="4:15" x14ac:dyDescent="0.3">
      <c r="D4988" s="33"/>
      <c r="E4988" s="127"/>
      <c r="F4988" s="128"/>
      <c r="G4988" s="128"/>
      <c r="H4988" s="129"/>
      <c r="I4988" s="130"/>
      <c r="J4988" s="23"/>
      <c r="K4988" s="23"/>
      <c r="L4988" s="23"/>
      <c r="M4988" s="131"/>
      <c r="N4988" s="131"/>
      <c r="O4988" s="131"/>
    </row>
    <row r="4989" spans="4:15" x14ac:dyDescent="0.3">
      <c r="D4989" s="33"/>
      <c r="E4989" s="127"/>
      <c r="F4989" s="128"/>
      <c r="G4989" s="128"/>
      <c r="H4989" s="129"/>
      <c r="I4989" s="130"/>
      <c r="J4989" s="23"/>
      <c r="K4989" s="23"/>
      <c r="L4989" s="23"/>
      <c r="M4989" s="131"/>
      <c r="N4989" s="131"/>
      <c r="O4989" s="131"/>
    </row>
    <row r="4990" spans="4:15" x14ac:dyDescent="0.3">
      <c r="D4990" s="33"/>
      <c r="E4990" s="127"/>
      <c r="F4990" s="128"/>
      <c r="G4990" s="128"/>
      <c r="H4990" s="129"/>
      <c r="I4990" s="130"/>
      <c r="J4990" s="23"/>
      <c r="K4990" s="23"/>
      <c r="L4990" s="23"/>
      <c r="M4990" s="131"/>
      <c r="N4990" s="131"/>
      <c r="O4990" s="131"/>
    </row>
    <row r="4991" spans="4:15" x14ac:dyDescent="0.3">
      <c r="D4991" s="33"/>
      <c r="E4991" s="127"/>
      <c r="F4991" s="128"/>
      <c r="G4991" s="128"/>
      <c r="H4991" s="129"/>
      <c r="I4991" s="130"/>
      <c r="J4991" s="23"/>
      <c r="K4991" s="23"/>
      <c r="L4991" s="23"/>
      <c r="M4991" s="131"/>
      <c r="N4991" s="131"/>
      <c r="O4991" s="131"/>
    </row>
    <row r="4992" spans="4:15" x14ac:dyDescent="0.3">
      <c r="D4992" s="33"/>
      <c r="E4992" s="127"/>
      <c r="F4992" s="128"/>
      <c r="G4992" s="128"/>
      <c r="H4992" s="129"/>
      <c r="I4992" s="130"/>
      <c r="J4992" s="23"/>
      <c r="K4992" s="23"/>
      <c r="L4992" s="23"/>
      <c r="M4992" s="131"/>
      <c r="N4992" s="131"/>
      <c r="O4992" s="131"/>
    </row>
    <row r="4993" spans="4:15" x14ac:dyDescent="0.3">
      <c r="D4993" s="33"/>
      <c r="E4993" s="127"/>
      <c r="F4993" s="128"/>
      <c r="G4993" s="128"/>
      <c r="H4993" s="129"/>
      <c r="I4993" s="130"/>
      <c r="J4993" s="23"/>
      <c r="K4993" s="23"/>
      <c r="L4993" s="23"/>
      <c r="M4993" s="131"/>
      <c r="N4993" s="131"/>
      <c r="O4993" s="131"/>
    </row>
    <row r="4994" spans="4:15" x14ac:dyDescent="0.3">
      <c r="D4994" s="33"/>
      <c r="E4994" s="127"/>
      <c r="F4994" s="128"/>
      <c r="G4994" s="128"/>
      <c r="H4994" s="129"/>
      <c r="I4994" s="130"/>
      <c r="J4994" s="23"/>
      <c r="K4994" s="23"/>
      <c r="L4994" s="23"/>
      <c r="M4994" s="131"/>
      <c r="N4994" s="131"/>
      <c r="O4994" s="131"/>
    </row>
    <row r="4995" spans="4:15" x14ac:dyDescent="0.3">
      <c r="D4995" s="33"/>
      <c r="E4995" s="127"/>
      <c r="F4995" s="128"/>
      <c r="G4995" s="128"/>
      <c r="H4995" s="129"/>
      <c r="I4995" s="130"/>
      <c r="J4995" s="23"/>
      <c r="K4995" s="23"/>
      <c r="L4995" s="23"/>
      <c r="M4995" s="131"/>
      <c r="N4995" s="131"/>
      <c r="O4995" s="131"/>
    </row>
    <row r="4996" spans="4:15" x14ac:dyDescent="0.3">
      <c r="D4996" s="33"/>
      <c r="E4996" s="127"/>
      <c r="F4996" s="128"/>
      <c r="G4996" s="128"/>
      <c r="H4996" s="129"/>
      <c r="I4996" s="130"/>
      <c r="J4996" s="23"/>
      <c r="K4996" s="23"/>
      <c r="L4996" s="23"/>
      <c r="M4996" s="131"/>
      <c r="N4996" s="131"/>
      <c r="O4996" s="131"/>
    </row>
    <row r="4997" spans="4:15" x14ac:dyDescent="0.3">
      <c r="D4997" s="33"/>
      <c r="E4997" s="127"/>
      <c r="F4997" s="128"/>
      <c r="G4997" s="128"/>
      <c r="H4997" s="129"/>
      <c r="I4997" s="130"/>
      <c r="J4997" s="23"/>
      <c r="K4997" s="23"/>
      <c r="L4997" s="23"/>
      <c r="M4997" s="131"/>
      <c r="N4997" s="131"/>
      <c r="O4997" s="131"/>
    </row>
    <row r="4998" spans="4:15" x14ac:dyDescent="0.3">
      <c r="D4998" s="33"/>
      <c r="E4998" s="127"/>
      <c r="F4998" s="128"/>
      <c r="G4998" s="128"/>
      <c r="H4998" s="129"/>
      <c r="I4998" s="130"/>
      <c r="J4998" s="23"/>
      <c r="K4998" s="23"/>
      <c r="L4998" s="23"/>
      <c r="M4998" s="131"/>
      <c r="N4998" s="131"/>
      <c r="O4998" s="131"/>
    </row>
    <row r="4999" spans="4:15" x14ac:dyDescent="0.3">
      <c r="D4999" s="33"/>
      <c r="E4999" s="127"/>
      <c r="F4999" s="128"/>
      <c r="G4999" s="128"/>
      <c r="H4999" s="129"/>
      <c r="I4999" s="130"/>
      <c r="J4999" s="23"/>
      <c r="K4999" s="23"/>
      <c r="L4999" s="23"/>
      <c r="M4999" s="131"/>
      <c r="N4999" s="131"/>
      <c r="O4999" s="131"/>
    </row>
    <row r="5000" spans="4:15" x14ac:dyDescent="0.3">
      <c r="D5000" s="33"/>
      <c r="E5000" s="127"/>
      <c r="F5000" s="128"/>
      <c r="G5000" s="128"/>
      <c r="H5000" s="129"/>
      <c r="I5000" s="130"/>
      <c r="J5000" s="23"/>
      <c r="K5000" s="23"/>
      <c r="L5000" s="23"/>
      <c r="M5000" s="131"/>
      <c r="N5000" s="131"/>
      <c r="O5000" s="131"/>
    </row>
    <row r="5001" spans="4:15" x14ac:dyDescent="0.3">
      <c r="D5001" s="33"/>
      <c r="E5001" s="127"/>
      <c r="F5001" s="128"/>
      <c r="G5001" s="128"/>
      <c r="H5001" s="129"/>
      <c r="I5001" s="130"/>
      <c r="J5001" s="23"/>
      <c r="K5001" s="23"/>
      <c r="L5001" s="23"/>
      <c r="M5001" s="131"/>
      <c r="N5001" s="131"/>
      <c r="O5001" s="131"/>
    </row>
    <row r="5002" spans="4:15" x14ac:dyDescent="0.3">
      <c r="D5002" s="33"/>
      <c r="E5002" s="127"/>
      <c r="F5002" s="128"/>
      <c r="G5002" s="128"/>
      <c r="H5002" s="129"/>
      <c r="I5002" s="130"/>
      <c r="J5002" s="23"/>
      <c r="K5002" s="23"/>
      <c r="L5002" s="23"/>
      <c r="M5002" s="131"/>
      <c r="N5002" s="131"/>
      <c r="O5002" s="131"/>
    </row>
    <row r="5003" spans="4:15" x14ac:dyDescent="0.3">
      <c r="D5003" s="33"/>
      <c r="E5003" s="127"/>
      <c r="F5003" s="128"/>
      <c r="G5003" s="128"/>
      <c r="H5003" s="129"/>
      <c r="I5003" s="130"/>
      <c r="J5003" s="23"/>
      <c r="K5003" s="23"/>
      <c r="L5003" s="23"/>
      <c r="M5003" s="131"/>
      <c r="N5003" s="131"/>
      <c r="O5003" s="131"/>
    </row>
    <row r="5004" spans="4:15" x14ac:dyDescent="0.3"/>
    <row r="5005" spans="4:15" x14ac:dyDescent="0.3"/>
    <row r="5006" spans="4:15" x14ac:dyDescent="0.3"/>
    <row r="5007" spans="4:15" x14ac:dyDescent="0.3"/>
    <row r="5008" spans="4:15" x14ac:dyDescent="0.3"/>
    <row r="5009" x14ac:dyDescent="0.3"/>
    <row r="5010" x14ac:dyDescent="0.3"/>
    <row r="5011" x14ac:dyDescent="0.3"/>
    <row r="5012" x14ac:dyDescent="0.3"/>
    <row r="5013" x14ac:dyDescent="0.3"/>
    <row r="5014" x14ac:dyDescent="0.3"/>
    <row r="5015" x14ac:dyDescent="0.3"/>
    <row r="5016" x14ac:dyDescent="0.3"/>
    <row r="5017" x14ac:dyDescent="0.3"/>
    <row r="5018" x14ac:dyDescent="0.3"/>
    <row r="5019" x14ac:dyDescent="0.3"/>
    <row r="5020" x14ac:dyDescent="0.3"/>
    <row r="5021" x14ac:dyDescent="0.3"/>
    <row r="5022" x14ac:dyDescent="0.3"/>
    <row r="5023" x14ac:dyDescent="0.3"/>
    <row r="5024" x14ac:dyDescent="0.3"/>
    <row r="5025" x14ac:dyDescent="0.3"/>
    <row r="5026" x14ac:dyDescent="0.3"/>
    <row r="5027" x14ac:dyDescent="0.3"/>
    <row r="5028" x14ac:dyDescent="0.3"/>
    <row r="5029" x14ac:dyDescent="0.3"/>
    <row r="5030" x14ac:dyDescent="0.3"/>
    <row r="5031" x14ac:dyDescent="0.3"/>
    <row r="5032" x14ac:dyDescent="0.3"/>
    <row r="5033" x14ac:dyDescent="0.3"/>
    <row r="5034" x14ac:dyDescent="0.3"/>
    <row r="5035" x14ac:dyDescent="0.3"/>
    <row r="5036" x14ac:dyDescent="0.3"/>
    <row r="5037" x14ac:dyDescent="0.3"/>
    <row r="5038" x14ac:dyDescent="0.3"/>
    <row r="5039" x14ac:dyDescent="0.3"/>
    <row r="5040" x14ac:dyDescent="0.3"/>
    <row r="5041" x14ac:dyDescent="0.3"/>
    <row r="5042" x14ac:dyDescent="0.3"/>
    <row r="5043" x14ac:dyDescent="0.3"/>
    <row r="5044" x14ac:dyDescent="0.3"/>
    <row r="5045" x14ac:dyDescent="0.3"/>
    <row r="5046" x14ac:dyDescent="0.3"/>
    <row r="5047" x14ac:dyDescent="0.3"/>
    <row r="5048" x14ac:dyDescent="0.3"/>
    <row r="5049" x14ac:dyDescent="0.3"/>
    <row r="5050" x14ac:dyDescent="0.3"/>
    <row r="5051" x14ac:dyDescent="0.3"/>
    <row r="5052" x14ac:dyDescent="0.3"/>
    <row r="5053" x14ac:dyDescent="0.3"/>
    <row r="5054" x14ac:dyDescent="0.3"/>
    <row r="5055" x14ac:dyDescent="0.3"/>
    <row r="5056" x14ac:dyDescent="0.3"/>
    <row r="5057" x14ac:dyDescent="0.3"/>
    <row r="5058" x14ac:dyDescent="0.3"/>
    <row r="5059" x14ac:dyDescent="0.3"/>
    <row r="5060" x14ac:dyDescent="0.3"/>
    <row r="5061" x14ac:dyDescent="0.3"/>
    <row r="5062" x14ac:dyDescent="0.3"/>
    <row r="5063" x14ac:dyDescent="0.3"/>
    <row r="5064" x14ac:dyDescent="0.3"/>
    <row r="5065" x14ac:dyDescent="0.3"/>
    <row r="5066" x14ac:dyDescent="0.3"/>
    <row r="5067" x14ac:dyDescent="0.3"/>
    <row r="5068" x14ac:dyDescent="0.3"/>
    <row r="5069" x14ac:dyDescent="0.3"/>
    <row r="5070" x14ac:dyDescent="0.3"/>
    <row r="5071" x14ac:dyDescent="0.3"/>
    <row r="5072" x14ac:dyDescent="0.3"/>
    <row r="5073" x14ac:dyDescent="0.3"/>
    <row r="5074" x14ac:dyDescent="0.3"/>
    <row r="5075" x14ac:dyDescent="0.3"/>
    <row r="5076" x14ac:dyDescent="0.3"/>
    <row r="5077" x14ac:dyDescent="0.3"/>
    <row r="5078" x14ac:dyDescent="0.3"/>
    <row r="5079" x14ac:dyDescent="0.3"/>
    <row r="5080" x14ac:dyDescent="0.3"/>
    <row r="5081" x14ac:dyDescent="0.3"/>
    <row r="5082" x14ac:dyDescent="0.3"/>
    <row r="5083" x14ac:dyDescent="0.3"/>
    <row r="5084" x14ac:dyDescent="0.3"/>
    <row r="5085" x14ac:dyDescent="0.3"/>
    <row r="5086" x14ac:dyDescent="0.3"/>
    <row r="5087" x14ac:dyDescent="0.3"/>
    <row r="5088" x14ac:dyDescent="0.3"/>
    <row r="5089" x14ac:dyDescent="0.3"/>
    <row r="5090" x14ac:dyDescent="0.3"/>
    <row r="5091" x14ac:dyDescent="0.3"/>
    <row r="5092" x14ac:dyDescent="0.3"/>
    <row r="5093" x14ac:dyDescent="0.3"/>
    <row r="5094" x14ac:dyDescent="0.3"/>
    <row r="5095" x14ac:dyDescent="0.3"/>
    <row r="5096" x14ac:dyDescent="0.3"/>
    <row r="5097" x14ac:dyDescent="0.3"/>
    <row r="5098" x14ac:dyDescent="0.3"/>
    <row r="5099" x14ac:dyDescent="0.3"/>
    <row r="5100" x14ac:dyDescent="0.3"/>
    <row r="5101" x14ac:dyDescent="0.3"/>
    <row r="5102" x14ac:dyDescent="0.3"/>
    <row r="5103" x14ac:dyDescent="0.3"/>
    <row r="5104" x14ac:dyDescent="0.3"/>
    <row r="5105" x14ac:dyDescent="0.3"/>
    <row r="5106" x14ac:dyDescent="0.3"/>
    <row r="5107" x14ac:dyDescent="0.3"/>
    <row r="5108" x14ac:dyDescent="0.3"/>
    <row r="5109" x14ac:dyDescent="0.3"/>
    <row r="5110" x14ac:dyDescent="0.3"/>
    <row r="5111" x14ac:dyDescent="0.3"/>
    <row r="5112" x14ac:dyDescent="0.3"/>
    <row r="5113" x14ac:dyDescent="0.3"/>
    <row r="5114" x14ac:dyDescent="0.3"/>
    <row r="5115" x14ac:dyDescent="0.3"/>
    <row r="5116" x14ac:dyDescent="0.3"/>
    <row r="5117" x14ac:dyDescent="0.3"/>
    <row r="5118" x14ac:dyDescent="0.3"/>
    <row r="5119" x14ac:dyDescent="0.3"/>
    <row r="5120" x14ac:dyDescent="0.3"/>
    <row r="5121" x14ac:dyDescent="0.3"/>
    <row r="5122" x14ac:dyDescent="0.3"/>
    <row r="5123" x14ac:dyDescent="0.3"/>
    <row r="5124" x14ac:dyDescent="0.3"/>
    <row r="5125" x14ac:dyDescent="0.3"/>
    <row r="5126" x14ac:dyDescent="0.3"/>
    <row r="5127" x14ac:dyDescent="0.3"/>
    <row r="5128" x14ac:dyDescent="0.3"/>
    <row r="5129" x14ac:dyDescent="0.3"/>
    <row r="5130" x14ac:dyDescent="0.3"/>
    <row r="5131" x14ac:dyDescent="0.3"/>
    <row r="5132" x14ac:dyDescent="0.3"/>
    <row r="5133" x14ac:dyDescent="0.3"/>
    <row r="5134" x14ac:dyDescent="0.3"/>
    <row r="5135" x14ac:dyDescent="0.3"/>
    <row r="5136" x14ac:dyDescent="0.3"/>
    <row r="5137" x14ac:dyDescent="0.3"/>
    <row r="5138" x14ac:dyDescent="0.3"/>
    <row r="5139" x14ac:dyDescent="0.3"/>
    <row r="5140" x14ac:dyDescent="0.3"/>
    <row r="5141" x14ac:dyDescent="0.3"/>
    <row r="5142" x14ac:dyDescent="0.3"/>
    <row r="5143" x14ac:dyDescent="0.3"/>
    <row r="5144" x14ac:dyDescent="0.3"/>
    <row r="5145" x14ac:dyDescent="0.3"/>
    <row r="5146" x14ac:dyDescent="0.3"/>
    <row r="5147" x14ac:dyDescent="0.3"/>
    <row r="5148" x14ac:dyDescent="0.3"/>
    <row r="5149" x14ac:dyDescent="0.3"/>
    <row r="5150" x14ac:dyDescent="0.3"/>
    <row r="5151" x14ac:dyDescent="0.3"/>
    <row r="5152" x14ac:dyDescent="0.3"/>
    <row r="5153" x14ac:dyDescent="0.3"/>
    <row r="5154" x14ac:dyDescent="0.3"/>
    <row r="5155" x14ac:dyDescent="0.3"/>
    <row r="5156" x14ac:dyDescent="0.3"/>
    <row r="5157" x14ac:dyDescent="0.3"/>
    <row r="5158" x14ac:dyDescent="0.3"/>
    <row r="5159" x14ac:dyDescent="0.3"/>
    <row r="5160" x14ac:dyDescent="0.3"/>
    <row r="5161" x14ac:dyDescent="0.3"/>
    <row r="5162" x14ac:dyDescent="0.3"/>
    <row r="5163" x14ac:dyDescent="0.3"/>
    <row r="5164" x14ac:dyDescent="0.3"/>
    <row r="5165" x14ac:dyDescent="0.3"/>
    <row r="5166" x14ac:dyDescent="0.3"/>
    <row r="5167" x14ac:dyDescent="0.3"/>
    <row r="5168" x14ac:dyDescent="0.3"/>
    <row r="5169" x14ac:dyDescent="0.3"/>
    <row r="5170" x14ac:dyDescent="0.3"/>
    <row r="5171" x14ac:dyDescent="0.3"/>
    <row r="5172" x14ac:dyDescent="0.3"/>
    <row r="5173" x14ac:dyDescent="0.3"/>
    <row r="5174" x14ac:dyDescent="0.3"/>
    <row r="5175" x14ac:dyDescent="0.3"/>
    <row r="5176" x14ac:dyDescent="0.3"/>
    <row r="5177" x14ac:dyDescent="0.3"/>
    <row r="5178" x14ac:dyDescent="0.3"/>
    <row r="5179" x14ac:dyDescent="0.3"/>
    <row r="5180" x14ac:dyDescent="0.3"/>
    <row r="5181" x14ac:dyDescent="0.3"/>
    <row r="5182" x14ac:dyDescent="0.3"/>
    <row r="5183" x14ac:dyDescent="0.3"/>
    <row r="5184" x14ac:dyDescent="0.3"/>
    <row r="5185" x14ac:dyDescent="0.3"/>
    <row r="5186" x14ac:dyDescent="0.3"/>
    <row r="5187" x14ac:dyDescent="0.3"/>
    <row r="5188" x14ac:dyDescent="0.3"/>
    <row r="5189" x14ac:dyDescent="0.3"/>
    <row r="5190" x14ac:dyDescent="0.3"/>
    <row r="5191" x14ac:dyDescent="0.3"/>
    <row r="5192" x14ac:dyDescent="0.3"/>
    <row r="5193" x14ac:dyDescent="0.3"/>
    <row r="5194" x14ac:dyDescent="0.3"/>
    <row r="5195" x14ac:dyDescent="0.3"/>
    <row r="5196" x14ac:dyDescent="0.3"/>
    <row r="5197" x14ac:dyDescent="0.3"/>
    <row r="5198" x14ac:dyDescent="0.3"/>
    <row r="5199" x14ac:dyDescent="0.3"/>
    <row r="5200" x14ac:dyDescent="0.3"/>
    <row r="5201" x14ac:dyDescent="0.3"/>
    <row r="5202" x14ac:dyDescent="0.3"/>
    <row r="5203" x14ac:dyDescent="0.3"/>
    <row r="5204" x14ac:dyDescent="0.3"/>
    <row r="5205" x14ac:dyDescent="0.3"/>
    <row r="5206" x14ac:dyDescent="0.3"/>
    <row r="5207" x14ac:dyDescent="0.3"/>
    <row r="5208" x14ac:dyDescent="0.3"/>
    <row r="5209" x14ac:dyDescent="0.3"/>
    <row r="5210" x14ac:dyDescent="0.3"/>
    <row r="5211" x14ac:dyDescent="0.3"/>
    <row r="5212" x14ac:dyDescent="0.3"/>
    <row r="5213" x14ac:dyDescent="0.3"/>
    <row r="5214" x14ac:dyDescent="0.3"/>
    <row r="5215" x14ac:dyDescent="0.3"/>
    <row r="5216" x14ac:dyDescent="0.3"/>
    <row r="5217" x14ac:dyDescent="0.3"/>
    <row r="5218" x14ac:dyDescent="0.3"/>
    <row r="5219" x14ac:dyDescent="0.3"/>
    <row r="5220" x14ac:dyDescent="0.3"/>
    <row r="5221" x14ac:dyDescent="0.3"/>
    <row r="5222" x14ac:dyDescent="0.3"/>
    <row r="5223" x14ac:dyDescent="0.3"/>
    <row r="5224" x14ac:dyDescent="0.3"/>
    <row r="5225" x14ac:dyDescent="0.3"/>
    <row r="5226" x14ac:dyDescent="0.3"/>
    <row r="5227" x14ac:dyDescent="0.3"/>
    <row r="5228" x14ac:dyDescent="0.3"/>
    <row r="5229" x14ac:dyDescent="0.3"/>
    <row r="5230" x14ac:dyDescent="0.3"/>
    <row r="5231" x14ac:dyDescent="0.3"/>
    <row r="5232" x14ac:dyDescent="0.3"/>
    <row r="5233" x14ac:dyDescent="0.3"/>
    <row r="5234" x14ac:dyDescent="0.3"/>
    <row r="5235" x14ac:dyDescent="0.3"/>
    <row r="5236" x14ac:dyDescent="0.3"/>
    <row r="5237" x14ac:dyDescent="0.3"/>
    <row r="5238" x14ac:dyDescent="0.3"/>
    <row r="5239" x14ac:dyDescent="0.3"/>
    <row r="5240" x14ac:dyDescent="0.3"/>
    <row r="5241" x14ac:dyDescent="0.3"/>
    <row r="5242" x14ac:dyDescent="0.3"/>
    <row r="5243" x14ac:dyDescent="0.3"/>
    <row r="5244" x14ac:dyDescent="0.3"/>
    <row r="5245" x14ac:dyDescent="0.3"/>
    <row r="5246" x14ac:dyDescent="0.3"/>
    <row r="5247" x14ac:dyDescent="0.3"/>
    <row r="5248" x14ac:dyDescent="0.3"/>
    <row r="5249" x14ac:dyDescent="0.3"/>
    <row r="5250" x14ac:dyDescent="0.3"/>
    <row r="5251" x14ac:dyDescent="0.3"/>
    <row r="5252" x14ac:dyDescent="0.3"/>
    <row r="5253" x14ac:dyDescent="0.3"/>
    <row r="5254" x14ac:dyDescent="0.3"/>
    <row r="5255" x14ac:dyDescent="0.3"/>
    <row r="5256" x14ac:dyDescent="0.3"/>
    <row r="5257" x14ac:dyDescent="0.3"/>
    <row r="5258" x14ac:dyDescent="0.3"/>
    <row r="5259" x14ac:dyDescent="0.3"/>
    <row r="5260" x14ac:dyDescent="0.3"/>
    <row r="5261" x14ac:dyDescent="0.3"/>
    <row r="5262" x14ac:dyDescent="0.3"/>
    <row r="5263" x14ac:dyDescent="0.3"/>
    <row r="5264" x14ac:dyDescent="0.3"/>
    <row r="5265" x14ac:dyDescent="0.3"/>
    <row r="5266" x14ac:dyDescent="0.3"/>
    <row r="5267" x14ac:dyDescent="0.3"/>
    <row r="5268" x14ac:dyDescent="0.3"/>
    <row r="5269" x14ac:dyDescent="0.3"/>
    <row r="5270" x14ac:dyDescent="0.3"/>
    <row r="5271" x14ac:dyDescent="0.3"/>
    <row r="5272" x14ac:dyDescent="0.3"/>
    <row r="5273" x14ac:dyDescent="0.3"/>
    <row r="5274" x14ac:dyDescent="0.3"/>
    <row r="5275" x14ac:dyDescent="0.3"/>
    <row r="5276" x14ac:dyDescent="0.3"/>
    <row r="5277" x14ac:dyDescent="0.3"/>
    <row r="5278" x14ac:dyDescent="0.3"/>
    <row r="5279" x14ac:dyDescent="0.3"/>
    <row r="5280" x14ac:dyDescent="0.3"/>
    <row r="5281" x14ac:dyDescent="0.3"/>
    <row r="5282" x14ac:dyDescent="0.3"/>
    <row r="5283" x14ac:dyDescent="0.3"/>
    <row r="5284" x14ac:dyDescent="0.3"/>
    <row r="5285" x14ac:dyDescent="0.3"/>
    <row r="5286" x14ac:dyDescent="0.3"/>
    <row r="5287" x14ac:dyDescent="0.3"/>
    <row r="5288" x14ac:dyDescent="0.3"/>
    <row r="5289" x14ac:dyDescent="0.3"/>
    <row r="5290" x14ac:dyDescent="0.3"/>
    <row r="5291" x14ac:dyDescent="0.3"/>
    <row r="5292" x14ac:dyDescent="0.3"/>
    <row r="5293" x14ac:dyDescent="0.3"/>
    <row r="5294" x14ac:dyDescent="0.3"/>
    <row r="5295" x14ac:dyDescent="0.3"/>
    <row r="5296" x14ac:dyDescent="0.3"/>
    <row r="5297" x14ac:dyDescent="0.3"/>
    <row r="5298" x14ac:dyDescent="0.3"/>
    <row r="5299" x14ac:dyDescent="0.3"/>
    <row r="5300" x14ac:dyDescent="0.3"/>
    <row r="5301" x14ac:dyDescent="0.3"/>
    <row r="5302" x14ac:dyDescent="0.3"/>
    <row r="5303" x14ac:dyDescent="0.3"/>
    <row r="5304" x14ac:dyDescent="0.3"/>
    <row r="5305" x14ac:dyDescent="0.3"/>
    <row r="5306" x14ac:dyDescent="0.3"/>
    <row r="5307" x14ac:dyDescent="0.3"/>
    <row r="5308" x14ac:dyDescent="0.3"/>
    <row r="5309" x14ac:dyDescent="0.3"/>
    <row r="5310" x14ac:dyDescent="0.3"/>
    <row r="5311" x14ac:dyDescent="0.3"/>
    <row r="5312" x14ac:dyDescent="0.3"/>
    <row r="5313" x14ac:dyDescent="0.3"/>
    <row r="5314" x14ac:dyDescent="0.3"/>
    <row r="5315" x14ac:dyDescent="0.3"/>
    <row r="5316" x14ac:dyDescent="0.3"/>
    <row r="5317" x14ac:dyDescent="0.3"/>
    <row r="5318" x14ac:dyDescent="0.3"/>
    <row r="5319" x14ac:dyDescent="0.3"/>
    <row r="5320" x14ac:dyDescent="0.3"/>
    <row r="5321" x14ac:dyDescent="0.3"/>
    <row r="5322" x14ac:dyDescent="0.3"/>
    <row r="5323" x14ac:dyDescent="0.3"/>
    <row r="5324" x14ac:dyDescent="0.3"/>
    <row r="5325" x14ac:dyDescent="0.3"/>
    <row r="5326" x14ac:dyDescent="0.3"/>
    <row r="5327" x14ac:dyDescent="0.3"/>
    <row r="5328" x14ac:dyDescent="0.3"/>
    <row r="5329" x14ac:dyDescent="0.3"/>
    <row r="5330" x14ac:dyDescent="0.3"/>
    <row r="5331" x14ac:dyDescent="0.3"/>
    <row r="5332" x14ac:dyDescent="0.3"/>
    <row r="5333" x14ac:dyDescent="0.3"/>
    <row r="5334" x14ac:dyDescent="0.3"/>
    <row r="5335" x14ac:dyDescent="0.3"/>
    <row r="5336" x14ac:dyDescent="0.3"/>
    <row r="5337" x14ac:dyDescent="0.3"/>
    <row r="5338" x14ac:dyDescent="0.3"/>
    <row r="5339" x14ac:dyDescent="0.3"/>
    <row r="5340" x14ac:dyDescent="0.3"/>
    <row r="5341" x14ac:dyDescent="0.3"/>
    <row r="5342" x14ac:dyDescent="0.3"/>
    <row r="5343" x14ac:dyDescent="0.3"/>
    <row r="5344" x14ac:dyDescent="0.3"/>
    <row r="5345" x14ac:dyDescent="0.3"/>
    <row r="5346" x14ac:dyDescent="0.3"/>
    <row r="5347" x14ac:dyDescent="0.3"/>
    <row r="5348" x14ac:dyDescent="0.3"/>
    <row r="5349" x14ac:dyDescent="0.3"/>
    <row r="5350" x14ac:dyDescent="0.3"/>
    <row r="5351" x14ac:dyDescent="0.3"/>
    <row r="5352" x14ac:dyDescent="0.3"/>
    <row r="5353" x14ac:dyDescent="0.3"/>
    <row r="5354" x14ac:dyDescent="0.3"/>
    <row r="5355" x14ac:dyDescent="0.3"/>
    <row r="5356" x14ac:dyDescent="0.3"/>
    <row r="5357" x14ac:dyDescent="0.3"/>
    <row r="5358" x14ac:dyDescent="0.3"/>
    <row r="5359" x14ac:dyDescent="0.3"/>
    <row r="5360" x14ac:dyDescent="0.3"/>
    <row r="5361" x14ac:dyDescent="0.3"/>
    <row r="5362" x14ac:dyDescent="0.3"/>
    <row r="5363" x14ac:dyDescent="0.3"/>
    <row r="5364" x14ac:dyDescent="0.3"/>
    <row r="5365" x14ac:dyDescent="0.3"/>
    <row r="5366" x14ac:dyDescent="0.3"/>
    <row r="5367" x14ac:dyDescent="0.3"/>
    <row r="5368" x14ac:dyDescent="0.3"/>
    <row r="5369" x14ac:dyDescent="0.3"/>
    <row r="5370" x14ac:dyDescent="0.3"/>
    <row r="5371" x14ac:dyDescent="0.3"/>
    <row r="5372" x14ac:dyDescent="0.3"/>
    <row r="5373" x14ac:dyDescent="0.3"/>
    <row r="5374" x14ac:dyDescent="0.3"/>
    <row r="5375" x14ac:dyDescent="0.3"/>
    <row r="5376" x14ac:dyDescent="0.3"/>
    <row r="5377" x14ac:dyDescent="0.3"/>
    <row r="5378" x14ac:dyDescent="0.3"/>
    <row r="5379" x14ac:dyDescent="0.3"/>
    <row r="5380" x14ac:dyDescent="0.3"/>
    <row r="5381" x14ac:dyDescent="0.3"/>
    <row r="5382" x14ac:dyDescent="0.3"/>
    <row r="5383" x14ac:dyDescent="0.3"/>
    <row r="5384" x14ac:dyDescent="0.3"/>
    <row r="5385" x14ac:dyDescent="0.3"/>
    <row r="5386" x14ac:dyDescent="0.3"/>
    <row r="5387" x14ac:dyDescent="0.3"/>
    <row r="5388" x14ac:dyDescent="0.3"/>
    <row r="5389" x14ac:dyDescent="0.3"/>
    <row r="5390" x14ac:dyDescent="0.3"/>
    <row r="5391" x14ac:dyDescent="0.3"/>
    <row r="5392" x14ac:dyDescent="0.3"/>
    <row r="5393" x14ac:dyDescent="0.3"/>
    <row r="5394" x14ac:dyDescent="0.3"/>
    <row r="5395" x14ac:dyDescent="0.3"/>
    <row r="5396" x14ac:dyDescent="0.3"/>
    <row r="5397" x14ac:dyDescent="0.3"/>
    <row r="5398" x14ac:dyDescent="0.3"/>
    <row r="5399" x14ac:dyDescent="0.3"/>
    <row r="5400" x14ac:dyDescent="0.3"/>
    <row r="5401" x14ac:dyDescent="0.3"/>
    <row r="5402" x14ac:dyDescent="0.3"/>
    <row r="5403" x14ac:dyDescent="0.3"/>
    <row r="5404" x14ac:dyDescent="0.3"/>
    <row r="5405" x14ac:dyDescent="0.3"/>
    <row r="5406" x14ac:dyDescent="0.3"/>
    <row r="5407" x14ac:dyDescent="0.3"/>
    <row r="5408" x14ac:dyDescent="0.3"/>
    <row r="5409" x14ac:dyDescent="0.3"/>
    <row r="5410" x14ac:dyDescent="0.3"/>
    <row r="5411" x14ac:dyDescent="0.3"/>
    <row r="5412" x14ac:dyDescent="0.3"/>
    <row r="5413" x14ac:dyDescent="0.3"/>
    <row r="5414" x14ac:dyDescent="0.3"/>
    <row r="5415" x14ac:dyDescent="0.3"/>
    <row r="5416" x14ac:dyDescent="0.3"/>
    <row r="5417" x14ac:dyDescent="0.3"/>
    <row r="5418" x14ac:dyDescent="0.3"/>
    <row r="5419" x14ac:dyDescent="0.3"/>
    <row r="5420" x14ac:dyDescent="0.3"/>
    <row r="5421" x14ac:dyDescent="0.3"/>
    <row r="5422" x14ac:dyDescent="0.3"/>
    <row r="5423" x14ac:dyDescent="0.3"/>
    <row r="5424" x14ac:dyDescent="0.3"/>
    <row r="5425" x14ac:dyDescent="0.3"/>
    <row r="5426" x14ac:dyDescent="0.3"/>
    <row r="5427" x14ac:dyDescent="0.3"/>
    <row r="5428" x14ac:dyDescent="0.3"/>
    <row r="5429" x14ac:dyDescent="0.3"/>
    <row r="5430" x14ac:dyDescent="0.3"/>
    <row r="5431" x14ac:dyDescent="0.3"/>
    <row r="5432" x14ac:dyDescent="0.3"/>
    <row r="5433" x14ac:dyDescent="0.3"/>
    <row r="5434" x14ac:dyDescent="0.3"/>
    <row r="5435" x14ac:dyDescent="0.3"/>
    <row r="5436" x14ac:dyDescent="0.3"/>
    <row r="5437" x14ac:dyDescent="0.3"/>
    <row r="5438" x14ac:dyDescent="0.3"/>
    <row r="5439" x14ac:dyDescent="0.3"/>
    <row r="5440" x14ac:dyDescent="0.3"/>
    <row r="5441" x14ac:dyDescent="0.3"/>
    <row r="5442" x14ac:dyDescent="0.3"/>
    <row r="5443" x14ac:dyDescent="0.3"/>
    <row r="5444" x14ac:dyDescent="0.3"/>
    <row r="5445" x14ac:dyDescent="0.3"/>
    <row r="5446" x14ac:dyDescent="0.3"/>
    <row r="5447" x14ac:dyDescent="0.3"/>
    <row r="5448" x14ac:dyDescent="0.3"/>
    <row r="5449" x14ac:dyDescent="0.3"/>
    <row r="5450" x14ac:dyDescent="0.3"/>
    <row r="5451" x14ac:dyDescent="0.3"/>
    <row r="5452" x14ac:dyDescent="0.3"/>
    <row r="5453" x14ac:dyDescent="0.3"/>
    <row r="5454" x14ac:dyDescent="0.3"/>
    <row r="5455" x14ac:dyDescent="0.3"/>
    <row r="5456" x14ac:dyDescent="0.3"/>
    <row r="5457" x14ac:dyDescent="0.3"/>
    <row r="5458" x14ac:dyDescent="0.3"/>
    <row r="5459" x14ac:dyDescent="0.3"/>
    <row r="5460" x14ac:dyDescent="0.3"/>
    <row r="5461" x14ac:dyDescent="0.3"/>
    <row r="5462" x14ac:dyDescent="0.3"/>
    <row r="5463" x14ac:dyDescent="0.3"/>
    <row r="5464" x14ac:dyDescent="0.3"/>
    <row r="5465" x14ac:dyDescent="0.3"/>
    <row r="5466" x14ac:dyDescent="0.3"/>
    <row r="5467" x14ac:dyDescent="0.3"/>
    <row r="5468" x14ac:dyDescent="0.3"/>
    <row r="5469" x14ac:dyDescent="0.3"/>
    <row r="5470" x14ac:dyDescent="0.3"/>
    <row r="5471" x14ac:dyDescent="0.3"/>
    <row r="5472" x14ac:dyDescent="0.3"/>
    <row r="5473" x14ac:dyDescent="0.3"/>
    <row r="5474" x14ac:dyDescent="0.3"/>
    <row r="5475" x14ac:dyDescent="0.3"/>
    <row r="5476" x14ac:dyDescent="0.3"/>
    <row r="5477" x14ac:dyDescent="0.3"/>
    <row r="5478" x14ac:dyDescent="0.3"/>
    <row r="5479" x14ac:dyDescent="0.3"/>
    <row r="5480" x14ac:dyDescent="0.3"/>
    <row r="5481" x14ac:dyDescent="0.3"/>
    <row r="5482" x14ac:dyDescent="0.3"/>
    <row r="5483" x14ac:dyDescent="0.3"/>
    <row r="5484" x14ac:dyDescent="0.3"/>
    <row r="5485" x14ac:dyDescent="0.3"/>
    <row r="5486" x14ac:dyDescent="0.3"/>
    <row r="5487" x14ac:dyDescent="0.3"/>
    <row r="5488" x14ac:dyDescent="0.3"/>
    <row r="5489" x14ac:dyDescent="0.3"/>
    <row r="5490" x14ac:dyDescent="0.3"/>
    <row r="5491" x14ac:dyDescent="0.3"/>
    <row r="5492" x14ac:dyDescent="0.3"/>
    <row r="5493" x14ac:dyDescent="0.3"/>
    <row r="5494" x14ac:dyDescent="0.3"/>
    <row r="5495" x14ac:dyDescent="0.3"/>
    <row r="5496" x14ac:dyDescent="0.3"/>
    <row r="5497" x14ac:dyDescent="0.3"/>
    <row r="5498" x14ac:dyDescent="0.3"/>
    <row r="5499" x14ac:dyDescent="0.3"/>
    <row r="5500" x14ac:dyDescent="0.3"/>
    <row r="5501" x14ac:dyDescent="0.3"/>
    <row r="5502" x14ac:dyDescent="0.3"/>
    <row r="5503" x14ac:dyDescent="0.3"/>
    <row r="5504" x14ac:dyDescent="0.3"/>
    <row r="5505" x14ac:dyDescent="0.3"/>
    <row r="5506" x14ac:dyDescent="0.3"/>
    <row r="5507" x14ac:dyDescent="0.3"/>
    <row r="5508" x14ac:dyDescent="0.3"/>
    <row r="5509" x14ac:dyDescent="0.3"/>
    <row r="5510" x14ac:dyDescent="0.3"/>
    <row r="5511" x14ac:dyDescent="0.3"/>
    <row r="5512" x14ac:dyDescent="0.3"/>
    <row r="5513" x14ac:dyDescent="0.3"/>
    <row r="5514" x14ac:dyDescent="0.3"/>
    <row r="5515" x14ac:dyDescent="0.3"/>
    <row r="5516" x14ac:dyDescent="0.3"/>
    <row r="5517" x14ac:dyDescent="0.3"/>
    <row r="5518" x14ac:dyDescent="0.3"/>
    <row r="5519" x14ac:dyDescent="0.3"/>
    <row r="5520" x14ac:dyDescent="0.3"/>
    <row r="5521" x14ac:dyDescent="0.3"/>
    <row r="5522" x14ac:dyDescent="0.3"/>
    <row r="5523" x14ac:dyDescent="0.3"/>
    <row r="5524" x14ac:dyDescent="0.3"/>
    <row r="5525" x14ac:dyDescent="0.3"/>
    <row r="5526" x14ac:dyDescent="0.3"/>
    <row r="5527" x14ac:dyDescent="0.3"/>
    <row r="5528" x14ac:dyDescent="0.3"/>
    <row r="5529" x14ac:dyDescent="0.3"/>
    <row r="5530" x14ac:dyDescent="0.3"/>
    <row r="5531" x14ac:dyDescent="0.3"/>
    <row r="5532" x14ac:dyDescent="0.3"/>
    <row r="5533" x14ac:dyDescent="0.3"/>
    <row r="5534" x14ac:dyDescent="0.3"/>
    <row r="5535" x14ac:dyDescent="0.3"/>
    <row r="5536" x14ac:dyDescent="0.3"/>
    <row r="5537" x14ac:dyDescent="0.3"/>
    <row r="5538" x14ac:dyDescent="0.3"/>
    <row r="5539" x14ac:dyDescent="0.3"/>
    <row r="5540" x14ac:dyDescent="0.3"/>
    <row r="5541" x14ac:dyDescent="0.3"/>
    <row r="5542" x14ac:dyDescent="0.3"/>
    <row r="5543" x14ac:dyDescent="0.3"/>
    <row r="5544" x14ac:dyDescent="0.3"/>
    <row r="5545" x14ac:dyDescent="0.3"/>
    <row r="5546" x14ac:dyDescent="0.3"/>
    <row r="5547" x14ac:dyDescent="0.3"/>
    <row r="5548" x14ac:dyDescent="0.3"/>
    <row r="5549" x14ac:dyDescent="0.3"/>
    <row r="5550" x14ac:dyDescent="0.3"/>
    <row r="5551" x14ac:dyDescent="0.3"/>
    <row r="5552" x14ac:dyDescent="0.3"/>
    <row r="5553" x14ac:dyDescent="0.3"/>
    <row r="5554" x14ac:dyDescent="0.3"/>
    <row r="5555" x14ac:dyDescent="0.3"/>
    <row r="5556" x14ac:dyDescent="0.3"/>
    <row r="5557" x14ac:dyDescent="0.3"/>
    <row r="5558" x14ac:dyDescent="0.3"/>
    <row r="5559" x14ac:dyDescent="0.3"/>
    <row r="5560" x14ac:dyDescent="0.3"/>
    <row r="5561" x14ac:dyDescent="0.3"/>
    <row r="5562" x14ac:dyDescent="0.3"/>
    <row r="5563" x14ac:dyDescent="0.3"/>
    <row r="5564" x14ac:dyDescent="0.3"/>
    <row r="5565" x14ac:dyDescent="0.3"/>
    <row r="5566" x14ac:dyDescent="0.3"/>
    <row r="5567" x14ac:dyDescent="0.3"/>
    <row r="5568" x14ac:dyDescent="0.3"/>
    <row r="5569" x14ac:dyDescent="0.3"/>
    <row r="5570" x14ac:dyDescent="0.3"/>
    <row r="5571" x14ac:dyDescent="0.3"/>
    <row r="5572" x14ac:dyDescent="0.3"/>
    <row r="5573" x14ac:dyDescent="0.3"/>
    <row r="5574" x14ac:dyDescent="0.3"/>
    <row r="5575" x14ac:dyDescent="0.3"/>
    <row r="5576" x14ac:dyDescent="0.3"/>
    <row r="5577" x14ac:dyDescent="0.3"/>
    <row r="5578" x14ac:dyDescent="0.3"/>
    <row r="5579" x14ac:dyDescent="0.3"/>
    <row r="5580" x14ac:dyDescent="0.3"/>
    <row r="5581" x14ac:dyDescent="0.3"/>
    <row r="5582" x14ac:dyDescent="0.3"/>
    <row r="5583" x14ac:dyDescent="0.3"/>
    <row r="5584" x14ac:dyDescent="0.3"/>
    <row r="5585" x14ac:dyDescent="0.3"/>
    <row r="5586" x14ac:dyDescent="0.3"/>
    <row r="5587" x14ac:dyDescent="0.3"/>
    <row r="5588" x14ac:dyDescent="0.3"/>
    <row r="5589" x14ac:dyDescent="0.3"/>
    <row r="5590" x14ac:dyDescent="0.3"/>
    <row r="5591" x14ac:dyDescent="0.3"/>
    <row r="5592" x14ac:dyDescent="0.3"/>
    <row r="5593" x14ac:dyDescent="0.3"/>
    <row r="5594" x14ac:dyDescent="0.3"/>
    <row r="5595" x14ac:dyDescent="0.3"/>
    <row r="5596" x14ac:dyDescent="0.3"/>
    <row r="5597" x14ac:dyDescent="0.3"/>
    <row r="5598" x14ac:dyDescent="0.3"/>
    <row r="5599" x14ac:dyDescent="0.3"/>
    <row r="5600" x14ac:dyDescent="0.3"/>
    <row r="5601" x14ac:dyDescent="0.3"/>
    <row r="5602" x14ac:dyDescent="0.3"/>
    <row r="5603" x14ac:dyDescent="0.3"/>
    <row r="5604" x14ac:dyDescent="0.3"/>
    <row r="5605" x14ac:dyDescent="0.3"/>
    <row r="5606" x14ac:dyDescent="0.3"/>
    <row r="5607" x14ac:dyDescent="0.3"/>
    <row r="5608" x14ac:dyDescent="0.3"/>
    <row r="5609" x14ac:dyDescent="0.3"/>
    <row r="5610" x14ac:dyDescent="0.3"/>
    <row r="5611" x14ac:dyDescent="0.3"/>
    <row r="5612" x14ac:dyDescent="0.3"/>
    <row r="5613" x14ac:dyDescent="0.3"/>
    <row r="5614" x14ac:dyDescent="0.3"/>
    <row r="5615" x14ac:dyDescent="0.3"/>
    <row r="5616" x14ac:dyDescent="0.3"/>
    <row r="5617" x14ac:dyDescent="0.3"/>
    <row r="5618" x14ac:dyDescent="0.3"/>
    <row r="5619" x14ac:dyDescent="0.3"/>
    <row r="5620" x14ac:dyDescent="0.3"/>
    <row r="5621" x14ac:dyDescent="0.3"/>
    <row r="5622" x14ac:dyDescent="0.3"/>
    <row r="5623" x14ac:dyDescent="0.3"/>
    <row r="5624" x14ac:dyDescent="0.3"/>
    <row r="5625" x14ac:dyDescent="0.3"/>
    <row r="5626" x14ac:dyDescent="0.3"/>
    <row r="5627" x14ac:dyDescent="0.3"/>
    <row r="5628" x14ac:dyDescent="0.3"/>
    <row r="5629" x14ac:dyDescent="0.3"/>
    <row r="5630" x14ac:dyDescent="0.3"/>
    <row r="5631" x14ac:dyDescent="0.3"/>
    <row r="5632" x14ac:dyDescent="0.3"/>
    <row r="5633" x14ac:dyDescent="0.3"/>
    <row r="5634" x14ac:dyDescent="0.3"/>
    <row r="5635" x14ac:dyDescent="0.3"/>
    <row r="5636" x14ac:dyDescent="0.3"/>
    <row r="5637" x14ac:dyDescent="0.3"/>
    <row r="5638" x14ac:dyDescent="0.3"/>
    <row r="5639" x14ac:dyDescent="0.3"/>
    <row r="5640" x14ac:dyDescent="0.3"/>
    <row r="5641" x14ac:dyDescent="0.3"/>
    <row r="5642" x14ac:dyDescent="0.3"/>
    <row r="5643" x14ac:dyDescent="0.3"/>
    <row r="5644" x14ac:dyDescent="0.3"/>
    <row r="5645" x14ac:dyDescent="0.3"/>
    <row r="5646" x14ac:dyDescent="0.3"/>
    <row r="5647" x14ac:dyDescent="0.3"/>
    <row r="5648" x14ac:dyDescent="0.3"/>
    <row r="5649" x14ac:dyDescent="0.3"/>
    <row r="5650" x14ac:dyDescent="0.3"/>
    <row r="5651" x14ac:dyDescent="0.3"/>
    <row r="5652" x14ac:dyDescent="0.3"/>
    <row r="5653" x14ac:dyDescent="0.3"/>
    <row r="5654" x14ac:dyDescent="0.3"/>
    <row r="5655" x14ac:dyDescent="0.3"/>
    <row r="5656" x14ac:dyDescent="0.3"/>
    <row r="5657" x14ac:dyDescent="0.3"/>
    <row r="5658" x14ac:dyDescent="0.3"/>
    <row r="5659" x14ac:dyDescent="0.3"/>
    <row r="5660" x14ac:dyDescent="0.3"/>
    <row r="5661" x14ac:dyDescent="0.3"/>
    <row r="5662" x14ac:dyDescent="0.3"/>
    <row r="5663" x14ac:dyDescent="0.3"/>
    <row r="5664" x14ac:dyDescent="0.3"/>
    <row r="5665" x14ac:dyDescent="0.3"/>
    <row r="5666" x14ac:dyDescent="0.3"/>
    <row r="5667" x14ac:dyDescent="0.3"/>
    <row r="5668" x14ac:dyDescent="0.3"/>
    <row r="5669" x14ac:dyDescent="0.3"/>
    <row r="5670" x14ac:dyDescent="0.3"/>
    <row r="5671" x14ac:dyDescent="0.3"/>
    <row r="5672" x14ac:dyDescent="0.3"/>
    <row r="5673" x14ac:dyDescent="0.3"/>
    <row r="5674" x14ac:dyDescent="0.3"/>
    <row r="5675" x14ac:dyDescent="0.3"/>
    <row r="5676" x14ac:dyDescent="0.3"/>
    <row r="5677" x14ac:dyDescent="0.3"/>
    <row r="5678" x14ac:dyDescent="0.3"/>
    <row r="5679" x14ac:dyDescent="0.3"/>
    <row r="5680" x14ac:dyDescent="0.3"/>
    <row r="5681" x14ac:dyDescent="0.3"/>
    <row r="5682" x14ac:dyDescent="0.3"/>
    <row r="5683" x14ac:dyDescent="0.3"/>
    <row r="5684" x14ac:dyDescent="0.3"/>
    <row r="5685" x14ac:dyDescent="0.3"/>
    <row r="5686" x14ac:dyDescent="0.3"/>
    <row r="5687" x14ac:dyDescent="0.3"/>
    <row r="5688" x14ac:dyDescent="0.3"/>
    <row r="5689" x14ac:dyDescent="0.3"/>
    <row r="5690" x14ac:dyDescent="0.3"/>
    <row r="5691" x14ac:dyDescent="0.3"/>
    <row r="5692" x14ac:dyDescent="0.3"/>
    <row r="5693" x14ac:dyDescent="0.3"/>
    <row r="5694" x14ac:dyDescent="0.3"/>
    <row r="5695" x14ac:dyDescent="0.3"/>
    <row r="5696" x14ac:dyDescent="0.3"/>
    <row r="5697" x14ac:dyDescent="0.3"/>
    <row r="5698" x14ac:dyDescent="0.3"/>
    <row r="5699" x14ac:dyDescent="0.3"/>
    <row r="5700" x14ac:dyDescent="0.3"/>
    <row r="5701" x14ac:dyDescent="0.3"/>
    <row r="5702" x14ac:dyDescent="0.3"/>
    <row r="5703" x14ac:dyDescent="0.3"/>
    <row r="5704" x14ac:dyDescent="0.3"/>
    <row r="5705" x14ac:dyDescent="0.3"/>
    <row r="5706" x14ac:dyDescent="0.3"/>
    <row r="5707" x14ac:dyDescent="0.3"/>
    <row r="5708" x14ac:dyDescent="0.3"/>
    <row r="5709" x14ac:dyDescent="0.3"/>
    <row r="5710" x14ac:dyDescent="0.3"/>
    <row r="5711" x14ac:dyDescent="0.3"/>
    <row r="5712" x14ac:dyDescent="0.3"/>
    <row r="5713" x14ac:dyDescent="0.3"/>
    <row r="5714" x14ac:dyDescent="0.3"/>
    <row r="5715" x14ac:dyDescent="0.3"/>
    <row r="5716" x14ac:dyDescent="0.3"/>
    <row r="5717" x14ac:dyDescent="0.3"/>
    <row r="5718" x14ac:dyDescent="0.3"/>
    <row r="5719" x14ac:dyDescent="0.3"/>
    <row r="5720" x14ac:dyDescent="0.3"/>
    <row r="5721" x14ac:dyDescent="0.3"/>
    <row r="5722" x14ac:dyDescent="0.3"/>
    <row r="5723" x14ac:dyDescent="0.3"/>
    <row r="5724" x14ac:dyDescent="0.3"/>
    <row r="5725" x14ac:dyDescent="0.3"/>
    <row r="5726" x14ac:dyDescent="0.3"/>
    <row r="5727" x14ac:dyDescent="0.3"/>
    <row r="5728" x14ac:dyDescent="0.3"/>
    <row r="5729" x14ac:dyDescent="0.3"/>
    <row r="5730" x14ac:dyDescent="0.3"/>
    <row r="5731" x14ac:dyDescent="0.3"/>
    <row r="5732" x14ac:dyDescent="0.3"/>
    <row r="5733" x14ac:dyDescent="0.3"/>
    <row r="5734" x14ac:dyDescent="0.3"/>
    <row r="5735" x14ac:dyDescent="0.3"/>
    <row r="5736" x14ac:dyDescent="0.3"/>
    <row r="5737" x14ac:dyDescent="0.3"/>
    <row r="5738" x14ac:dyDescent="0.3"/>
    <row r="5739" x14ac:dyDescent="0.3"/>
    <row r="5740" x14ac:dyDescent="0.3"/>
    <row r="5741" x14ac:dyDescent="0.3"/>
    <row r="5742" x14ac:dyDescent="0.3"/>
    <row r="5743" x14ac:dyDescent="0.3"/>
    <row r="5744" x14ac:dyDescent="0.3"/>
    <row r="5745" x14ac:dyDescent="0.3"/>
    <row r="5746" x14ac:dyDescent="0.3"/>
    <row r="5747" x14ac:dyDescent="0.3"/>
    <row r="5748" x14ac:dyDescent="0.3"/>
    <row r="5749" x14ac:dyDescent="0.3"/>
    <row r="5750" x14ac:dyDescent="0.3"/>
    <row r="5751" x14ac:dyDescent="0.3"/>
    <row r="5752" x14ac:dyDescent="0.3"/>
    <row r="5753" x14ac:dyDescent="0.3"/>
    <row r="5754" x14ac:dyDescent="0.3"/>
    <row r="5755" x14ac:dyDescent="0.3"/>
    <row r="5756" x14ac:dyDescent="0.3"/>
    <row r="5757" x14ac:dyDescent="0.3"/>
    <row r="5758" x14ac:dyDescent="0.3"/>
    <row r="5759" x14ac:dyDescent="0.3"/>
    <row r="5760" x14ac:dyDescent="0.3"/>
    <row r="5761" x14ac:dyDescent="0.3"/>
    <row r="5762" x14ac:dyDescent="0.3"/>
    <row r="5763" x14ac:dyDescent="0.3"/>
    <row r="5764" x14ac:dyDescent="0.3"/>
    <row r="5765" x14ac:dyDescent="0.3"/>
    <row r="5766" x14ac:dyDescent="0.3"/>
    <row r="5767" x14ac:dyDescent="0.3"/>
    <row r="5768" x14ac:dyDescent="0.3"/>
    <row r="5769" x14ac:dyDescent="0.3"/>
    <row r="5770" x14ac:dyDescent="0.3"/>
    <row r="5771" x14ac:dyDescent="0.3"/>
    <row r="5772" x14ac:dyDescent="0.3"/>
    <row r="5773" x14ac:dyDescent="0.3"/>
    <row r="5774" x14ac:dyDescent="0.3"/>
    <row r="5775" x14ac:dyDescent="0.3"/>
    <row r="5776" x14ac:dyDescent="0.3"/>
    <row r="5777" x14ac:dyDescent="0.3"/>
    <row r="5778" x14ac:dyDescent="0.3"/>
    <row r="5779" x14ac:dyDescent="0.3"/>
    <row r="5780" x14ac:dyDescent="0.3"/>
    <row r="5781" x14ac:dyDescent="0.3"/>
    <row r="5782" x14ac:dyDescent="0.3"/>
    <row r="5783" x14ac:dyDescent="0.3"/>
    <row r="5784" x14ac:dyDescent="0.3"/>
    <row r="5785" x14ac:dyDescent="0.3"/>
    <row r="5786" x14ac:dyDescent="0.3"/>
    <row r="5787" x14ac:dyDescent="0.3"/>
    <row r="5788" x14ac:dyDescent="0.3"/>
    <row r="5789" x14ac:dyDescent="0.3"/>
    <row r="5790" x14ac:dyDescent="0.3"/>
    <row r="5791" x14ac:dyDescent="0.3"/>
    <row r="5792" x14ac:dyDescent="0.3"/>
    <row r="5793" x14ac:dyDescent="0.3"/>
    <row r="5794" x14ac:dyDescent="0.3"/>
    <row r="5795" x14ac:dyDescent="0.3"/>
    <row r="5796" x14ac:dyDescent="0.3"/>
    <row r="5797" x14ac:dyDescent="0.3"/>
    <row r="5798" x14ac:dyDescent="0.3"/>
    <row r="5799" x14ac:dyDescent="0.3"/>
    <row r="5800" x14ac:dyDescent="0.3"/>
    <row r="5801" x14ac:dyDescent="0.3"/>
    <row r="5802" x14ac:dyDescent="0.3"/>
    <row r="5803" x14ac:dyDescent="0.3"/>
    <row r="5804" x14ac:dyDescent="0.3"/>
    <row r="5805" x14ac:dyDescent="0.3"/>
    <row r="5806" x14ac:dyDescent="0.3"/>
    <row r="5807" x14ac:dyDescent="0.3"/>
    <row r="5808" x14ac:dyDescent="0.3"/>
    <row r="5809" x14ac:dyDescent="0.3"/>
    <row r="5810" x14ac:dyDescent="0.3"/>
    <row r="5811" x14ac:dyDescent="0.3"/>
    <row r="5812" x14ac:dyDescent="0.3"/>
    <row r="5813" x14ac:dyDescent="0.3"/>
    <row r="5814" x14ac:dyDescent="0.3"/>
    <row r="5815" x14ac:dyDescent="0.3"/>
    <row r="5816" x14ac:dyDescent="0.3"/>
    <row r="5817" x14ac:dyDescent="0.3"/>
    <row r="5818" x14ac:dyDescent="0.3"/>
    <row r="5819" x14ac:dyDescent="0.3"/>
    <row r="5820" x14ac:dyDescent="0.3"/>
    <row r="5821" x14ac:dyDescent="0.3"/>
    <row r="5822" x14ac:dyDescent="0.3"/>
    <row r="5823" x14ac:dyDescent="0.3"/>
    <row r="5824" x14ac:dyDescent="0.3"/>
    <row r="5825" x14ac:dyDescent="0.3"/>
    <row r="5826" x14ac:dyDescent="0.3"/>
    <row r="5827" x14ac:dyDescent="0.3"/>
    <row r="5828" x14ac:dyDescent="0.3"/>
    <row r="5829" x14ac:dyDescent="0.3"/>
    <row r="5830" x14ac:dyDescent="0.3"/>
    <row r="5831" x14ac:dyDescent="0.3"/>
    <row r="5832" x14ac:dyDescent="0.3"/>
    <row r="5833" x14ac:dyDescent="0.3"/>
    <row r="5834" x14ac:dyDescent="0.3"/>
    <row r="5835" x14ac:dyDescent="0.3"/>
    <row r="5836" x14ac:dyDescent="0.3"/>
    <row r="5837" x14ac:dyDescent="0.3"/>
    <row r="5838" x14ac:dyDescent="0.3"/>
    <row r="5839" x14ac:dyDescent="0.3"/>
    <row r="5840" x14ac:dyDescent="0.3"/>
    <row r="5841" x14ac:dyDescent="0.3"/>
    <row r="5842" x14ac:dyDescent="0.3"/>
    <row r="5843" x14ac:dyDescent="0.3"/>
    <row r="5844" x14ac:dyDescent="0.3"/>
    <row r="5845" x14ac:dyDescent="0.3"/>
    <row r="5846" x14ac:dyDescent="0.3"/>
    <row r="5847" x14ac:dyDescent="0.3"/>
    <row r="5848" x14ac:dyDescent="0.3"/>
    <row r="5849" x14ac:dyDescent="0.3"/>
    <row r="5850" x14ac:dyDescent="0.3"/>
    <row r="5851" x14ac:dyDescent="0.3"/>
    <row r="5852" x14ac:dyDescent="0.3"/>
    <row r="5853" x14ac:dyDescent="0.3"/>
    <row r="5854" x14ac:dyDescent="0.3"/>
    <row r="5855" x14ac:dyDescent="0.3"/>
    <row r="5856" x14ac:dyDescent="0.3"/>
    <row r="5857" x14ac:dyDescent="0.3"/>
    <row r="5858" x14ac:dyDescent="0.3"/>
    <row r="5859" x14ac:dyDescent="0.3"/>
    <row r="5860" x14ac:dyDescent="0.3"/>
    <row r="5861" x14ac:dyDescent="0.3"/>
    <row r="5862" x14ac:dyDescent="0.3"/>
    <row r="5863" x14ac:dyDescent="0.3"/>
    <row r="5864" x14ac:dyDescent="0.3"/>
    <row r="5865" x14ac:dyDescent="0.3"/>
    <row r="5866" x14ac:dyDescent="0.3"/>
    <row r="5867" x14ac:dyDescent="0.3"/>
    <row r="5868" x14ac:dyDescent="0.3"/>
    <row r="5869" x14ac:dyDescent="0.3"/>
    <row r="5870" x14ac:dyDescent="0.3"/>
    <row r="5871" x14ac:dyDescent="0.3"/>
    <row r="5872" x14ac:dyDescent="0.3"/>
    <row r="5873" x14ac:dyDescent="0.3"/>
    <row r="5874" x14ac:dyDescent="0.3"/>
    <row r="5875" x14ac:dyDescent="0.3"/>
    <row r="5876" x14ac:dyDescent="0.3"/>
    <row r="5877" x14ac:dyDescent="0.3"/>
    <row r="5878" x14ac:dyDescent="0.3"/>
    <row r="5879" x14ac:dyDescent="0.3"/>
    <row r="5880" x14ac:dyDescent="0.3"/>
    <row r="5881" x14ac:dyDescent="0.3"/>
    <row r="5882" x14ac:dyDescent="0.3"/>
    <row r="5883" x14ac:dyDescent="0.3"/>
    <row r="5884" x14ac:dyDescent="0.3"/>
    <row r="5885" x14ac:dyDescent="0.3"/>
    <row r="5886" x14ac:dyDescent="0.3"/>
    <row r="5887" x14ac:dyDescent="0.3"/>
    <row r="5888" x14ac:dyDescent="0.3"/>
    <row r="5889" x14ac:dyDescent="0.3"/>
    <row r="5890" x14ac:dyDescent="0.3"/>
    <row r="5891" x14ac:dyDescent="0.3"/>
    <row r="5892" x14ac:dyDescent="0.3"/>
    <row r="5893" x14ac:dyDescent="0.3"/>
    <row r="5894" x14ac:dyDescent="0.3"/>
    <row r="5895" x14ac:dyDescent="0.3"/>
    <row r="5896" x14ac:dyDescent="0.3"/>
    <row r="5897" x14ac:dyDescent="0.3"/>
    <row r="5898" x14ac:dyDescent="0.3"/>
    <row r="5899" x14ac:dyDescent="0.3"/>
    <row r="5900" x14ac:dyDescent="0.3"/>
    <row r="5901" x14ac:dyDescent="0.3"/>
    <row r="5902" x14ac:dyDescent="0.3"/>
    <row r="5903" x14ac:dyDescent="0.3"/>
    <row r="5904" x14ac:dyDescent="0.3"/>
    <row r="5905" x14ac:dyDescent="0.3"/>
    <row r="5906" x14ac:dyDescent="0.3"/>
    <row r="5907" x14ac:dyDescent="0.3"/>
    <row r="5908" x14ac:dyDescent="0.3"/>
    <row r="5909" x14ac:dyDescent="0.3"/>
    <row r="5910" x14ac:dyDescent="0.3"/>
    <row r="5911" x14ac:dyDescent="0.3"/>
    <row r="5912" x14ac:dyDescent="0.3"/>
    <row r="5913" x14ac:dyDescent="0.3"/>
    <row r="5914" x14ac:dyDescent="0.3"/>
    <row r="5915" x14ac:dyDescent="0.3"/>
    <row r="5916" x14ac:dyDescent="0.3"/>
    <row r="5917" x14ac:dyDescent="0.3"/>
    <row r="5918" x14ac:dyDescent="0.3"/>
    <row r="5919" x14ac:dyDescent="0.3"/>
    <row r="5920" x14ac:dyDescent="0.3"/>
    <row r="5921" x14ac:dyDescent="0.3"/>
    <row r="5922" x14ac:dyDescent="0.3"/>
    <row r="5923" x14ac:dyDescent="0.3"/>
    <row r="5924" x14ac:dyDescent="0.3"/>
    <row r="5925" x14ac:dyDescent="0.3"/>
    <row r="5926" x14ac:dyDescent="0.3"/>
    <row r="5927" x14ac:dyDescent="0.3"/>
    <row r="5928" x14ac:dyDescent="0.3"/>
    <row r="5929" x14ac:dyDescent="0.3"/>
    <row r="5930" x14ac:dyDescent="0.3"/>
    <row r="5931" x14ac:dyDescent="0.3"/>
    <row r="5932" x14ac:dyDescent="0.3"/>
    <row r="5933" x14ac:dyDescent="0.3"/>
    <row r="5934" x14ac:dyDescent="0.3"/>
    <row r="5935" x14ac:dyDescent="0.3"/>
    <row r="5936" x14ac:dyDescent="0.3"/>
    <row r="5937" x14ac:dyDescent="0.3"/>
    <row r="5938" x14ac:dyDescent="0.3"/>
    <row r="5939" x14ac:dyDescent="0.3"/>
    <row r="5940" x14ac:dyDescent="0.3"/>
    <row r="5941" x14ac:dyDescent="0.3"/>
    <row r="5942" x14ac:dyDescent="0.3"/>
    <row r="5943" x14ac:dyDescent="0.3"/>
    <row r="5944" x14ac:dyDescent="0.3"/>
    <row r="5945" x14ac:dyDescent="0.3"/>
    <row r="5946" x14ac:dyDescent="0.3"/>
    <row r="5947" x14ac:dyDescent="0.3"/>
    <row r="5948" x14ac:dyDescent="0.3"/>
    <row r="5949" x14ac:dyDescent="0.3"/>
    <row r="5950" x14ac:dyDescent="0.3"/>
    <row r="5951" x14ac:dyDescent="0.3"/>
    <row r="5952" x14ac:dyDescent="0.3"/>
    <row r="5953" x14ac:dyDescent="0.3"/>
    <row r="5954" x14ac:dyDescent="0.3"/>
    <row r="5955" x14ac:dyDescent="0.3"/>
    <row r="5956" x14ac:dyDescent="0.3"/>
    <row r="5957" x14ac:dyDescent="0.3"/>
    <row r="5958" x14ac:dyDescent="0.3"/>
    <row r="5959" x14ac:dyDescent="0.3"/>
    <row r="5960" x14ac:dyDescent="0.3"/>
    <row r="5961" x14ac:dyDescent="0.3"/>
    <row r="5962" x14ac:dyDescent="0.3"/>
    <row r="5963" x14ac:dyDescent="0.3"/>
    <row r="5964" x14ac:dyDescent="0.3"/>
    <row r="5965" x14ac:dyDescent="0.3"/>
    <row r="5966" x14ac:dyDescent="0.3"/>
    <row r="5967" x14ac:dyDescent="0.3"/>
    <row r="5968" x14ac:dyDescent="0.3"/>
    <row r="5969" x14ac:dyDescent="0.3"/>
    <row r="5970" x14ac:dyDescent="0.3"/>
    <row r="5971" x14ac:dyDescent="0.3"/>
    <row r="5972" x14ac:dyDescent="0.3"/>
    <row r="5973" x14ac:dyDescent="0.3"/>
    <row r="5974" x14ac:dyDescent="0.3"/>
    <row r="5975" x14ac:dyDescent="0.3"/>
    <row r="5976" x14ac:dyDescent="0.3"/>
    <row r="5977" x14ac:dyDescent="0.3"/>
    <row r="5978" x14ac:dyDescent="0.3"/>
    <row r="5979" x14ac:dyDescent="0.3"/>
    <row r="5980" x14ac:dyDescent="0.3"/>
    <row r="5981" x14ac:dyDescent="0.3"/>
    <row r="5982" x14ac:dyDescent="0.3"/>
    <row r="5983" x14ac:dyDescent="0.3"/>
    <row r="5984" x14ac:dyDescent="0.3"/>
    <row r="5985" x14ac:dyDescent="0.3"/>
    <row r="5986" x14ac:dyDescent="0.3"/>
    <row r="5987" x14ac:dyDescent="0.3"/>
    <row r="5988" x14ac:dyDescent="0.3"/>
    <row r="5989" x14ac:dyDescent="0.3"/>
    <row r="5990" x14ac:dyDescent="0.3"/>
    <row r="5991" x14ac:dyDescent="0.3"/>
    <row r="5992" x14ac:dyDescent="0.3"/>
    <row r="5993" x14ac:dyDescent="0.3"/>
    <row r="5994" x14ac:dyDescent="0.3"/>
    <row r="5995" x14ac:dyDescent="0.3"/>
    <row r="5996" x14ac:dyDescent="0.3"/>
    <row r="5997" x14ac:dyDescent="0.3"/>
    <row r="5998" x14ac:dyDescent="0.3"/>
    <row r="5999" x14ac:dyDescent="0.3"/>
    <row r="6000" x14ac:dyDescent="0.3"/>
    <row r="6001" x14ac:dyDescent="0.3"/>
    <row r="6002" x14ac:dyDescent="0.3"/>
    <row r="6003" x14ac:dyDescent="0.3"/>
    <row r="6004" x14ac:dyDescent="0.3"/>
    <row r="6005" x14ac:dyDescent="0.3"/>
    <row r="6006" x14ac:dyDescent="0.3"/>
    <row r="6007" x14ac:dyDescent="0.3"/>
    <row r="6008" x14ac:dyDescent="0.3"/>
    <row r="6009" x14ac:dyDescent="0.3"/>
    <row r="6010" x14ac:dyDescent="0.3"/>
    <row r="6011" x14ac:dyDescent="0.3"/>
    <row r="6012" x14ac:dyDescent="0.3"/>
    <row r="6013" x14ac:dyDescent="0.3"/>
    <row r="6014" x14ac:dyDescent="0.3"/>
    <row r="6015" x14ac:dyDescent="0.3"/>
    <row r="6016" x14ac:dyDescent="0.3"/>
    <row r="6017" x14ac:dyDescent="0.3"/>
    <row r="6018" x14ac:dyDescent="0.3"/>
    <row r="6019" x14ac:dyDescent="0.3"/>
    <row r="6020" x14ac:dyDescent="0.3"/>
    <row r="6021" x14ac:dyDescent="0.3"/>
    <row r="6022" x14ac:dyDescent="0.3"/>
    <row r="6023" x14ac:dyDescent="0.3"/>
    <row r="6024" x14ac:dyDescent="0.3"/>
    <row r="6025" x14ac:dyDescent="0.3"/>
    <row r="6026" x14ac:dyDescent="0.3"/>
    <row r="6027" x14ac:dyDescent="0.3"/>
    <row r="6028" x14ac:dyDescent="0.3"/>
    <row r="6029" x14ac:dyDescent="0.3"/>
    <row r="6030" x14ac:dyDescent="0.3"/>
    <row r="6031" x14ac:dyDescent="0.3"/>
    <row r="6032" x14ac:dyDescent="0.3"/>
    <row r="6033" x14ac:dyDescent="0.3"/>
    <row r="6034" x14ac:dyDescent="0.3"/>
    <row r="6035" x14ac:dyDescent="0.3"/>
    <row r="6036" x14ac:dyDescent="0.3"/>
    <row r="6037" x14ac:dyDescent="0.3"/>
    <row r="6038" x14ac:dyDescent="0.3"/>
    <row r="6039" x14ac:dyDescent="0.3"/>
    <row r="6040" x14ac:dyDescent="0.3"/>
    <row r="6041" x14ac:dyDescent="0.3"/>
    <row r="6042" x14ac:dyDescent="0.3"/>
    <row r="6043" x14ac:dyDescent="0.3"/>
    <row r="6044" x14ac:dyDescent="0.3"/>
    <row r="6045" x14ac:dyDescent="0.3"/>
    <row r="6046" x14ac:dyDescent="0.3"/>
    <row r="6047" x14ac:dyDescent="0.3"/>
    <row r="6048" x14ac:dyDescent="0.3"/>
    <row r="6049" x14ac:dyDescent="0.3"/>
    <row r="6050" x14ac:dyDescent="0.3"/>
    <row r="6051" x14ac:dyDescent="0.3"/>
    <row r="6052" x14ac:dyDescent="0.3"/>
    <row r="6053" x14ac:dyDescent="0.3"/>
    <row r="6054" x14ac:dyDescent="0.3"/>
    <row r="6055" x14ac:dyDescent="0.3"/>
    <row r="6056" x14ac:dyDescent="0.3"/>
    <row r="6057" x14ac:dyDescent="0.3"/>
    <row r="6058" x14ac:dyDescent="0.3"/>
    <row r="6059" x14ac:dyDescent="0.3"/>
    <row r="6060" x14ac:dyDescent="0.3"/>
    <row r="6061" x14ac:dyDescent="0.3"/>
    <row r="6062" x14ac:dyDescent="0.3"/>
    <row r="6063" x14ac:dyDescent="0.3"/>
    <row r="6064" x14ac:dyDescent="0.3"/>
    <row r="6065" x14ac:dyDescent="0.3"/>
    <row r="6066" x14ac:dyDescent="0.3"/>
    <row r="6067" x14ac:dyDescent="0.3"/>
    <row r="6068" x14ac:dyDescent="0.3"/>
    <row r="6069" x14ac:dyDescent="0.3"/>
    <row r="6070" x14ac:dyDescent="0.3"/>
    <row r="6071" x14ac:dyDescent="0.3"/>
    <row r="6072" x14ac:dyDescent="0.3"/>
    <row r="6073" x14ac:dyDescent="0.3"/>
    <row r="6074" x14ac:dyDescent="0.3"/>
    <row r="6075" x14ac:dyDescent="0.3"/>
    <row r="6076" x14ac:dyDescent="0.3"/>
    <row r="6077" x14ac:dyDescent="0.3"/>
    <row r="6078" x14ac:dyDescent="0.3"/>
    <row r="6079" x14ac:dyDescent="0.3"/>
    <row r="6080" x14ac:dyDescent="0.3"/>
    <row r="6081" x14ac:dyDescent="0.3"/>
    <row r="6082" x14ac:dyDescent="0.3"/>
    <row r="6083" x14ac:dyDescent="0.3"/>
    <row r="6084" x14ac:dyDescent="0.3"/>
    <row r="6085" x14ac:dyDescent="0.3"/>
    <row r="6086" x14ac:dyDescent="0.3"/>
    <row r="6087" x14ac:dyDescent="0.3"/>
    <row r="6088" x14ac:dyDescent="0.3"/>
    <row r="6089" x14ac:dyDescent="0.3"/>
    <row r="6090" x14ac:dyDescent="0.3"/>
    <row r="6091" x14ac:dyDescent="0.3"/>
    <row r="6092" x14ac:dyDescent="0.3"/>
    <row r="6093" x14ac:dyDescent="0.3"/>
    <row r="6094" x14ac:dyDescent="0.3"/>
    <row r="6095" x14ac:dyDescent="0.3"/>
    <row r="6096" x14ac:dyDescent="0.3"/>
    <row r="6097" x14ac:dyDescent="0.3"/>
    <row r="6098" x14ac:dyDescent="0.3"/>
    <row r="6099" x14ac:dyDescent="0.3"/>
    <row r="6100" x14ac:dyDescent="0.3"/>
    <row r="6101" x14ac:dyDescent="0.3"/>
    <row r="6102" x14ac:dyDescent="0.3"/>
    <row r="6103" x14ac:dyDescent="0.3"/>
    <row r="6104" x14ac:dyDescent="0.3"/>
    <row r="6105" x14ac:dyDescent="0.3"/>
    <row r="6106" x14ac:dyDescent="0.3"/>
    <row r="6107" x14ac:dyDescent="0.3"/>
    <row r="6108" x14ac:dyDescent="0.3"/>
    <row r="6109" x14ac:dyDescent="0.3"/>
    <row r="6110" x14ac:dyDescent="0.3"/>
    <row r="6111" x14ac:dyDescent="0.3"/>
    <row r="6112" x14ac:dyDescent="0.3"/>
    <row r="6113" x14ac:dyDescent="0.3"/>
    <row r="6114" x14ac:dyDescent="0.3"/>
    <row r="6115" x14ac:dyDescent="0.3"/>
    <row r="6116" x14ac:dyDescent="0.3"/>
    <row r="6117" x14ac:dyDescent="0.3"/>
    <row r="6118" x14ac:dyDescent="0.3"/>
    <row r="6119" x14ac:dyDescent="0.3"/>
    <row r="6120" x14ac:dyDescent="0.3"/>
    <row r="6121" x14ac:dyDescent="0.3"/>
    <row r="6122" x14ac:dyDescent="0.3"/>
    <row r="6123" x14ac:dyDescent="0.3"/>
    <row r="6124" x14ac:dyDescent="0.3"/>
    <row r="6125" x14ac:dyDescent="0.3"/>
    <row r="6126" x14ac:dyDescent="0.3"/>
    <row r="6127" x14ac:dyDescent="0.3"/>
    <row r="6128" x14ac:dyDescent="0.3"/>
    <row r="6129" x14ac:dyDescent="0.3"/>
    <row r="6130" x14ac:dyDescent="0.3"/>
    <row r="6131" x14ac:dyDescent="0.3"/>
    <row r="6132" x14ac:dyDescent="0.3"/>
    <row r="6133" x14ac:dyDescent="0.3"/>
    <row r="6134" x14ac:dyDescent="0.3"/>
    <row r="6135" x14ac:dyDescent="0.3"/>
    <row r="6136" x14ac:dyDescent="0.3"/>
    <row r="6137" x14ac:dyDescent="0.3"/>
    <row r="6138" x14ac:dyDescent="0.3"/>
    <row r="6139" x14ac:dyDescent="0.3"/>
    <row r="6140" x14ac:dyDescent="0.3"/>
    <row r="6141" x14ac:dyDescent="0.3"/>
    <row r="6142" x14ac:dyDescent="0.3"/>
    <row r="6143" x14ac:dyDescent="0.3"/>
    <row r="6144" x14ac:dyDescent="0.3"/>
    <row r="6145" x14ac:dyDescent="0.3"/>
    <row r="6146" x14ac:dyDescent="0.3"/>
    <row r="6147" x14ac:dyDescent="0.3"/>
    <row r="6148" x14ac:dyDescent="0.3"/>
    <row r="6149" x14ac:dyDescent="0.3"/>
    <row r="6150" x14ac:dyDescent="0.3"/>
    <row r="6151" x14ac:dyDescent="0.3"/>
    <row r="6152" x14ac:dyDescent="0.3"/>
    <row r="6153" x14ac:dyDescent="0.3"/>
    <row r="6154" x14ac:dyDescent="0.3"/>
    <row r="6155" x14ac:dyDescent="0.3"/>
    <row r="6156" x14ac:dyDescent="0.3"/>
    <row r="6157" x14ac:dyDescent="0.3"/>
    <row r="6158" x14ac:dyDescent="0.3"/>
    <row r="6159" x14ac:dyDescent="0.3"/>
    <row r="6160" x14ac:dyDescent="0.3"/>
    <row r="6161" x14ac:dyDescent="0.3"/>
    <row r="6162" x14ac:dyDescent="0.3"/>
    <row r="6163" x14ac:dyDescent="0.3"/>
    <row r="6164" x14ac:dyDescent="0.3"/>
    <row r="6165" x14ac:dyDescent="0.3"/>
    <row r="6166" x14ac:dyDescent="0.3"/>
    <row r="6167" x14ac:dyDescent="0.3"/>
    <row r="6168" x14ac:dyDescent="0.3"/>
    <row r="6169" x14ac:dyDescent="0.3"/>
    <row r="6170" x14ac:dyDescent="0.3"/>
    <row r="6171" x14ac:dyDescent="0.3"/>
    <row r="6172" x14ac:dyDescent="0.3"/>
    <row r="6173" x14ac:dyDescent="0.3"/>
    <row r="6174" x14ac:dyDescent="0.3"/>
    <row r="6175" x14ac:dyDescent="0.3"/>
    <row r="6176" x14ac:dyDescent="0.3"/>
    <row r="6177" x14ac:dyDescent="0.3"/>
    <row r="6178" x14ac:dyDescent="0.3"/>
    <row r="6179" x14ac:dyDescent="0.3"/>
    <row r="6180" x14ac:dyDescent="0.3"/>
    <row r="6181" x14ac:dyDescent="0.3"/>
    <row r="6182" x14ac:dyDescent="0.3"/>
    <row r="6183" x14ac:dyDescent="0.3"/>
    <row r="6184" x14ac:dyDescent="0.3"/>
    <row r="6185" x14ac:dyDescent="0.3"/>
    <row r="6186" x14ac:dyDescent="0.3"/>
    <row r="6187" x14ac:dyDescent="0.3"/>
    <row r="6188" x14ac:dyDescent="0.3"/>
    <row r="6189" x14ac:dyDescent="0.3"/>
    <row r="6190" x14ac:dyDescent="0.3"/>
    <row r="6191" x14ac:dyDescent="0.3"/>
    <row r="6192" x14ac:dyDescent="0.3"/>
    <row r="6193" x14ac:dyDescent="0.3"/>
    <row r="6194" x14ac:dyDescent="0.3"/>
    <row r="6195" x14ac:dyDescent="0.3"/>
    <row r="6196" x14ac:dyDescent="0.3"/>
    <row r="6197" x14ac:dyDescent="0.3"/>
    <row r="6198" x14ac:dyDescent="0.3"/>
    <row r="6199" x14ac:dyDescent="0.3"/>
    <row r="6200" x14ac:dyDescent="0.3"/>
    <row r="6201" x14ac:dyDescent="0.3"/>
    <row r="6202" x14ac:dyDescent="0.3"/>
    <row r="6203" x14ac:dyDescent="0.3"/>
    <row r="6204" x14ac:dyDescent="0.3"/>
    <row r="6205" x14ac:dyDescent="0.3"/>
    <row r="6206" x14ac:dyDescent="0.3"/>
    <row r="6207" x14ac:dyDescent="0.3"/>
    <row r="6208" x14ac:dyDescent="0.3"/>
    <row r="6209" x14ac:dyDescent="0.3"/>
    <row r="6210" x14ac:dyDescent="0.3"/>
    <row r="6211" x14ac:dyDescent="0.3"/>
    <row r="6212" x14ac:dyDescent="0.3"/>
    <row r="6213" x14ac:dyDescent="0.3"/>
    <row r="6214" x14ac:dyDescent="0.3"/>
    <row r="6215" x14ac:dyDescent="0.3"/>
    <row r="6216" x14ac:dyDescent="0.3"/>
    <row r="6217" x14ac:dyDescent="0.3"/>
    <row r="6218" x14ac:dyDescent="0.3"/>
    <row r="6219" x14ac:dyDescent="0.3"/>
    <row r="6220" x14ac:dyDescent="0.3"/>
    <row r="6221" x14ac:dyDescent="0.3"/>
    <row r="6222" x14ac:dyDescent="0.3"/>
    <row r="6223" x14ac:dyDescent="0.3"/>
    <row r="6224" x14ac:dyDescent="0.3"/>
    <row r="6225" x14ac:dyDescent="0.3"/>
    <row r="6226" x14ac:dyDescent="0.3"/>
    <row r="6227" x14ac:dyDescent="0.3"/>
    <row r="6228" x14ac:dyDescent="0.3"/>
    <row r="6229" x14ac:dyDescent="0.3"/>
    <row r="6230" x14ac:dyDescent="0.3"/>
    <row r="6231" x14ac:dyDescent="0.3"/>
    <row r="6232" x14ac:dyDescent="0.3"/>
    <row r="6233" x14ac:dyDescent="0.3"/>
    <row r="6234" x14ac:dyDescent="0.3"/>
    <row r="6235" x14ac:dyDescent="0.3"/>
    <row r="6236" x14ac:dyDescent="0.3"/>
    <row r="6237" x14ac:dyDescent="0.3"/>
    <row r="6238" x14ac:dyDescent="0.3"/>
    <row r="6239" x14ac:dyDescent="0.3"/>
    <row r="6240" x14ac:dyDescent="0.3"/>
    <row r="6241" x14ac:dyDescent="0.3"/>
    <row r="6242" x14ac:dyDescent="0.3"/>
    <row r="6243" x14ac:dyDescent="0.3"/>
    <row r="6244" x14ac:dyDescent="0.3"/>
    <row r="6245" x14ac:dyDescent="0.3"/>
    <row r="6246" x14ac:dyDescent="0.3"/>
    <row r="6247" x14ac:dyDescent="0.3"/>
    <row r="6248" x14ac:dyDescent="0.3"/>
    <row r="6249" x14ac:dyDescent="0.3"/>
    <row r="6250" x14ac:dyDescent="0.3"/>
    <row r="6251" x14ac:dyDescent="0.3"/>
    <row r="6252" x14ac:dyDescent="0.3"/>
    <row r="6253" x14ac:dyDescent="0.3"/>
    <row r="6254" x14ac:dyDescent="0.3"/>
    <row r="6255" x14ac:dyDescent="0.3"/>
    <row r="6256" x14ac:dyDescent="0.3"/>
    <row r="6257" x14ac:dyDescent="0.3"/>
    <row r="6258" x14ac:dyDescent="0.3"/>
    <row r="6259" x14ac:dyDescent="0.3"/>
    <row r="6260" x14ac:dyDescent="0.3"/>
    <row r="6261" x14ac:dyDescent="0.3"/>
    <row r="6262" x14ac:dyDescent="0.3"/>
    <row r="6263" x14ac:dyDescent="0.3"/>
    <row r="6264" x14ac:dyDescent="0.3"/>
    <row r="6265" x14ac:dyDescent="0.3"/>
    <row r="6266" x14ac:dyDescent="0.3"/>
    <row r="6267" x14ac:dyDescent="0.3"/>
    <row r="6268" x14ac:dyDescent="0.3"/>
    <row r="6269" x14ac:dyDescent="0.3"/>
    <row r="6270" x14ac:dyDescent="0.3"/>
    <row r="6271" x14ac:dyDescent="0.3"/>
    <row r="6272" x14ac:dyDescent="0.3"/>
    <row r="6273" x14ac:dyDescent="0.3"/>
    <row r="6274" x14ac:dyDescent="0.3"/>
    <row r="6275" x14ac:dyDescent="0.3"/>
    <row r="6276" x14ac:dyDescent="0.3"/>
    <row r="6277" x14ac:dyDescent="0.3"/>
    <row r="6278" x14ac:dyDescent="0.3"/>
    <row r="6279" x14ac:dyDescent="0.3"/>
    <row r="6280" x14ac:dyDescent="0.3"/>
    <row r="6281" x14ac:dyDescent="0.3"/>
    <row r="6282" x14ac:dyDescent="0.3"/>
    <row r="6283" x14ac:dyDescent="0.3"/>
    <row r="6284" x14ac:dyDescent="0.3"/>
    <row r="6285" x14ac:dyDescent="0.3"/>
    <row r="6286" x14ac:dyDescent="0.3"/>
    <row r="6287" x14ac:dyDescent="0.3"/>
    <row r="6288" x14ac:dyDescent="0.3"/>
    <row r="6289" x14ac:dyDescent="0.3"/>
    <row r="6290" x14ac:dyDescent="0.3"/>
    <row r="6291" x14ac:dyDescent="0.3"/>
    <row r="6292" x14ac:dyDescent="0.3"/>
    <row r="6293" x14ac:dyDescent="0.3"/>
    <row r="6294" x14ac:dyDescent="0.3"/>
    <row r="6295" x14ac:dyDescent="0.3"/>
    <row r="6296" x14ac:dyDescent="0.3"/>
    <row r="6297" x14ac:dyDescent="0.3"/>
    <row r="6298" x14ac:dyDescent="0.3"/>
    <row r="6299" x14ac:dyDescent="0.3"/>
    <row r="6300" x14ac:dyDescent="0.3"/>
    <row r="6301" x14ac:dyDescent="0.3"/>
    <row r="6302" x14ac:dyDescent="0.3"/>
    <row r="6303" x14ac:dyDescent="0.3"/>
    <row r="6304" x14ac:dyDescent="0.3"/>
    <row r="6305" x14ac:dyDescent="0.3"/>
    <row r="6306" x14ac:dyDescent="0.3"/>
    <row r="6307" x14ac:dyDescent="0.3"/>
    <row r="6308" x14ac:dyDescent="0.3"/>
    <row r="6309" x14ac:dyDescent="0.3"/>
    <row r="6310" x14ac:dyDescent="0.3"/>
    <row r="6311" x14ac:dyDescent="0.3"/>
    <row r="6312" x14ac:dyDescent="0.3"/>
    <row r="6313" x14ac:dyDescent="0.3"/>
    <row r="6314" x14ac:dyDescent="0.3"/>
    <row r="6315" x14ac:dyDescent="0.3"/>
    <row r="6316" x14ac:dyDescent="0.3"/>
    <row r="6317" x14ac:dyDescent="0.3"/>
    <row r="6318" x14ac:dyDescent="0.3"/>
    <row r="6319" x14ac:dyDescent="0.3"/>
    <row r="6320" x14ac:dyDescent="0.3"/>
    <row r="6321" x14ac:dyDescent="0.3"/>
    <row r="6322" x14ac:dyDescent="0.3"/>
    <row r="6323" x14ac:dyDescent="0.3"/>
    <row r="6324" x14ac:dyDescent="0.3"/>
    <row r="6325" x14ac:dyDescent="0.3"/>
    <row r="6326" x14ac:dyDescent="0.3"/>
    <row r="6327" x14ac:dyDescent="0.3"/>
    <row r="6328" x14ac:dyDescent="0.3"/>
    <row r="6329" x14ac:dyDescent="0.3"/>
    <row r="6330" x14ac:dyDescent="0.3"/>
    <row r="6331" x14ac:dyDescent="0.3"/>
    <row r="6332" x14ac:dyDescent="0.3"/>
    <row r="6333" x14ac:dyDescent="0.3"/>
    <row r="6334" x14ac:dyDescent="0.3"/>
    <row r="6335" x14ac:dyDescent="0.3"/>
    <row r="6336" x14ac:dyDescent="0.3"/>
    <row r="6337" x14ac:dyDescent="0.3"/>
    <row r="6338" x14ac:dyDescent="0.3"/>
    <row r="6339" x14ac:dyDescent="0.3"/>
    <row r="6340" x14ac:dyDescent="0.3"/>
    <row r="6341" x14ac:dyDescent="0.3"/>
    <row r="6342" x14ac:dyDescent="0.3"/>
    <row r="6343" x14ac:dyDescent="0.3"/>
    <row r="6344" x14ac:dyDescent="0.3"/>
    <row r="6345" x14ac:dyDescent="0.3"/>
    <row r="6346" x14ac:dyDescent="0.3"/>
    <row r="6347" x14ac:dyDescent="0.3"/>
    <row r="6348" x14ac:dyDescent="0.3"/>
    <row r="6349" x14ac:dyDescent="0.3"/>
    <row r="6350" x14ac:dyDescent="0.3"/>
    <row r="6351" x14ac:dyDescent="0.3"/>
    <row r="6352" x14ac:dyDescent="0.3"/>
    <row r="6353" x14ac:dyDescent="0.3"/>
    <row r="6354" x14ac:dyDescent="0.3"/>
    <row r="6355" x14ac:dyDescent="0.3"/>
    <row r="6356" x14ac:dyDescent="0.3"/>
    <row r="6357" x14ac:dyDescent="0.3"/>
    <row r="6358" x14ac:dyDescent="0.3"/>
    <row r="6359" x14ac:dyDescent="0.3"/>
    <row r="6360" x14ac:dyDescent="0.3"/>
    <row r="6361" x14ac:dyDescent="0.3"/>
    <row r="6362" x14ac:dyDescent="0.3"/>
    <row r="6363" x14ac:dyDescent="0.3"/>
    <row r="6364" x14ac:dyDescent="0.3"/>
    <row r="6365" x14ac:dyDescent="0.3"/>
    <row r="6366" x14ac:dyDescent="0.3"/>
    <row r="6367" x14ac:dyDescent="0.3"/>
    <row r="6368" x14ac:dyDescent="0.3"/>
    <row r="6369" x14ac:dyDescent="0.3"/>
    <row r="6370" x14ac:dyDescent="0.3"/>
    <row r="6371" x14ac:dyDescent="0.3"/>
    <row r="6372" x14ac:dyDescent="0.3"/>
    <row r="6373" x14ac:dyDescent="0.3"/>
    <row r="6374" x14ac:dyDescent="0.3"/>
    <row r="6375" x14ac:dyDescent="0.3"/>
    <row r="6376" x14ac:dyDescent="0.3"/>
    <row r="6377" x14ac:dyDescent="0.3"/>
    <row r="6378" x14ac:dyDescent="0.3"/>
    <row r="6379" x14ac:dyDescent="0.3"/>
    <row r="6380" x14ac:dyDescent="0.3"/>
    <row r="6381" x14ac:dyDescent="0.3"/>
    <row r="6382" x14ac:dyDescent="0.3"/>
    <row r="6383" x14ac:dyDescent="0.3"/>
    <row r="6384" x14ac:dyDescent="0.3"/>
    <row r="6385" x14ac:dyDescent="0.3"/>
    <row r="6386" x14ac:dyDescent="0.3"/>
    <row r="6387" x14ac:dyDescent="0.3"/>
    <row r="6388" x14ac:dyDescent="0.3"/>
    <row r="6389" x14ac:dyDescent="0.3"/>
    <row r="6390" x14ac:dyDescent="0.3"/>
    <row r="6391" x14ac:dyDescent="0.3"/>
    <row r="6392" x14ac:dyDescent="0.3"/>
    <row r="6393" x14ac:dyDescent="0.3"/>
    <row r="6394" x14ac:dyDescent="0.3"/>
    <row r="6395" x14ac:dyDescent="0.3"/>
    <row r="6396" x14ac:dyDescent="0.3"/>
    <row r="6397" x14ac:dyDescent="0.3"/>
    <row r="6398" x14ac:dyDescent="0.3"/>
    <row r="6399" x14ac:dyDescent="0.3"/>
    <row r="6400" x14ac:dyDescent="0.3"/>
    <row r="6401" x14ac:dyDescent="0.3"/>
    <row r="6402" x14ac:dyDescent="0.3"/>
    <row r="6403" x14ac:dyDescent="0.3"/>
    <row r="6404" x14ac:dyDescent="0.3"/>
    <row r="6405" x14ac:dyDescent="0.3"/>
    <row r="6406" x14ac:dyDescent="0.3"/>
    <row r="6407" x14ac:dyDescent="0.3"/>
    <row r="6408" x14ac:dyDescent="0.3"/>
    <row r="6409" x14ac:dyDescent="0.3"/>
    <row r="6410" x14ac:dyDescent="0.3"/>
    <row r="6411" x14ac:dyDescent="0.3"/>
    <row r="6412" x14ac:dyDescent="0.3"/>
    <row r="6413" x14ac:dyDescent="0.3"/>
    <row r="6414" x14ac:dyDescent="0.3"/>
    <row r="6415" x14ac:dyDescent="0.3"/>
    <row r="6416" x14ac:dyDescent="0.3"/>
    <row r="6417" x14ac:dyDescent="0.3"/>
    <row r="6418" x14ac:dyDescent="0.3"/>
    <row r="6419" x14ac:dyDescent="0.3"/>
    <row r="6420" x14ac:dyDescent="0.3"/>
    <row r="6421" x14ac:dyDescent="0.3"/>
    <row r="6422" x14ac:dyDescent="0.3"/>
    <row r="6423" x14ac:dyDescent="0.3"/>
    <row r="6424" x14ac:dyDescent="0.3"/>
    <row r="6425" x14ac:dyDescent="0.3"/>
    <row r="6426" x14ac:dyDescent="0.3"/>
    <row r="6427" x14ac:dyDescent="0.3"/>
    <row r="6428" x14ac:dyDescent="0.3"/>
    <row r="6429" x14ac:dyDescent="0.3"/>
    <row r="6430" x14ac:dyDescent="0.3"/>
    <row r="6431" x14ac:dyDescent="0.3"/>
    <row r="6432" x14ac:dyDescent="0.3"/>
    <row r="6433" x14ac:dyDescent="0.3"/>
    <row r="6434" x14ac:dyDescent="0.3"/>
    <row r="6435" x14ac:dyDescent="0.3"/>
    <row r="6436" x14ac:dyDescent="0.3"/>
    <row r="6437" x14ac:dyDescent="0.3"/>
    <row r="6438" x14ac:dyDescent="0.3"/>
    <row r="6439" x14ac:dyDescent="0.3"/>
    <row r="6440" x14ac:dyDescent="0.3"/>
    <row r="6441" x14ac:dyDescent="0.3"/>
    <row r="6442" x14ac:dyDescent="0.3"/>
    <row r="6443" x14ac:dyDescent="0.3"/>
    <row r="6444" x14ac:dyDescent="0.3"/>
    <row r="6445" x14ac:dyDescent="0.3"/>
    <row r="6446" x14ac:dyDescent="0.3"/>
    <row r="6447" x14ac:dyDescent="0.3"/>
    <row r="6448" x14ac:dyDescent="0.3"/>
    <row r="6449" x14ac:dyDescent="0.3"/>
    <row r="6450" x14ac:dyDescent="0.3"/>
    <row r="6451" x14ac:dyDescent="0.3"/>
    <row r="6452" x14ac:dyDescent="0.3"/>
    <row r="6453" x14ac:dyDescent="0.3"/>
    <row r="6454" x14ac:dyDescent="0.3"/>
    <row r="6455" x14ac:dyDescent="0.3"/>
    <row r="6456" x14ac:dyDescent="0.3"/>
    <row r="6457" x14ac:dyDescent="0.3"/>
    <row r="6458" x14ac:dyDescent="0.3"/>
    <row r="6459" x14ac:dyDescent="0.3"/>
    <row r="6460" x14ac:dyDescent="0.3"/>
    <row r="6461" x14ac:dyDescent="0.3"/>
    <row r="6462" x14ac:dyDescent="0.3"/>
    <row r="6463" x14ac:dyDescent="0.3"/>
    <row r="6464" x14ac:dyDescent="0.3"/>
    <row r="6465" x14ac:dyDescent="0.3"/>
    <row r="6466" x14ac:dyDescent="0.3"/>
    <row r="6467" x14ac:dyDescent="0.3"/>
    <row r="6468" x14ac:dyDescent="0.3"/>
    <row r="6469" x14ac:dyDescent="0.3"/>
    <row r="6470" x14ac:dyDescent="0.3"/>
    <row r="6471" x14ac:dyDescent="0.3"/>
    <row r="6472" x14ac:dyDescent="0.3"/>
    <row r="6473" x14ac:dyDescent="0.3"/>
    <row r="6474" x14ac:dyDescent="0.3"/>
    <row r="6475" x14ac:dyDescent="0.3"/>
    <row r="6476" x14ac:dyDescent="0.3"/>
    <row r="6477" x14ac:dyDescent="0.3"/>
    <row r="6478" x14ac:dyDescent="0.3"/>
    <row r="6479" x14ac:dyDescent="0.3"/>
    <row r="6480" x14ac:dyDescent="0.3"/>
    <row r="6481" x14ac:dyDescent="0.3"/>
    <row r="6482" x14ac:dyDescent="0.3"/>
    <row r="6483" x14ac:dyDescent="0.3"/>
    <row r="6484" x14ac:dyDescent="0.3"/>
    <row r="6485" x14ac:dyDescent="0.3"/>
    <row r="6486" x14ac:dyDescent="0.3"/>
    <row r="6487" x14ac:dyDescent="0.3"/>
    <row r="6488" x14ac:dyDescent="0.3"/>
    <row r="6489" x14ac:dyDescent="0.3"/>
    <row r="6490" x14ac:dyDescent="0.3"/>
    <row r="6491" x14ac:dyDescent="0.3"/>
    <row r="6492" x14ac:dyDescent="0.3"/>
    <row r="6493" x14ac:dyDescent="0.3"/>
    <row r="6494" x14ac:dyDescent="0.3"/>
    <row r="6495" x14ac:dyDescent="0.3"/>
    <row r="6496" x14ac:dyDescent="0.3"/>
    <row r="6497" x14ac:dyDescent="0.3"/>
    <row r="6498" x14ac:dyDescent="0.3"/>
    <row r="6499" x14ac:dyDescent="0.3"/>
    <row r="6500" x14ac:dyDescent="0.3"/>
    <row r="6501" x14ac:dyDescent="0.3"/>
    <row r="6502" x14ac:dyDescent="0.3"/>
    <row r="6503" x14ac:dyDescent="0.3"/>
    <row r="6504" x14ac:dyDescent="0.3"/>
    <row r="6505" x14ac:dyDescent="0.3"/>
    <row r="6506" x14ac:dyDescent="0.3"/>
    <row r="6507" x14ac:dyDescent="0.3"/>
    <row r="6508" x14ac:dyDescent="0.3"/>
    <row r="6509" x14ac:dyDescent="0.3"/>
    <row r="6510" x14ac:dyDescent="0.3"/>
    <row r="6511" x14ac:dyDescent="0.3"/>
    <row r="6512" x14ac:dyDescent="0.3"/>
    <row r="6513" x14ac:dyDescent="0.3"/>
    <row r="6514" x14ac:dyDescent="0.3"/>
    <row r="6515" x14ac:dyDescent="0.3"/>
    <row r="6516" x14ac:dyDescent="0.3"/>
    <row r="6517" x14ac:dyDescent="0.3"/>
    <row r="6518" x14ac:dyDescent="0.3"/>
    <row r="6519" x14ac:dyDescent="0.3"/>
    <row r="6520" x14ac:dyDescent="0.3"/>
    <row r="6521" x14ac:dyDescent="0.3"/>
    <row r="6522" x14ac:dyDescent="0.3"/>
    <row r="6523" x14ac:dyDescent="0.3"/>
    <row r="6524" x14ac:dyDescent="0.3"/>
    <row r="6525" x14ac:dyDescent="0.3"/>
    <row r="6526" x14ac:dyDescent="0.3"/>
    <row r="6527" x14ac:dyDescent="0.3"/>
    <row r="6528" x14ac:dyDescent="0.3"/>
    <row r="6529" x14ac:dyDescent="0.3"/>
    <row r="6530" x14ac:dyDescent="0.3"/>
    <row r="6531" x14ac:dyDescent="0.3"/>
    <row r="6532" x14ac:dyDescent="0.3"/>
    <row r="6533" x14ac:dyDescent="0.3"/>
    <row r="6534" x14ac:dyDescent="0.3"/>
    <row r="6535" x14ac:dyDescent="0.3"/>
    <row r="6536" x14ac:dyDescent="0.3"/>
    <row r="6537" x14ac:dyDescent="0.3"/>
    <row r="6538" x14ac:dyDescent="0.3"/>
    <row r="6539" x14ac:dyDescent="0.3"/>
    <row r="6540" x14ac:dyDescent="0.3"/>
    <row r="6541" x14ac:dyDescent="0.3"/>
    <row r="6542" x14ac:dyDescent="0.3"/>
    <row r="6543" x14ac:dyDescent="0.3"/>
    <row r="6544" x14ac:dyDescent="0.3"/>
    <row r="6545" x14ac:dyDescent="0.3"/>
    <row r="6546" x14ac:dyDescent="0.3"/>
    <row r="6547" x14ac:dyDescent="0.3"/>
    <row r="6548" x14ac:dyDescent="0.3"/>
    <row r="6549" x14ac:dyDescent="0.3"/>
    <row r="6550" x14ac:dyDescent="0.3"/>
    <row r="6551" x14ac:dyDescent="0.3"/>
    <row r="6552" x14ac:dyDescent="0.3"/>
    <row r="6553" x14ac:dyDescent="0.3"/>
    <row r="6554" x14ac:dyDescent="0.3"/>
    <row r="6555" x14ac:dyDescent="0.3"/>
    <row r="6556" x14ac:dyDescent="0.3"/>
    <row r="6557" x14ac:dyDescent="0.3"/>
    <row r="6558" x14ac:dyDescent="0.3"/>
    <row r="6559" x14ac:dyDescent="0.3"/>
    <row r="6560" x14ac:dyDescent="0.3"/>
    <row r="6561" x14ac:dyDescent="0.3"/>
    <row r="6562" x14ac:dyDescent="0.3"/>
    <row r="6563" x14ac:dyDescent="0.3"/>
    <row r="6564" x14ac:dyDescent="0.3"/>
    <row r="6565" x14ac:dyDescent="0.3"/>
    <row r="6566" x14ac:dyDescent="0.3"/>
    <row r="6567" x14ac:dyDescent="0.3"/>
    <row r="6568" x14ac:dyDescent="0.3"/>
    <row r="6569" x14ac:dyDescent="0.3"/>
    <row r="6570" x14ac:dyDescent="0.3"/>
    <row r="6571" x14ac:dyDescent="0.3"/>
    <row r="6572" x14ac:dyDescent="0.3"/>
    <row r="6573" x14ac:dyDescent="0.3"/>
    <row r="6574" x14ac:dyDescent="0.3"/>
    <row r="6575" x14ac:dyDescent="0.3"/>
    <row r="6576" x14ac:dyDescent="0.3"/>
    <row r="6577" x14ac:dyDescent="0.3"/>
    <row r="6578" x14ac:dyDescent="0.3"/>
    <row r="6579" x14ac:dyDescent="0.3"/>
    <row r="6580" x14ac:dyDescent="0.3"/>
    <row r="6581" x14ac:dyDescent="0.3"/>
    <row r="6582" x14ac:dyDescent="0.3"/>
    <row r="6583" x14ac:dyDescent="0.3"/>
    <row r="6584" x14ac:dyDescent="0.3"/>
    <row r="6585" x14ac:dyDescent="0.3"/>
    <row r="6586" x14ac:dyDescent="0.3"/>
    <row r="6587" x14ac:dyDescent="0.3"/>
    <row r="6588" x14ac:dyDescent="0.3"/>
    <row r="6589" x14ac:dyDescent="0.3"/>
    <row r="6590" x14ac:dyDescent="0.3"/>
    <row r="6591" x14ac:dyDescent="0.3"/>
    <row r="6592" x14ac:dyDescent="0.3"/>
    <row r="6593" x14ac:dyDescent="0.3"/>
    <row r="6594" x14ac:dyDescent="0.3"/>
    <row r="6595" x14ac:dyDescent="0.3"/>
    <row r="6596" x14ac:dyDescent="0.3"/>
    <row r="6597" x14ac:dyDescent="0.3"/>
    <row r="6598" x14ac:dyDescent="0.3"/>
    <row r="6599" x14ac:dyDescent="0.3"/>
    <row r="6600" x14ac:dyDescent="0.3"/>
    <row r="6601" x14ac:dyDescent="0.3"/>
    <row r="6602" x14ac:dyDescent="0.3"/>
    <row r="6603" x14ac:dyDescent="0.3"/>
    <row r="6604" x14ac:dyDescent="0.3"/>
    <row r="6605" x14ac:dyDescent="0.3"/>
    <row r="6606" x14ac:dyDescent="0.3"/>
    <row r="6607" x14ac:dyDescent="0.3"/>
    <row r="6608" x14ac:dyDescent="0.3"/>
    <row r="6609" x14ac:dyDescent="0.3"/>
    <row r="6610" x14ac:dyDescent="0.3"/>
    <row r="6611" x14ac:dyDescent="0.3"/>
    <row r="6612" x14ac:dyDescent="0.3"/>
    <row r="6613" x14ac:dyDescent="0.3"/>
    <row r="6614" x14ac:dyDescent="0.3"/>
    <row r="6615" x14ac:dyDescent="0.3"/>
    <row r="6616" x14ac:dyDescent="0.3"/>
    <row r="6617" x14ac:dyDescent="0.3"/>
    <row r="6618" x14ac:dyDescent="0.3"/>
    <row r="6619" x14ac:dyDescent="0.3"/>
    <row r="6620" x14ac:dyDescent="0.3"/>
    <row r="6621" x14ac:dyDescent="0.3"/>
    <row r="6622" x14ac:dyDescent="0.3"/>
    <row r="6623" x14ac:dyDescent="0.3"/>
    <row r="6624" x14ac:dyDescent="0.3"/>
    <row r="6625" x14ac:dyDescent="0.3"/>
    <row r="6626" x14ac:dyDescent="0.3"/>
    <row r="6627" x14ac:dyDescent="0.3"/>
    <row r="6628" x14ac:dyDescent="0.3"/>
    <row r="6629" x14ac:dyDescent="0.3"/>
    <row r="6630" x14ac:dyDescent="0.3"/>
    <row r="6631" x14ac:dyDescent="0.3"/>
    <row r="6632" x14ac:dyDescent="0.3"/>
    <row r="6633" x14ac:dyDescent="0.3"/>
    <row r="6634" x14ac:dyDescent="0.3"/>
    <row r="6635" x14ac:dyDescent="0.3"/>
    <row r="6636" x14ac:dyDescent="0.3"/>
    <row r="6637" x14ac:dyDescent="0.3"/>
    <row r="6638" x14ac:dyDescent="0.3"/>
    <row r="6639" x14ac:dyDescent="0.3"/>
    <row r="6640" x14ac:dyDescent="0.3"/>
    <row r="6641" x14ac:dyDescent="0.3"/>
    <row r="6642" x14ac:dyDescent="0.3"/>
    <row r="6643" x14ac:dyDescent="0.3"/>
    <row r="6644" x14ac:dyDescent="0.3"/>
    <row r="6645" x14ac:dyDescent="0.3"/>
    <row r="6646" x14ac:dyDescent="0.3"/>
    <row r="6647" x14ac:dyDescent="0.3"/>
    <row r="6648" x14ac:dyDescent="0.3"/>
    <row r="6649" x14ac:dyDescent="0.3"/>
    <row r="6650" x14ac:dyDescent="0.3"/>
    <row r="6651" x14ac:dyDescent="0.3"/>
    <row r="6652" x14ac:dyDescent="0.3"/>
    <row r="6653" x14ac:dyDescent="0.3"/>
    <row r="6654" x14ac:dyDescent="0.3"/>
    <row r="6655" x14ac:dyDescent="0.3"/>
    <row r="6656" x14ac:dyDescent="0.3"/>
    <row r="6657" x14ac:dyDescent="0.3"/>
    <row r="6658" x14ac:dyDescent="0.3"/>
    <row r="6659" x14ac:dyDescent="0.3"/>
    <row r="6660" x14ac:dyDescent="0.3"/>
    <row r="6661" x14ac:dyDescent="0.3"/>
    <row r="6662" x14ac:dyDescent="0.3"/>
    <row r="6663" x14ac:dyDescent="0.3"/>
    <row r="6664" x14ac:dyDescent="0.3"/>
    <row r="6665" x14ac:dyDescent="0.3"/>
    <row r="6666" x14ac:dyDescent="0.3"/>
    <row r="6667" x14ac:dyDescent="0.3"/>
    <row r="6668" x14ac:dyDescent="0.3"/>
    <row r="6669" x14ac:dyDescent="0.3"/>
    <row r="6670" x14ac:dyDescent="0.3"/>
    <row r="6671" x14ac:dyDescent="0.3"/>
    <row r="6672" x14ac:dyDescent="0.3"/>
    <row r="6673" x14ac:dyDescent="0.3"/>
    <row r="6674" x14ac:dyDescent="0.3"/>
    <row r="6675" x14ac:dyDescent="0.3"/>
    <row r="6676" x14ac:dyDescent="0.3"/>
    <row r="6677" x14ac:dyDescent="0.3"/>
    <row r="6678" x14ac:dyDescent="0.3"/>
    <row r="6679" x14ac:dyDescent="0.3"/>
    <row r="6680" x14ac:dyDescent="0.3"/>
    <row r="6681" x14ac:dyDescent="0.3"/>
    <row r="6682" x14ac:dyDescent="0.3"/>
    <row r="6683" x14ac:dyDescent="0.3"/>
    <row r="6684" x14ac:dyDescent="0.3"/>
    <row r="6685" x14ac:dyDescent="0.3"/>
    <row r="6686" x14ac:dyDescent="0.3"/>
    <row r="6687" x14ac:dyDescent="0.3"/>
    <row r="6688" x14ac:dyDescent="0.3"/>
    <row r="6689" x14ac:dyDescent="0.3"/>
    <row r="6690" x14ac:dyDescent="0.3"/>
    <row r="6691" x14ac:dyDescent="0.3"/>
    <row r="6692" x14ac:dyDescent="0.3"/>
    <row r="6693" x14ac:dyDescent="0.3"/>
    <row r="6694" x14ac:dyDescent="0.3"/>
    <row r="6695" x14ac:dyDescent="0.3"/>
    <row r="6696" x14ac:dyDescent="0.3"/>
    <row r="6697" x14ac:dyDescent="0.3"/>
    <row r="6698" x14ac:dyDescent="0.3"/>
    <row r="6699" x14ac:dyDescent="0.3"/>
    <row r="6700" x14ac:dyDescent="0.3"/>
    <row r="6701" x14ac:dyDescent="0.3"/>
    <row r="6702" x14ac:dyDescent="0.3"/>
    <row r="6703" x14ac:dyDescent="0.3"/>
    <row r="6704" x14ac:dyDescent="0.3"/>
    <row r="6705" x14ac:dyDescent="0.3"/>
    <row r="6706" x14ac:dyDescent="0.3"/>
    <row r="6707" x14ac:dyDescent="0.3"/>
    <row r="6708" x14ac:dyDescent="0.3"/>
    <row r="6709" x14ac:dyDescent="0.3"/>
    <row r="6710" x14ac:dyDescent="0.3"/>
    <row r="6711" x14ac:dyDescent="0.3"/>
    <row r="6712" x14ac:dyDescent="0.3"/>
    <row r="6713" x14ac:dyDescent="0.3"/>
    <row r="6714" x14ac:dyDescent="0.3"/>
    <row r="6715" x14ac:dyDescent="0.3"/>
    <row r="6716" x14ac:dyDescent="0.3"/>
    <row r="6717" x14ac:dyDescent="0.3"/>
    <row r="6718" x14ac:dyDescent="0.3"/>
    <row r="6719" x14ac:dyDescent="0.3"/>
    <row r="6720" x14ac:dyDescent="0.3"/>
    <row r="6721" x14ac:dyDescent="0.3"/>
    <row r="6722" x14ac:dyDescent="0.3"/>
    <row r="6723" x14ac:dyDescent="0.3"/>
    <row r="6724" x14ac:dyDescent="0.3"/>
    <row r="6725" x14ac:dyDescent="0.3"/>
    <row r="6726" x14ac:dyDescent="0.3"/>
    <row r="6727" x14ac:dyDescent="0.3"/>
    <row r="6728" x14ac:dyDescent="0.3"/>
    <row r="6729" x14ac:dyDescent="0.3"/>
    <row r="6730" x14ac:dyDescent="0.3"/>
    <row r="6731" x14ac:dyDescent="0.3"/>
    <row r="6732" x14ac:dyDescent="0.3"/>
    <row r="6733" x14ac:dyDescent="0.3"/>
    <row r="6734" x14ac:dyDescent="0.3"/>
    <row r="6735" x14ac:dyDescent="0.3"/>
    <row r="6736" x14ac:dyDescent="0.3"/>
    <row r="6737" x14ac:dyDescent="0.3"/>
    <row r="6738" x14ac:dyDescent="0.3"/>
    <row r="6739" x14ac:dyDescent="0.3"/>
    <row r="6740" x14ac:dyDescent="0.3"/>
    <row r="6741" x14ac:dyDescent="0.3"/>
    <row r="6742" x14ac:dyDescent="0.3"/>
    <row r="6743" x14ac:dyDescent="0.3"/>
    <row r="6744" x14ac:dyDescent="0.3"/>
    <row r="6745" x14ac:dyDescent="0.3"/>
    <row r="6746" x14ac:dyDescent="0.3"/>
    <row r="6747" x14ac:dyDescent="0.3"/>
    <row r="6748" x14ac:dyDescent="0.3"/>
    <row r="6749" x14ac:dyDescent="0.3"/>
    <row r="6750" x14ac:dyDescent="0.3"/>
    <row r="6751" x14ac:dyDescent="0.3"/>
    <row r="6752" x14ac:dyDescent="0.3"/>
    <row r="6753" x14ac:dyDescent="0.3"/>
    <row r="6754" x14ac:dyDescent="0.3"/>
    <row r="6755" x14ac:dyDescent="0.3"/>
    <row r="6756" x14ac:dyDescent="0.3"/>
    <row r="6757" x14ac:dyDescent="0.3"/>
    <row r="6758" x14ac:dyDescent="0.3"/>
    <row r="6759" x14ac:dyDescent="0.3"/>
    <row r="6760" x14ac:dyDescent="0.3"/>
    <row r="6761" x14ac:dyDescent="0.3"/>
    <row r="6762" x14ac:dyDescent="0.3"/>
    <row r="6763" x14ac:dyDescent="0.3"/>
    <row r="6764" x14ac:dyDescent="0.3"/>
    <row r="6765" x14ac:dyDescent="0.3"/>
    <row r="6766" x14ac:dyDescent="0.3"/>
    <row r="6767" x14ac:dyDescent="0.3"/>
    <row r="6768" x14ac:dyDescent="0.3"/>
    <row r="6769" x14ac:dyDescent="0.3"/>
    <row r="6770" x14ac:dyDescent="0.3"/>
    <row r="6771" x14ac:dyDescent="0.3"/>
    <row r="6772" x14ac:dyDescent="0.3"/>
    <row r="6773" x14ac:dyDescent="0.3"/>
    <row r="6774" x14ac:dyDescent="0.3"/>
    <row r="6775" x14ac:dyDescent="0.3"/>
    <row r="6776" x14ac:dyDescent="0.3"/>
    <row r="6777" x14ac:dyDescent="0.3"/>
    <row r="6778" x14ac:dyDescent="0.3"/>
    <row r="6779" x14ac:dyDescent="0.3"/>
    <row r="6780" x14ac:dyDescent="0.3"/>
    <row r="6781" x14ac:dyDescent="0.3"/>
    <row r="6782" x14ac:dyDescent="0.3"/>
    <row r="6783" x14ac:dyDescent="0.3"/>
    <row r="6784" x14ac:dyDescent="0.3"/>
    <row r="6785" x14ac:dyDescent="0.3"/>
    <row r="6786" x14ac:dyDescent="0.3"/>
    <row r="6787" x14ac:dyDescent="0.3"/>
    <row r="6788" x14ac:dyDescent="0.3"/>
    <row r="6789" x14ac:dyDescent="0.3"/>
    <row r="6790" x14ac:dyDescent="0.3"/>
    <row r="6791" x14ac:dyDescent="0.3"/>
    <row r="6792" x14ac:dyDescent="0.3"/>
    <row r="6793" x14ac:dyDescent="0.3"/>
    <row r="6794" x14ac:dyDescent="0.3"/>
    <row r="6795" x14ac:dyDescent="0.3"/>
    <row r="6796" x14ac:dyDescent="0.3"/>
    <row r="6797" x14ac:dyDescent="0.3"/>
    <row r="6798" x14ac:dyDescent="0.3"/>
    <row r="6799" x14ac:dyDescent="0.3"/>
    <row r="6800" x14ac:dyDescent="0.3"/>
    <row r="6801" x14ac:dyDescent="0.3"/>
    <row r="6802" x14ac:dyDescent="0.3"/>
    <row r="6803" x14ac:dyDescent="0.3"/>
    <row r="6804" x14ac:dyDescent="0.3"/>
    <row r="6805" x14ac:dyDescent="0.3"/>
    <row r="6806" x14ac:dyDescent="0.3"/>
    <row r="6807" x14ac:dyDescent="0.3"/>
    <row r="6808" x14ac:dyDescent="0.3"/>
    <row r="6809" x14ac:dyDescent="0.3"/>
    <row r="6810" x14ac:dyDescent="0.3"/>
    <row r="6811" x14ac:dyDescent="0.3"/>
    <row r="6812" x14ac:dyDescent="0.3"/>
    <row r="6813" x14ac:dyDescent="0.3"/>
    <row r="6814" x14ac:dyDescent="0.3"/>
    <row r="6815" x14ac:dyDescent="0.3"/>
    <row r="6816" x14ac:dyDescent="0.3"/>
    <row r="6817" x14ac:dyDescent="0.3"/>
    <row r="6818" x14ac:dyDescent="0.3"/>
    <row r="6819" x14ac:dyDescent="0.3"/>
    <row r="6820" x14ac:dyDescent="0.3"/>
    <row r="6821" x14ac:dyDescent="0.3"/>
    <row r="6822" x14ac:dyDescent="0.3"/>
    <row r="6823" x14ac:dyDescent="0.3"/>
    <row r="6824" x14ac:dyDescent="0.3"/>
    <row r="6825" x14ac:dyDescent="0.3"/>
    <row r="6826" x14ac:dyDescent="0.3"/>
    <row r="6827" x14ac:dyDescent="0.3"/>
    <row r="6828" x14ac:dyDescent="0.3"/>
    <row r="6829" x14ac:dyDescent="0.3"/>
    <row r="6830" x14ac:dyDescent="0.3"/>
    <row r="6831" x14ac:dyDescent="0.3"/>
    <row r="6832" x14ac:dyDescent="0.3"/>
    <row r="6833" x14ac:dyDescent="0.3"/>
    <row r="6834" x14ac:dyDescent="0.3"/>
    <row r="6835" x14ac:dyDescent="0.3"/>
    <row r="6836" x14ac:dyDescent="0.3"/>
    <row r="6837" x14ac:dyDescent="0.3"/>
    <row r="6838" x14ac:dyDescent="0.3"/>
    <row r="6839" x14ac:dyDescent="0.3"/>
    <row r="6840" x14ac:dyDescent="0.3"/>
    <row r="6841" x14ac:dyDescent="0.3"/>
    <row r="6842" x14ac:dyDescent="0.3"/>
    <row r="6843" x14ac:dyDescent="0.3"/>
    <row r="6844" x14ac:dyDescent="0.3"/>
    <row r="6845" x14ac:dyDescent="0.3"/>
    <row r="6846" x14ac:dyDescent="0.3"/>
    <row r="6847" x14ac:dyDescent="0.3"/>
    <row r="6848" x14ac:dyDescent="0.3"/>
    <row r="6849" x14ac:dyDescent="0.3"/>
    <row r="6850" x14ac:dyDescent="0.3"/>
    <row r="6851" x14ac:dyDescent="0.3"/>
    <row r="6852" x14ac:dyDescent="0.3"/>
    <row r="6853" x14ac:dyDescent="0.3"/>
    <row r="6854" x14ac:dyDescent="0.3"/>
    <row r="6855" x14ac:dyDescent="0.3"/>
    <row r="6856" x14ac:dyDescent="0.3"/>
    <row r="6857" x14ac:dyDescent="0.3"/>
    <row r="6858" x14ac:dyDescent="0.3"/>
    <row r="6859" x14ac:dyDescent="0.3"/>
    <row r="6860" x14ac:dyDescent="0.3"/>
    <row r="6861" x14ac:dyDescent="0.3"/>
    <row r="6862" x14ac:dyDescent="0.3"/>
    <row r="6863" x14ac:dyDescent="0.3"/>
    <row r="6864" x14ac:dyDescent="0.3"/>
    <row r="6865" x14ac:dyDescent="0.3"/>
    <row r="6866" x14ac:dyDescent="0.3"/>
    <row r="6867" x14ac:dyDescent="0.3"/>
    <row r="6868" x14ac:dyDescent="0.3"/>
    <row r="6869" x14ac:dyDescent="0.3"/>
    <row r="6870" x14ac:dyDescent="0.3"/>
    <row r="6871" x14ac:dyDescent="0.3"/>
    <row r="6872" x14ac:dyDescent="0.3"/>
    <row r="6873" x14ac:dyDescent="0.3"/>
    <row r="6874" x14ac:dyDescent="0.3"/>
    <row r="6875" x14ac:dyDescent="0.3"/>
    <row r="6876" x14ac:dyDescent="0.3"/>
    <row r="6877" x14ac:dyDescent="0.3"/>
    <row r="6878" x14ac:dyDescent="0.3"/>
    <row r="6879" x14ac:dyDescent="0.3"/>
    <row r="6880" x14ac:dyDescent="0.3"/>
    <row r="6881" x14ac:dyDescent="0.3"/>
    <row r="6882" x14ac:dyDescent="0.3"/>
    <row r="6883" x14ac:dyDescent="0.3"/>
    <row r="6884" x14ac:dyDescent="0.3"/>
    <row r="6885" x14ac:dyDescent="0.3"/>
    <row r="6886" x14ac:dyDescent="0.3"/>
    <row r="6887" x14ac:dyDescent="0.3"/>
    <row r="6888" x14ac:dyDescent="0.3"/>
    <row r="6889" x14ac:dyDescent="0.3"/>
    <row r="6890" x14ac:dyDescent="0.3"/>
    <row r="6891" x14ac:dyDescent="0.3"/>
    <row r="6892" x14ac:dyDescent="0.3"/>
    <row r="6893" x14ac:dyDescent="0.3"/>
    <row r="6894" x14ac:dyDescent="0.3"/>
    <row r="6895" x14ac:dyDescent="0.3"/>
    <row r="6896" x14ac:dyDescent="0.3"/>
    <row r="6897" x14ac:dyDescent="0.3"/>
    <row r="6898" x14ac:dyDescent="0.3"/>
    <row r="6899" x14ac:dyDescent="0.3"/>
    <row r="6900" x14ac:dyDescent="0.3"/>
    <row r="6901" x14ac:dyDescent="0.3"/>
    <row r="6902" x14ac:dyDescent="0.3"/>
    <row r="6903" x14ac:dyDescent="0.3"/>
    <row r="6904" x14ac:dyDescent="0.3"/>
    <row r="6905" x14ac:dyDescent="0.3"/>
    <row r="6906" x14ac:dyDescent="0.3"/>
    <row r="6907" x14ac:dyDescent="0.3"/>
    <row r="6908" x14ac:dyDescent="0.3"/>
    <row r="6909" x14ac:dyDescent="0.3"/>
    <row r="6910" x14ac:dyDescent="0.3"/>
    <row r="6911" x14ac:dyDescent="0.3"/>
    <row r="6912" x14ac:dyDescent="0.3"/>
    <row r="6913" x14ac:dyDescent="0.3"/>
    <row r="6914" x14ac:dyDescent="0.3"/>
    <row r="6915" x14ac:dyDescent="0.3"/>
    <row r="6916" x14ac:dyDescent="0.3"/>
    <row r="6917" x14ac:dyDescent="0.3"/>
    <row r="6918" x14ac:dyDescent="0.3"/>
    <row r="6919" x14ac:dyDescent="0.3"/>
    <row r="6920" x14ac:dyDescent="0.3"/>
    <row r="6921" x14ac:dyDescent="0.3"/>
    <row r="6922" x14ac:dyDescent="0.3"/>
    <row r="6923" x14ac:dyDescent="0.3"/>
    <row r="6924" x14ac:dyDescent="0.3"/>
    <row r="6925" x14ac:dyDescent="0.3"/>
    <row r="6926" x14ac:dyDescent="0.3"/>
    <row r="6927" x14ac:dyDescent="0.3"/>
    <row r="6928" x14ac:dyDescent="0.3"/>
    <row r="6929" x14ac:dyDescent="0.3"/>
    <row r="6930" x14ac:dyDescent="0.3"/>
    <row r="6931" x14ac:dyDescent="0.3"/>
    <row r="6932" x14ac:dyDescent="0.3"/>
    <row r="6933" x14ac:dyDescent="0.3"/>
    <row r="6934" x14ac:dyDescent="0.3"/>
    <row r="6935" x14ac:dyDescent="0.3"/>
    <row r="6936" x14ac:dyDescent="0.3"/>
    <row r="6937" x14ac:dyDescent="0.3"/>
    <row r="6938" x14ac:dyDescent="0.3"/>
    <row r="6939" x14ac:dyDescent="0.3"/>
    <row r="6940" x14ac:dyDescent="0.3"/>
    <row r="6941" x14ac:dyDescent="0.3"/>
    <row r="6942" x14ac:dyDescent="0.3"/>
    <row r="6943" x14ac:dyDescent="0.3"/>
    <row r="6944" x14ac:dyDescent="0.3"/>
    <row r="6945" x14ac:dyDescent="0.3"/>
    <row r="6946" x14ac:dyDescent="0.3"/>
    <row r="6947" x14ac:dyDescent="0.3"/>
    <row r="6948" x14ac:dyDescent="0.3"/>
    <row r="6949" x14ac:dyDescent="0.3"/>
    <row r="6950" x14ac:dyDescent="0.3"/>
    <row r="6951" x14ac:dyDescent="0.3"/>
    <row r="6952" x14ac:dyDescent="0.3"/>
    <row r="6953" x14ac:dyDescent="0.3"/>
    <row r="6954" x14ac:dyDescent="0.3"/>
    <row r="6955" x14ac:dyDescent="0.3"/>
    <row r="6956" x14ac:dyDescent="0.3"/>
    <row r="6957" x14ac:dyDescent="0.3"/>
    <row r="6958" x14ac:dyDescent="0.3"/>
    <row r="6959" x14ac:dyDescent="0.3"/>
    <row r="6960" x14ac:dyDescent="0.3"/>
    <row r="6961" x14ac:dyDescent="0.3"/>
    <row r="6962" x14ac:dyDescent="0.3"/>
    <row r="6963" x14ac:dyDescent="0.3"/>
    <row r="6964" x14ac:dyDescent="0.3"/>
    <row r="6965" x14ac:dyDescent="0.3"/>
    <row r="6966" x14ac:dyDescent="0.3"/>
    <row r="6967" x14ac:dyDescent="0.3"/>
    <row r="6968" x14ac:dyDescent="0.3"/>
    <row r="6969" x14ac:dyDescent="0.3"/>
    <row r="6970" x14ac:dyDescent="0.3"/>
    <row r="6971" x14ac:dyDescent="0.3"/>
    <row r="6972" x14ac:dyDescent="0.3"/>
    <row r="6973" x14ac:dyDescent="0.3"/>
    <row r="6974" x14ac:dyDescent="0.3"/>
    <row r="6975" x14ac:dyDescent="0.3"/>
    <row r="6976" x14ac:dyDescent="0.3"/>
    <row r="6977" x14ac:dyDescent="0.3"/>
    <row r="6978" x14ac:dyDescent="0.3"/>
    <row r="6979" x14ac:dyDescent="0.3"/>
    <row r="6980" x14ac:dyDescent="0.3"/>
    <row r="6981" x14ac:dyDescent="0.3"/>
    <row r="6982" x14ac:dyDescent="0.3"/>
    <row r="6983" x14ac:dyDescent="0.3"/>
    <row r="6984" x14ac:dyDescent="0.3"/>
    <row r="6985" x14ac:dyDescent="0.3"/>
    <row r="6986" x14ac:dyDescent="0.3"/>
    <row r="6987" x14ac:dyDescent="0.3"/>
    <row r="6988" x14ac:dyDescent="0.3"/>
    <row r="6989" x14ac:dyDescent="0.3"/>
    <row r="6990" x14ac:dyDescent="0.3"/>
    <row r="6991" x14ac:dyDescent="0.3"/>
    <row r="6992" x14ac:dyDescent="0.3"/>
    <row r="6993" x14ac:dyDescent="0.3"/>
    <row r="6994" x14ac:dyDescent="0.3"/>
    <row r="6995" x14ac:dyDescent="0.3"/>
    <row r="6996" x14ac:dyDescent="0.3"/>
    <row r="6997" x14ac:dyDescent="0.3"/>
    <row r="6998" x14ac:dyDescent="0.3"/>
    <row r="6999" x14ac:dyDescent="0.3"/>
    <row r="7000" x14ac:dyDescent="0.3"/>
    <row r="7001" x14ac:dyDescent="0.3"/>
    <row r="7002" x14ac:dyDescent="0.3"/>
    <row r="7003" x14ac:dyDescent="0.3"/>
    <row r="7004" x14ac:dyDescent="0.3"/>
    <row r="7005" x14ac:dyDescent="0.3"/>
    <row r="7006" x14ac:dyDescent="0.3"/>
    <row r="7007" x14ac:dyDescent="0.3"/>
    <row r="7008" x14ac:dyDescent="0.3"/>
    <row r="7009" x14ac:dyDescent="0.3"/>
    <row r="7010" x14ac:dyDescent="0.3"/>
    <row r="7011" x14ac:dyDescent="0.3"/>
    <row r="7012" x14ac:dyDescent="0.3"/>
    <row r="7013" x14ac:dyDescent="0.3"/>
    <row r="7014" x14ac:dyDescent="0.3"/>
    <row r="7015" x14ac:dyDescent="0.3"/>
    <row r="7016" x14ac:dyDescent="0.3"/>
    <row r="7017" x14ac:dyDescent="0.3"/>
    <row r="7018" x14ac:dyDescent="0.3"/>
    <row r="7019" x14ac:dyDescent="0.3"/>
    <row r="7020" x14ac:dyDescent="0.3"/>
    <row r="7021" x14ac:dyDescent="0.3"/>
    <row r="7022" x14ac:dyDescent="0.3"/>
    <row r="7023" x14ac:dyDescent="0.3"/>
    <row r="7024" x14ac:dyDescent="0.3"/>
    <row r="7025" x14ac:dyDescent="0.3"/>
    <row r="7026" x14ac:dyDescent="0.3"/>
    <row r="7027" x14ac:dyDescent="0.3"/>
    <row r="7028" x14ac:dyDescent="0.3"/>
    <row r="7029" x14ac:dyDescent="0.3"/>
    <row r="7030" x14ac:dyDescent="0.3"/>
    <row r="7031" x14ac:dyDescent="0.3"/>
    <row r="7032" x14ac:dyDescent="0.3"/>
    <row r="7033" x14ac:dyDescent="0.3"/>
    <row r="7034" x14ac:dyDescent="0.3"/>
    <row r="7035" x14ac:dyDescent="0.3"/>
    <row r="7036" x14ac:dyDescent="0.3"/>
    <row r="7037" x14ac:dyDescent="0.3"/>
    <row r="7038" x14ac:dyDescent="0.3"/>
    <row r="7039" x14ac:dyDescent="0.3"/>
    <row r="7040" x14ac:dyDescent="0.3"/>
    <row r="7041" x14ac:dyDescent="0.3"/>
    <row r="7042" x14ac:dyDescent="0.3"/>
    <row r="7043" x14ac:dyDescent="0.3"/>
    <row r="7044" x14ac:dyDescent="0.3"/>
    <row r="7045" x14ac:dyDescent="0.3"/>
    <row r="7046" x14ac:dyDescent="0.3"/>
    <row r="7047" x14ac:dyDescent="0.3"/>
    <row r="7048" x14ac:dyDescent="0.3"/>
    <row r="7049" x14ac:dyDescent="0.3"/>
    <row r="7050" x14ac:dyDescent="0.3"/>
    <row r="7051" x14ac:dyDescent="0.3"/>
    <row r="7052" x14ac:dyDescent="0.3"/>
    <row r="7053" x14ac:dyDescent="0.3"/>
    <row r="7054" x14ac:dyDescent="0.3"/>
    <row r="7055" x14ac:dyDescent="0.3"/>
    <row r="7056" x14ac:dyDescent="0.3"/>
    <row r="7057" x14ac:dyDescent="0.3"/>
    <row r="7058" x14ac:dyDescent="0.3"/>
    <row r="7059" x14ac:dyDescent="0.3"/>
    <row r="7060" x14ac:dyDescent="0.3"/>
    <row r="7061" x14ac:dyDescent="0.3"/>
    <row r="7062" x14ac:dyDescent="0.3"/>
    <row r="7063" x14ac:dyDescent="0.3"/>
    <row r="7064" x14ac:dyDescent="0.3"/>
    <row r="7065" x14ac:dyDescent="0.3"/>
    <row r="7066" x14ac:dyDescent="0.3"/>
    <row r="7067" x14ac:dyDescent="0.3"/>
    <row r="7068" x14ac:dyDescent="0.3"/>
    <row r="7069" x14ac:dyDescent="0.3"/>
    <row r="7070" x14ac:dyDescent="0.3"/>
    <row r="7071" x14ac:dyDescent="0.3"/>
    <row r="7072" x14ac:dyDescent="0.3"/>
    <row r="7073" x14ac:dyDescent="0.3"/>
    <row r="7074" x14ac:dyDescent="0.3"/>
    <row r="7075" x14ac:dyDescent="0.3"/>
    <row r="7076" x14ac:dyDescent="0.3"/>
    <row r="7077" x14ac:dyDescent="0.3"/>
    <row r="7078" x14ac:dyDescent="0.3"/>
    <row r="7079" x14ac:dyDescent="0.3"/>
    <row r="7080" x14ac:dyDescent="0.3"/>
    <row r="7081" x14ac:dyDescent="0.3"/>
    <row r="7082" x14ac:dyDescent="0.3"/>
    <row r="7083" x14ac:dyDescent="0.3"/>
    <row r="7084" x14ac:dyDescent="0.3"/>
    <row r="7085" x14ac:dyDescent="0.3"/>
    <row r="7086" x14ac:dyDescent="0.3"/>
    <row r="7087" x14ac:dyDescent="0.3"/>
    <row r="7088" x14ac:dyDescent="0.3"/>
    <row r="7089" x14ac:dyDescent="0.3"/>
    <row r="7090" x14ac:dyDescent="0.3"/>
    <row r="7091" x14ac:dyDescent="0.3"/>
    <row r="7092" x14ac:dyDescent="0.3"/>
    <row r="7093" x14ac:dyDescent="0.3"/>
    <row r="7094" x14ac:dyDescent="0.3"/>
    <row r="7095" x14ac:dyDescent="0.3"/>
    <row r="7096" x14ac:dyDescent="0.3"/>
    <row r="7097" x14ac:dyDescent="0.3"/>
    <row r="7098" x14ac:dyDescent="0.3"/>
    <row r="7099" x14ac:dyDescent="0.3"/>
    <row r="7100" x14ac:dyDescent="0.3"/>
    <row r="7101" x14ac:dyDescent="0.3"/>
    <row r="7102" x14ac:dyDescent="0.3"/>
    <row r="7103" x14ac:dyDescent="0.3"/>
    <row r="7104" x14ac:dyDescent="0.3"/>
    <row r="7105" x14ac:dyDescent="0.3"/>
    <row r="7106" x14ac:dyDescent="0.3"/>
    <row r="7107" x14ac:dyDescent="0.3"/>
    <row r="7108" x14ac:dyDescent="0.3"/>
    <row r="7109" x14ac:dyDescent="0.3"/>
    <row r="7110" x14ac:dyDescent="0.3"/>
    <row r="7111" x14ac:dyDescent="0.3"/>
    <row r="7112" x14ac:dyDescent="0.3"/>
    <row r="7113" x14ac:dyDescent="0.3"/>
    <row r="7114" x14ac:dyDescent="0.3"/>
    <row r="7115" x14ac:dyDescent="0.3"/>
    <row r="7116" x14ac:dyDescent="0.3"/>
    <row r="7117" x14ac:dyDescent="0.3"/>
    <row r="7118" x14ac:dyDescent="0.3"/>
    <row r="7119" x14ac:dyDescent="0.3"/>
    <row r="7120" x14ac:dyDescent="0.3"/>
    <row r="7121" x14ac:dyDescent="0.3"/>
    <row r="7122" x14ac:dyDescent="0.3"/>
    <row r="7123" x14ac:dyDescent="0.3"/>
    <row r="7124" x14ac:dyDescent="0.3"/>
    <row r="7125" x14ac:dyDescent="0.3"/>
    <row r="7126" x14ac:dyDescent="0.3"/>
    <row r="7127" x14ac:dyDescent="0.3"/>
    <row r="7128" x14ac:dyDescent="0.3"/>
    <row r="7129" x14ac:dyDescent="0.3"/>
    <row r="7130" x14ac:dyDescent="0.3"/>
    <row r="7131" x14ac:dyDescent="0.3"/>
    <row r="7132" x14ac:dyDescent="0.3"/>
    <row r="7133" x14ac:dyDescent="0.3"/>
    <row r="7134" x14ac:dyDescent="0.3"/>
    <row r="7135" x14ac:dyDescent="0.3"/>
    <row r="7136" x14ac:dyDescent="0.3"/>
    <row r="7137" x14ac:dyDescent="0.3"/>
    <row r="7138" x14ac:dyDescent="0.3"/>
    <row r="7139" x14ac:dyDescent="0.3"/>
    <row r="7140" x14ac:dyDescent="0.3"/>
    <row r="7141" x14ac:dyDescent="0.3"/>
    <row r="7142" x14ac:dyDescent="0.3"/>
    <row r="7143" x14ac:dyDescent="0.3"/>
    <row r="7144" x14ac:dyDescent="0.3"/>
    <row r="7145" x14ac:dyDescent="0.3"/>
    <row r="7146" x14ac:dyDescent="0.3"/>
    <row r="7147" x14ac:dyDescent="0.3"/>
    <row r="7148" x14ac:dyDescent="0.3"/>
    <row r="7149" x14ac:dyDescent="0.3"/>
    <row r="7150" x14ac:dyDescent="0.3"/>
    <row r="7151" x14ac:dyDescent="0.3"/>
    <row r="7152" x14ac:dyDescent="0.3"/>
    <row r="7153" x14ac:dyDescent="0.3"/>
    <row r="7154" x14ac:dyDescent="0.3"/>
    <row r="7155" x14ac:dyDescent="0.3"/>
    <row r="7156" x14ac:dyDescent="0.3"/>
    <row r="7157" x14ac:dyDescent="0.3"/>
    <row r="7158" x14ac:dyDescent="0.3"/>
    <row r="7159" x14ac:dyDescent="0.3"/>
    <row r="7160" x14ac:dyDescent="0.3"/>
    <row r="7161" x14ac:dyDescent="0.3"/>
    <row r="7162" x14ac:dyDescent="0.3"/>
    <row r="7163" x14ac:dyDescent="0.3"/>
    <row r="7164" x14ac:dyDescent="0.3"/>
    <row r="7165" x14ac:dyDescent="0.3"/>
    <row r="7166" x14ac:dyDescent="0.3"/>
    <row r="7167" x14ac:dyDescent="0.3"/>
    <row r="7168" x14ac:dyDescent="0.3"/>
    <row r="7169" x14ac:dyDescent="0.3"/>
    <row r="7170" x14ac:dyDescent="0.3"/>
    <row r="7171" x14ac:dyDescent="0.3"/>
    <row r="7172" x14ac:dyDescent="0.3"/>
    <row r="7173" x14ac:dyDescent="0.3"/>
    <row r="7174" x14ac:dyDescent="0.3"/>
    <row r="7175" x14ac:dyDescent="0.3"/>
    <row r="7176" x14ac:dyDescent="0.3"/>
    <row r="7177" x14ac:dyDescent="0.3"/>
    <row r="7178" x14ac:dyDescent="0.3"/>
    <row r="7179" x14ac:dyDescent="0.3"/>
    <row r="7180" x14ac:dyDescent="0.3"/>
    <row r="7181" x14ac:dyDescent="0.3"/>
    <row r="7182" x14ac:dyDescent="0.3"/>
    <row r="7183" x14ac:dyDescent="0.3"/>
    <row r="7184" x14ac:dyDescent="0.3"/>
    <row r="7185" x14ac:dyDescent="0.3"/>
    <row r="7186" x14ac:dyDescent="0.3"/>
    <row r="7187" x14ac:dyDescent="0.3"/>
    <row r="7188" x14ac:dyDescent="0.3"/>
    <row r="7189" x14ac:dyDescent="0.3"/>
    <row r="7190" x14ac:dyDescent="0.3"/>
    <row r="7191" x14ac:dyDescent="0.3"/>
    <row r="7192" x14ac:dyDescent="0.3"/>
    <row r="7193" x14ac:dyDescent="0.3"/>
    <row r="7194" x14ac:dyDescent="0.3"/>
    <row r="7195" x14ac:dyDescent="0.3"/>
    <row r="7196" x14ac:dyDescent="0.3"/>
    <row r="7197" x14ac:dyDescent="0.3"/>
    <row r="7198" x14ac:dyDescent="0.3"/>
    <row r="7199" x14ac:dyDescent="0.3"/>
    <row r="7200" x14ac:dyDescent="0.3"/>
    <row r="7201" x14ac:dyDescent="0.3"/>
    <row r="7202" x14ac:dyDescent="0.3"/>
    <row r="7203" x14ac:dyDescent="0.3"/>
    <row r="7204" x14ac:dyDescent="0.3"/>
    <row r="7205" x14ac:dyDescent="0.3"/>
    <row r="7206" x14ac:dyDescent="0.3"/>
    <row r="7207" x14ac:dyDescent="0.3"/>
    <row r="7208" x14ac:dyDescent="0.3"/>
    <row r="7209" x14ac:dyDescent="0.3"/>
    <row r="7210" x14ac:dyDescent="0.3"/>
    <row r="7211" x14ac:dyDescent="0.3"/>
    <row r="7212" x14ac:dyDescent="0.3"/>
    <row r="7213" x14ac:dyDescent="0.3"/>
    <row r="7214" x14ac:dyDescent="0.3"/>
    <row r="7215" x14ac:dyDescent="0.3"/>
    <row r="7216" x14ac:dyDescent="0.3"/>
    <row r="7217" x14ac:dyDescent="0.3"/>
    <row r="7218" x14ac:dyDescent="0.3"/>
    <row r="7219" x14ac:dyDescent="0.3"/>
    <row r="7220" x14ac:dyDescent="0.3"/>
    <row r="7221" x14ac:dyDescent="0.3"/>
    <row r="7222" x14ac:dyDescent="0.3"/>
    <row r="7223" x14ac:dyDescent="0.3"/>
    <row r="7224" x14ac:dyDescent="0.3"/>
    <row r="7225" x14ac:dyDescent="0.3"/>
    <row r="7226" x14ac:dyDescent="0.3"/>
    <row r="7227" x14ac:dyDescent="0.3"/>
    <row r="7228" x14ac:dyDescent="0.3"/>
    <row r="7229" x14ac:dyDescent="0.3"/>
    <row r="7230" x14ac:dyDescent="0.3"/>
    <row r="7231" x14ac:dyDescent="0.3"/>
    <row r="7232" x14ac:dyDescent="0.3"/>
    <row r="7233" x14ac:dyDescent="0.3"/>
    <row r="7234" x14ac:dyDescent="0.3"/>
    <row r="7235" x14ac:dyDescent="0.3"/>
    <row r="7236" x14ac:dyDescent="0.3"/>
    <row r="7237" x14ac:dyDescent="0.3"/>
    <row r="7238" x14ac:dyDescent="0.3"/>
    <row r="7239" x14ac:dyDescent="0.3"/>
    <row r="7240" x14ac:dyDescent="0.3"/>
    <row r="7241" x14ac:dyDescent="0.3"/>
    <row r="7242" x14ac:dyDescent="0.3"/>
    <row r="7243" x14ac:dyDescent="0.3"/>
    <row r="7244" x14ac:dyDescent="0.3"/>
    <row r="7245" x14ac:dyDescent="0.3"/>
    <row r="7246" x14ac:dyDescent="0.3"/>
    <row r="7247" x14ac:dyDescent="0.3"/>
    <row r="7248" x14ac:dyDescent="0.3"/>
    <row r="7249" x14ac:dyDescent="0.3"/>
    <row r="7250" x14ac:dyDescent="0.3"/>
    <row r="7251" x14ac:dyDescent="0.3"/>
    <row r="7252" x14ac:dyDescent="0.3"/>
    <row r="7253" x14ac:dyDescent="0.3"/>
    <row r="7254" x14ac:dyDescent="0.3"/>
    <row r="7255" x14ac:dyDescent="0.3"/>
    <row r="7256" x14ac:dyDescent="0.3"/>
    <row r="7257" x14ac:dyDescent="0.3"/>
    <row r="7258" x14ac:dyDescent="0.3"/>
    <row r="7259" x14ac:dyDescent="0.3"/>
    <row r="7260" x14ac:dyDescent="0.3"/>
    <row r="7261" x14ac:dyDescent="0.3"/>
    <row r="7262" x14ac:dyDescent="0.3"/>
    <row r="7263" x14ac:dyDescent="0.3"/>
    <row r="7264" x14ac:dyDescent="0.3"/>
    <row r="7265" x14ac:dyDescent="0.3"/>
    <row r="7266" x14ac:dyDescent="0.3"/>
    <row r="7267" x14ac:dyDescent="0.3"/>
    <row r="7268" x14ac:dyDescent="0.3"/>
    <row r="7269" x14ac:dyDescent="0.3"/>
    <row r="7270" x14ac:dyDescent="0.3"/>
    <row r="7271" x14ac:dyDescent="0.3"/>
    <row r="7272" x14ac:dyDescent="0.3"/>
    <row r="7273" x14ac:dyDescent="0.3"/>
    <row r="7274" x14ac:dyDescent="0.3"/>
    <row r="7275" x14ac:dyDescent="0.3"/>
    <row r="7276" x14ac:dyDescent="0.3"/>
    <row r="7277" x14ac:dyDescent="0.3"/>
    <row r="7278" x14ac:dyDescent="0.3"/>
    <row r="7279" x14ac:dyDescent="0.3"/>
    <row r="7280" x14ac:dyDescent="0.3"/>
    <row r="7281" x14ac:dyDescent="0.3"/>
    <row r="7282" x14ac:dyDescent="0.3"/>
    <row r="7283" x14ac:dyDescent="0.3"/>
    <row r="7284" x14ac:dyDescent="0.3"/>
    <row r="7285" x14ac:dyDescent="0.3"/>
    <row r="7286" x14ac:dyDescent="0.3"/>
    <row r="7287" x14ac:dyDescent="0.3"/>
    <row r="7288" x14ac:dyDescent="0.3"/>
    <row r="7289" x14ac:dyDescent="0.3"/>
    <row r="7290" x14ac:dyDescent="0.3"/>
    <row r="7291" x14ac:dyDescent="0.3"/>
    <row r="7292" x14ac:dyDescent="0.3"/>
    <row r="7293" x14ac:dyDescent="0.3"/>
    <row r="7294" x14ac:dyDescent="0.3"/>
    <row r="7295" x14ac:dyDescent="0.3"/>
    <row r="7296" x14ac:dyDescent="0.3"/>
    <row r="7297" x14ac:dyDescent="0.3"/>
    <row r="7298" x14ac:dyDescent="0.3"/>
    <row r="7299" x14ac:dyDescent="0.3"/>
    <row r="7300" x14ac:dyDescent="0.3"/>
    <row r="7301" x14ac:dyDescent="0.3"/>
    <row r="7302" x14ac:dyDescent="0.3"/>
    <row r="7303" x14ac:dyDescent="0.3"/>
    <row r="7304" x14ac:dyDescent="0.3"/>
    <row r="7305" x14ac:dyDescent="0.3"/>
    <row r="7306" x14ac:dyDescent="0.3"/>
    <row r="7307" x14ac:dyDescent="0.3"/>
    <row r="7308" x14ac:dyDescent="0.3"/>
    <row r="7309" x14ac:dyDescent="0.3"/>
    <row r="7310" x14ac:dyDescent="0.3"/>
    <row r="7311" x14ac:dyDescent="0.3"/>
    <row r="7312" x14ac:dyDescent="0.3"/>
    <row r="7313" x14ac:dyDescent="0.3"/>
    <row r="7314" x14ac:dyDescent="0.3"/>
    <row r="7315" x14ac:dyDescent="0.3"/>
    <row r="7316" x14ac:dyDescent="0.3"/>
    <row r="7317" x14ac:dyDescent="0.3"/>
    <row r="7318" x14ac:dyDescent="0.3"/>
    <row r="7319" x14ac:dyDescent="0.3"/>
    <row r="7320" x14ac:dyDescent="0.3"/>
    <row r="7321" x14ac:dyDescent="0.3"/>
    <row r="7322" x14ac:dyDescent="0.3"/>
    <row r="7323" x14ac:dyDescent="0.3"/>
    <row r="7324" x14ac:dyDescent="0.3"/>
    <row r="7325" x14ac:dyDescent="0.3"/>
    <row r="7326" x14ac:dyDescent="0.3"/>
    <row r="7327" x14ac:dyDescent="0.3"/>
    <row r="7328" x14ac:dyDescent="0.3"/>
    <row r="7329" x14ac:dyDescent="0.3"/>
    <row r="7330" x14ac:dyDescent="0.3"/>
    <row r="7331" x14ac:dyDescent="0.3"/>
    <row r="7332" x14ac:dyDescent="0.3"/>
    <row r="7333" x14ac:dyDescent="0.3"/>
    <row r="7334" x14ac:dyDescent="0.3"/>
    <row r="7335" x14ac:dyDescent="0.3"/>
    <row r="7336" x14ac:dyDescent="0.3"/>
    <row r="7337" x14ac:dyDescent="0.3"/>
    <row r="7338" x14ac:dyDescent="0.3"/>
    <row r="7339" x14ac:dyDescent="0.3"/>
    <row r="7340" x14ac:dyDescent="0.3"/>
    <row r="7341" x14ac:dyDescent="0.3"/>
    <row r="7342" x14ac:dyDescent="0.3"/>
    <row r="7343" x14ac:dyDescent="0.3"/>
    <row r="7344" x14ac:dyDescent="0.3"/>
    <row r="7345" x14ac:dyDescent="0.3"/>
    <row r="7346" x14ac:dyDescent="0.3"/>
    <row r="7347" x14ac:dyDescent="0.3"/>
    <row r="7348" x14ac:dyDescent="0.3"/>
    <row r="7349" x14ac:dyDescent="0.3"/>
    <row r="7350" x14ac:dyDescent="0.3"/>
    <row r="7351" x14ac:dyDescent="0.3"/>
    <row r="7352" x14ac:dyDescent="0.3"/>
    <row r="7353" x14ac:dyDescent="0.3"/>
    <row r="7354" x14ac:dyDescent="0.3"/>
    <row r="7355" x14ac:dyDescent="0.3"/>
    <row r="7356" x14ac:dyDescent="0.3"/>
    <row r="7357" x14ac:dyDescent="0.3"/>
    <row r="7358" x14ac:dyDescent="0.3"/>
    <row r="7359" x14ac:dyDescent="0.3"/>
    <row r="7360" x14ac:dyDescent="0.3"/>
    <row r="7361" x14ac:dyDescent="0.3"/>
    <row r="7362" x14ac:dyDescent="0.3"/>
    <row r="7363" x14ac:dyDescent="0.3"/>
    <row r="7364" x14ac:dyDescent="0.3"/>
    <row r="7365" x14ac:dyDescent="0.3"/>
    <row r="7366" x14ac:dyDescent="0.3"/>
    <row r="7367" x14ac:dyDescent="0.3"/>
    <row r="7368" x14ac:dyDescent="0.3"/>
    <row r="7369" x14ac:dyDescent="0.3"/>
    <row r="7370" x14ac:dyDescent="0.3"/>
    <row r="7371" x14ac:dyDescent="0.3"/>
    <row r="7372" x14ac:dyDescent="0.3"/>
    <row r="7373" x14ac:dyDescent="0.3"/>
    <row r="7374" x14ac:dyDescent="0.3"/>
    <row r="7375" x14ac:dyDescent="0.3"/>
    <row r="7376" x14ac:dyDescent="0.3"/>
    <row r="7377" x14ac:dyDescent="0.3"/>
    <row r="7378" x14ac:dyDescent="0.3"/>
    <row r="7379" x14ac:dyDescent="0.3"/>
    <row r="7380" x14ac:dyDescent="0.3"/>
    <row r="7381" x14ac:dyDescent="0.3"/>
    <row r="7382" x14ac:dyDescent="0.3"/>
    <row r="7383" x14ac:dyDescent="0.3"/>
    <row r="7384" x14ac:dyDescent="0.3"/>
    <row r="7385" x14ac:dyDescent="0.3"/>
    <row r="7386" x14ac:dyDescent="0.3"/>
    <row r="7387" x14ac:dyDescent="0.3"/>
    <row r="7388" x14ac:dyDescent="0.3"/>
    <row r="7389" x14ac:dyDescent="0.3"/>
    <row r="7390" x14ac:dyDescent="0.3"/>
    <row r="7391" x14ac:dyDescent="0.3"/>
    <row r="7392" x14ac:dyDescent="0.3"/>
    <row r="7393" x14ac:dyDescent="0.3"/>
    <row r="7394" x14ac:dyDescent="0.3"/>
    <row r="7395" x14ac:dyDescent="0.3"/>
    <row r="7396" x14ac:dyDescent="0.3"/>
    <row r="7397" x14ac:dyDescent="0.3"/>
    <row r="7398" x14ac:dyDescent="0.3"/>
    <row r="7399" x14ac:dyDescent="0.3"/>
    <row r="7400" x14ac:dyDescent="0.3"/>
    <row r="7401" x14ac:dyDescent="0.3"/>
    <row r="7402" x14ac:dyDescent="0.3"/>
    <row r="7403" x14ac:dyDescent="0.3"/>
    <row r="7404" x14ac:dyDescent="0.3"/>
    <row r="7405" x14ac:dyDescent="0.3"/>
    <row r="7406" x14ac:dyDescent="0.3"/>
    <row r="7407" x14ac:dyDescent="0.3"/>
    <row r="7408" x14ac:dyDescent="0.3"/>
    <row r="7409" x14ac:dyDescent="0.3"/>
    <row r="7410" x14ac:dyDescent="0.3"/>
    <row r="7411" x14ac:dyDescent="0.3"/>
    <row r="7412" x14ac:dyDescent="0.3"/>
    <row r="7413" x14ac:dyDescent="0.3"/>
    <row r="7414" x14ac:dyDescent="0.3"/>
    <row r="7415" x14ac:dyDescent="0.3"/>
    <row r="7416" x14ac:dyDescent="0.3"/>
    <row r="7417" x14ac:dyDescent="0.3"/>
    <row r="7418" x14ac:dyDescent="0.3"/>
    <row r="7419" x14ac:dyDescent="0.3"/>
    <row r="7420" x14ac:dyDescent="0.3"/>
    <row r="7421" x14ac:dyDescent="0.3"/>
    <row r="7422" x14ac:dyDescent="0.3"/>
    <row r="7423" x14ac:dyDescent="0.3"/>
    <row r="7424" x14ac:dyDescent="0.3"/>
    <row r="7425" x14ac:dyDescent="0.3"/>
    <row r="7426" x14ac:dyDescent="0.3"/>
    <row r="7427" x14ac:dyDescent="0.3"/>
    <row r="7428" x14ac:dyDescent="0.3"/>
    <row r="7429" x14ac:dyDescent="0.3"/>
    <row r="7430" x14ac:dyDescent="0.3"/>
    <row r="7431" x14ac:dyDescent="0.3"/>
    <row r="7432" x14ac:dyDescent="0.3"/>
    <row r="7433" x14ac:dyDescent="0.3"/>
    <row r="7434" x14ac:dyDescent="0.3"/>
    <row r="7435" x14ac:dyDescent="0.3"/>
    <row r="7436" x14ac:dyDescent="0.3"/>
    <row r="7437" x14ac:dyDescent="0.3"/>
    <row r="7438" x14ac:dyDescent="0.3"/>
    <row r="7439" x14ac:dyDescent="0.3"/>
    <row r="7440" x14ac:dyDescent="0.3"/>
    <row r="7441" x14ac:dyDescent="0.3"/>
    <row r="7442" x14ac:dyDescent="0.3"/>
    <row r="7443" x14ac:dyDescent="0.3"/>
    <row r="7444" x14ac:dyDescent="0.3"/>
    <row r="7445" x14ac:dyDescent="0.3"/>
    <row r="7446" x14ac:dyDescent="0.3"/>
    <row r="7447" x14ac:dyDescent="0.3"/>
    <row r="7448" x14ac:dyDescent="0.3"/>
    <row r="7449" x14ac:dyDescent="0.3"/>
    <row r="7450" x14ac:dyDescent="0.3"/>
    <row r="7451" x14ac:dyDescent="0.3"/>
    <row r="7452" x14ac:dyDescent="0.3"/>
    <row r="7453" x14ac:dyDescent="0.3"/>
    <row r="7454" x14ac:dyDescent="0.3"/>
    <row r="7455" x14ac:dyDescent="0.3"/>
    <row r="7456" x14ac:dyDescent="0.3"/>
    <row r="7457" x14ac:dyDescent="0.3"/>
    <row r="7458" x14ac:dyDescent="0.3"/>
    <row r="7459" x14ac:dyDescent="0.3"/>
    <row r="7460" x14ac:dyDescent="0.3"/>
    <row r="7461" x14ac:dyDescent="0.3"/>
    <row r="7462" x14ac:dyDescent="0.3"/>
    <row r="7463" x14ac:dyDescent="0.3"/>
    <row r="7464" x14ac:dyDescent="0.3"/>
    <row r="7465" x14ac:dyDescent="0.3"/>
    <row r="7466" x14ac:dyDescent="0.3"/>
    <row r="7467" x14ac:dyDescent="0.3"/>
    <row r="7468" x14ac:dyDescent="0.3"/>
    <row r="7469" x14ac:dyDescent="0.3"/>
    <row r="7470" x14ac:dyDescent="0.3"/>
    <row r="7471" x14ac:dyDescent="0.3"/>
    <row r="7472" x14ac:dyDescent="0.3"/>
    <row r="7473" x14ac:dyDescent="0.3"/>
    <row r="7474" x14ac:dyDescent="0.3"/>
    <row r="7475" x14ac:dyDescent="0.3"/>
    <row r="7476" x14ac:dyDescent="0.3"/>
    <row r="7477" x14ac:dyDescent="0.3"/>
    <row r="7478" x14ac:dyDescent="0.3"/>
    <row r="7479" x14ac:dyDescent="0.3"/>
    <row r="7480" x14ac:dyDescent="0.3"/>
    <row r="7481" x14ac:dyDescent="0.3"/>
    <row r="7482" x14ac:dyDescent="0.3"/>
    <row r="7483" x14ac:dyDescent="0.3"/>
    <row r="7484" x14ac:dyDescent="0.3"/>
    <row r="7485" x14ac:dyDescent="0.3"/>
    <row r="7486" x14ac:dyDescent="0.3"/>
    <row r="7487" x14ac:dyDescent="0.3"/>
    <row r="7488" x14ac:dyDescent="0.3"/>
    <row r="7489" x14ac:dyDescent="0.3"/>
    <row r="7490" x14ac:dyDescent="0.3"/>
    <row r="7491" x14ac:dyDescent="0.3"/>
    <row r="7492" x14ac:dyDescent="0.3"/>
    <row r="7493" x14ac:dyDescent="0.3"/>
    <row r="7494" x14ac:dyDescent="0.3"/>
    <row r="7495" x14ac:dyDescent="0.3"/>
    <row r="7496" x14ac:dyDescent="0.3"/>
    <row r="7497" x14ac:dyDescent="0.3"/>
    <row r="7498" x14ac:dyDescent="0.3"/>
    <row r="7499" x14ac:dyDescent="0.3"/>
    <row r="7500" x14ac:dyDescent="0.3"/>
    <row r="7501" x14ac:dyDescent="0.3"/>
    <row r="7502" x14ac:dyDescent="0.3"/>
    <row r="7503" x14ac:dyDescent="0.3"/>
    <row r="7504" x14ac:dyDescent="0.3"/>
    <row r="7505" x14ac:dyDescent="0.3"/>
    <row r="7506" x14ac:dyDescent="0.3"/>
    <row r="7507" x14ac:dyDescent="0.3"/>
    <row r="7508" x14ac:dyDescent="0.3"/>
    <row r="7509" x14ac:dyDescent="0.3"/>
    <row r="7510" x14ac:dyDescent="0.3"/>
    <row r="7511" x14ac:dyDescent="0.3"/>
    <row r="7512" x14ac:dyDescent="0.3"/>
    <row r="7513" x14ac:dyDescent="0.3"/>
    <row r="7514" x14ac:dyDescent="0.3"/>
    <row r="7515" x14ac:dyDescent="0.3"/>
    <row r="7516" x14ac:dyDescent="0.3"/>
    <row r="7517" x14ac:dyDescent="0.3"/>
    <row r="7518" x14ac:dyDescent="0.3"/>
    <row r="7519" x14ac:dyDescent="0.3"/>
    <row r="7520" x14ac:dyDescent="0.3"/>
    <row r="7521" x14ac:dyDescent="0.3"/>
    <row r="7522" x14ac:dyDescent="0.3"/>
    <row r="7523" x14ac:dyDescent="0.3"/>
    <row r="7524" x14ac:dyDescent="0.3"/>
    <row r="7525" x14ac:dyDescent="0.3"/>
    <row r="7526" x14ac:dyDescent="0.3"/>
    <row r="7527" x14ac:dyDescent="0.3"/>
    <row r="7528" x14ac:dyDescent="0.3"/>
    <row r="7529" x14ac:dyDescent="0.3"/>
    <row r="7530" x14ac:dyDescent="0.3"/>
    <row r="7531" x14ac:dyDescent="0.3"/>
    <row r="7532" x14ac:dyDescent="0.3"/>
    <row r="7533" x14ac:dyDescent="0.3"/>
    <row r="7534" x14ac:dyDescent="0.3"/>
    <row r="7535" x14ac:dyDescent="0.3"/>
    <row r="7536" x14ac:dyDescent="0.3"/>
    <row r="7537" x14ac:dyDescent="0.3"/>
    <row r="7538" x14ac:dyDescent="0.3"/>
    <row r="7539" x14ac:dyDescent="0.3"/>
    <row r="7540" x14ac:dyDescent="0.3"/>
    <row r="7541" x14ac:dyDescent="0.3"/>
    <row r="7542" x14ac:dyDescent="0.3"/>
    <row r="7543" x14ac:dyDescent="0.3"/>
    <row r="7544" x14ac:dyDescent="0.3"/>
    <row r="7545" x14ac:dyDescent="0.3"/>
    <row r="7546" x14ac:dyDescent="0.3"/>
    <row r="7547" x14ac:dyDescent="0.3"/>
    <row r="7548" x14ac:dyDescent="0.3"/>
    <row r="7549" x14ac:dyDescent="0.3"/>
    <row r="7550" x14ac:dyDescent="0.3"/>
    <row r="7551" x14ac:dyDescent="0.3"/>
    <row r="7552" x14ac:dyDescent="0.3"/>
    <row r="7553" x14ac:dyDescent="0.3"/>
    <row r="7554" x14ac:dyDescent="0.3"/>
    <row r="7555" x14ac:dyDescent="0.3"/>
    <row r="7556" x14ac:dyDescent="0.3"/>
    <row r="7557" x14ac:dyDescent="0.3"/>
    <row r="7558" x14ac:dyDescent="0.3"/>
    <row r="7559" x14ac:dyDescent="0.3"/>
    <row r="7560" x14ac:dyDescent="0.3"/>
    <row r="7561" x14ac:dyDescent="0.3"/>
    <row r="7562" x14ac:dyDescent="0.3"/>
    <row r="7563" x14ac:dyDescent="0.3"/>
    <row r="7564" x14ac:dyDescent="0.3"/>
    <row r="7565" x14ac:dyDescent="0.3"/>
    <row r="7566" x14ac:dyDescent="0.3"/>
    <row r="7567" x14ac:dyDescent="0.3"/>
    <row r="7568" x14ac:dyDescent="0.3"/>
    <row r="7569" x14ac:dyDescent="0.3"/>
    <row r="7570" x14ac:dyDescent="0.3"/>
    <row r="7571" x14ac:dyDescent="0.3"/>
    <row r="7572" x14ac:dyDescent="0.3"/>
    <row r="7573" x14ac:dyDescent="0.3"/>
    <row r="7574" x14ac:dyDescent="0.3"/>
    <row r="7575" x14ac:dyDescent="0.3"/>
    <row r="7576" x14ac:dyDescent="0.3"/>
    <row r="7577" x14ac:dyDescent="0.3"/>
    <row r="7578" x14ac:dyDescent="0.3"/>
    <row r="7579" x14ac:dyDescent="0.3"/>
    <row r="7580" x14ac:dyDescent="0.3"/>
    <row r="7581" x14ac:dyDescent="0.3"/>
    <row r="7582" x14ac:dyDescent="0.3"/>
    <row r="7583" x14ac:dyDescent="0.3"/>
    <row r="7584" x14ac:dyDescent="0.3"/>
    <row r="7585" x14ac:dyDescent="0.3"/>
    <row r="7586" x14ac:dyDescent="0.3"/>
    <row r="7587" x14ac:dyDescent="0.3"/>
    <row r="7588" x14ac:dyDescent="0.3"/>
    <row r="7589" x14ac:dyDescent="0.3"/>
    <row r="7590" x14ac:dyDescent="0.3"/>
    <row r="7591" x14ac:dyDescent="0.3"/>
    <row r="7592" x14ac:dyDescent="0.3"/>
    <row r="7593" x14ac:dyDescent="0.3"/>
    <row r="7594" x14ac:dyDescent="0.3"/>
    <row r="7595" x14ac:dyDescent="0.3"/>
    <row r="7596" x14ac:dyDescent="0.3"/>
    <row r="7597" x14ac:dyDescent="0.3"/>
    <row r="7598" x14ac:dyDescent="0.3"/>
    <row r="7599" x14ac:dyDescent="0.3"/>
    <row r="7600" x14ac:dyDescent="0.3"/>
    <row r="7601" x14ac:dyDescent="0.3"/>
    <row r="7602" x14ac:dyDescent="0.3"/>
    <row r="7603" x14ac:dyDescent="0.3"/>
    <row r="7604" x14ac:dyDescent="0.3"/>
    <row r="7605" x14ac:dyDescent="0.3"/>
    <row r="7606" x14ac:dyDescent="0.3"/>
    <row r="7607" x14ac:dyDescent="0.3"/>
    <row r="7608" x14ac:dyDescent="0.3"/>
    <row r="7609" x14ac:dyDescent="0.3"/>
    <row r="7610" x14ac:dyDescent="0.3"/>
    <row r="7611" x14ac:dyDescent="0.3"/>
    <row r="7612" x14ac:dyDescent="0.3"/>
    <row r="7613" x14ac:dyDescent="0.3"/>
    <row r="7614" x14ac:dyDescent="0.3"/>
    <row r="7615" x14ac:dyDescent="0.3"/>
    <row r="7616" x14ac:dyDescent="0.3"/>
    <row r="7617" x14ac:dyDescent="0.3"/>
    <row r="7618" x14ac:dyDescent="0.3"/>
    <row r="7619" x14ac:dyDescent="0.3"/>
    <row r="7620" x14ac:dyDescent="0.3"/>
    <row r="7621" x14ac:dyDescent="0.3"/>
    <row r="7622" x14ac:dyDescent="0.3"/>
    <row r="7623" x14ac:dyDescent="0.3"/>
    <row r="7624" x14ac:dyDescent="0.3"/>
    <row r="7625" x14ac:dyDescent="0.3"/>
    <row r="7626" x14ac:dyDescent="0.3"/>
    <row r="7627" x14ac:dyDescent="0.3"/>
    <row r="7628" x14ac:dyDescent="0.3"/>
    <row r="7629" x14ac:dyDescent="0.3"/>
    <row r="7630" x14ac:dyDescent="0.3"/>
    <row r="7631" x14ac:dyDescent="0.3"/>
    <row r="7632" x14ac:dyDescent="0.3"/>
    <row r="7633" x14ac:dyDescent="0.3"/>
    <row r="7634" x14ac:dyDescent="0.3"/>
    <row r="7635" x14ac:dyDescent="0.3"/>
    <row r="7636" x14ac:dyDescent="0.3"/>
    <row r="7637" x14ac:dyDescent="0.3"/>
    <row r="7638" x14ac:dyDescent="0.3"/>
    <row r="7639" x14ac:dyDescent="0.3"/>
    <row r="7640" x14ac:dyDescent="0.3"/>
    <row r="7641" x14ac:dyDescent="0.3"/>
    <row r="7642" x14ac:dyDescent="0.3"/>
    <row r="7643" x14ac:dyDescent="0.3"/>
    <row r="7644" x14ac:dyDescent="0.3"/>
    <row r="7645" x14ac:dyDescent="0.3"/>
    <row r="7646" x14ac:dyDescent="0.3"/>
    <row r="7647" x14ac:dyDescent="0.3"/>
    <row r="7648" x14ac:dyDescent="0.3"/>
    <row r="7649" x14ac:dyDescent="0.3"/>
    <row r="7650" x14ac:dyDescent="0.3"/>
    <row r="7651" x14ac:dyDescent="0.3"/>
    <row r="7652" x14ac:dyDescent="0.3"/>
    <row r="7653" x14ac:dyDescent="0.3"/>
    <row r="7654" x14ac:dyDescent="0.3"/>
    <row r="7655" x14ac:dyDescent="0.3"/>
    <row r="7656" x14ac:dyDescent="0.3"/>
    <row r="7657" x14ac:dyDescent="0.3"/>
    <row r="7658" x14ac:dyDescent="0.3"/>
    <row r="7659" x14ac:dyDescent="0.3"/>
    <row r="7660" x14ac:dyDescent="0.3"/>
    <row r="7661" x14ac:dyDescent="0.3"/>
    <row r="7662" x14ac:dyDescent="0.3"/>
    <row r="7663" x14ac:dyDescent="0.3"/>
    <row r="7664" x14ac:dyDescent="0.3"/>
    <row r="7665" x14ac:dyDescent="0.3"/>
    <row r="7666" x14ac:dyDescent="0.3"/>
    <row r="7667" x14ac:dyDescent="0.3"/>
    <row r="7668" x14ac:dyDescent="0.3"/>
    <row r="7669" x14ac:dyDescent="0.3"/>
    <row r="7670" x14ac:dyDescent="0.3"/>
    <row r="7671" x14ac:dyDescent="0.3"/>
    <row r="7672" x14ac:dyDescent="0.3"/>
    <row r="7673" x14ac:dyDescent="0.3"/>
    <row r="7674" x14ac:dyDescent="0.3"/>
    <row r="7675" x14ac:dyDescent="0.3"/>
    <row r="7676" x14ac:dyDescent="0.3"/>
    <row r="7677" x14ac:dyDescent="0.3"/>
    <row r="7678" x14ac:dyDescent="0.3"/>
    <row r="7679" x14ac:dyDescent="0.3"/>
    <row r="7680" x14ac:dyDescent="0.3"/>
    <row r="7681" x14ac:dyDescent="0.3"/>
    <row r="7682" x14ac:dyDescent="0.3"/>
    <row r="7683" x14ac:dyDescent="0.3"/>
    <row r="7684" x14ac:dyDescent="0.3"/>
    <row r="7685" x14ac:dyDescent="0.3"/>
    <row r="7686" x14ac:dyDescent="0.3"/>
    <row r="7687" x14ac:dyDescent="0.3"/>
    <row r="7688" x14ac:dyDescent="0.3"/>
    <row r="7689" x14ac:dyDescent="0.3"/>
    <row r="7690" x14ac:dyDescent="0.3"/>
    <row r="7691" x14ac:dyDescent="0.3"/>
    <row r="7692" x14ac:dyDescent="0.3"/>
    <row r="7693" x14ac:dyDescent="0.3"/>
    <row r="7694" x14ac:dyDescent="0.3"/>
    <row r="7695" x14ac:dyDescent="0.3"/>
    <row r="7696" x14ac:dyDescent="0.3"/>
    <row r="7697" x14ac:dyDescent="0.3"/>
    <row r="7698" x14ac:dyDescent="0.3"/>
    <row r="7699" x14ac:dyDescent="0.3"/>
    <row r="7700" x14ac:dyDescent="0.3"/>
    <row r="7701" x14ac:dyDescent="0.3"/>
    <row r="7702" x14ac:dyDescent="0.3"/>
    <row r="7703" x14ac:dyDescent="0.3"/>
    <row r="7704" x14ac:dyDescent="0.3"/>
    <row r="7705" x14ac:dyDescent="0.3"/>
    <row r="7706" x14ac:dyDescent="0.3"/>
    <row r="7707" x14ac:dyDescent="0.3"/>
    <row r="7708" x14ac:dyDescent="0.3"/>
    <row r="7709" x14ac:dyDescent="0.3"/>
    <row r="7710" x14ac:dyDescent="0.3"/>
    <row r="7711" x14ac:dyDescent="0.3"/>
    <row r="7712" x14ac:dyDescent="0.3"/>
    <row r="7713" x14ac:dyDescent="0.3"/>
    <row r="7714" x14ac:dyDescent="0.3"/>
    <row r="7715" x14ac:dyDescent="0.3"/>
    <row r="7716" x14ac:dyDescent="0.3"/>
    <row r="7717" x14ac:dyDescent="0.3"/>
    <row r="7718" x14ac:dyDescent="0.3"/>
    <row r="7719" x14ac:dyDescent="0.3"/>
    <row r="7720" x14ac:dyDescent="0.3"/>
    <row r="7721" x14ac:dyDescent="0.3"/>
    <row r="7722" x14ac:dyDescent="0.3"/>
    <row r="7723" x14ac:dyDescent="0.3"/>
    <row r="7724" x14ac:dyDescent="0.3"/>
    <row r="7725" x14ac:dyDescent="0.3"/>
    <row r="7726" x14ac:dyDescent="0.3"/>
    <row r="7727" x14ac:dyDescent="0.3"/>
    <row r="7728" x14ac:dyDescent="0.3"/>
    <row r="7729" x14ac:dyDescent="0.3"/>
    <row r="7730" x14ac:dyDescent="0.3"/>
    <row r="7731" x14ac:dyDescent="0.3"/>
    <row r="7732" x14ac:dyDescent="0.3"/>
    <row r="7733" x14ac:dyDescent="0.3"/>
    <row r="7734" x14ac:dyDescent="0.3"/>
    <row r="7735" x14ac:dyDescent="0.3"/>
    <row r="7736" x14ac:dyDescent="0.3"/>
    <row r="7737" x14ac:dyDescent="0.3"/>
    <row r="7738" x14ac:dyDescent="0.3"/>
    <row r="7739" x14ac:dyDescent="0.3"/>
    <row r="7740" x14ac:dyDescent="0.3"/>
    <row r="7741" x14ac:dyDescent="0.3"/>
    <row r="7742" x14ac:dyDescent="0.3"/>
    <row r="7743" x14ac:dyDescent="0.3"/>
    <row r="7744" x14ac:dyDescent="0.3"/>
    <row r="7745" x14ac:dyDescent="0.3"/>
    <row r="7746" x14ac:dyDescent="0.3"/>
    <row r="7747" x14ac:dyDescent="0.3"/>
    <row r="7748" x14ac:dyDescent="0.3"/>
    <row r="7749" x14ac:dyDescent="0.3"/>
    <row r="7750" x14ac:dyDescent="0.3"/>
    <row r="7751" x14ac:dyDescent="0.3"/>
    <row r="7752" x14ac:dyDescent="0.3"/>
    <row r="7753" x14ac:dyDescent="0.3"/>
    <row r="7754" x14ac:dyDescent="0.3"/>
    <row r="7755" x14ac:dyDescent="0.3"/>
    <row r="7756" x14ac:dyDescent="0.3"/>
    <row r="7757" x14ac:dyDescent="0.3"/>
    <row r="7758" x14ac:dyDescent="0.3"/>
    <row r="7759" x14ac:dyDescent="0.3"/>
    <row r="7760" x14ac:dyDescent="0.3"/>
    <row r="7761" x14ac:dyDescent="0.3"/>
    <row r="7762" x14ac:dyDescent="0.3"/>
    <row r="7763" x14ac:dyDescent="0.3"/>
    <row r="7764" x14ac:dyDescent="0.3"/>
    <row r="7765" x14ac:dyDescent="0.3"/>
    <row r="7766" x14ac:dyDescent="0.3"/>
    <row r="7767" x14ac:dyDescent="0.3"/>
    <row r="7768" x14ac:dyDescent="0.3"/>
    <row r="7769" x14ac:dyDescent="0.3"/>
    <row r="7770" x14ac:dyDescent="0.3"/>
    <row r="7771" x14ac:dyDescent="0.3"/>
    <row r="7772" x14ac:dyDescent="0.3"/>
    <row r="7773" x14ac:dyDescent="0.3"/>
    <row r="7774" x14ac:dyDescent="0.3"/>
    <row r="7775" x14ac:dyDescent="0.3"/>
    <row r="7776" x14ac:dyDescent="0.3"/>
    <row r="7777" x14ac:dyDescent="0.3"/>
    <row r="7778" x14ac:dyDescent="0.3"/>
    <row r="7779" x14ac:dyDescent="0.3"/>
    <row r="7780" x14ac:dyDescent="0.3"/>
    <row r="7781" x14ac:dyDescent="0.3"/>
    <row r="7782" x14ac:dyDescent="0.3"/>
    <row r="7783" x14ac:dyDescent="0.3"/>
    <row r="7784" x14ac:dyDescent="0.3"/>
    <row r="7785" x14ac:dyDescent="0.3"/>
    <row r="7786" x14ac:dyDescent="0.3"/>
    <row r="7787" x14ac:dyDescent="0.3"/>
    <row r="7788" x14ac:dyDescent="0.3"/>
    <row r="7789" x14ac:dyDescent="0.3"/>
    <row r="7790" x14ac:dyDescent="0.3"/>
    <row r="7791" x14ac:dyDescent="0.3"/>
    <row r="7792" x14ac:dyDescent="0.3"/>
    <row r="7793" x14ac:dyDescent="0.3"/>
    <row r="7794" x14ac:dyDescent="0.3"/>
    <row r="7795" x14ac:dyDescent="0.3"/>
    <row r="7796" x14ac:dyDescent="0.3"/>
    <row r="7797" x14ac:dyDescent="0.3"/>
    <row r="7798" x14ac:dyDescent="0.3"/>
    <row r="7799" x14ac:dyDescent="0.3"/>
    <row r="7800" x14ac:dyDescent="0.3"/>
    <row r="7801" x14ac:dyDescent="0.3"/>
    <row r="7802" x14ac:dyDescent="0.3"/>
    <row r="7803" x14ac:dyDescent="0.3"/>
    <row r="7804" x14ac:dyDescent="0.3"/>
    <row r="7805" x14ac:dyDescent="0.3"/>
    <row r="7806" x14ac:dyDescent="0.3"/>
    <row r="7807" x14ac:dyDescent="0.3"/>
    <row r="7808" x14ac:dyDescent="0.3"/>
    <row r="7809" x14ac:dyDescent="0.3"/>
    <row r="7810" x14ac:dyDescent="0.3"/>
    <row r="7811" x14ac:dyDescent="0.3"/>
    <row r="7812" x14ac:dyDescent="0.3"/>
    <row r="7813" x14ac:dyDescent="0.3"/>
    <row r="7814" x14ac:dyDescent="0.3"/>
    <row r="7815" x14ac:dyDescent="0.3"/>
    <row r="7816" x14ac:dyDescent="0.3"/>
    <row r="7817" x14ac:dyDescent="0.3"/>
    <row r="7818" x14ac:dyDescent="0.3"/>
    <row r="7819" x14ac:dyDescent="0.3"/>
    <row r="7820" x14ac:dyDescent="0.3"/>
    <row r="7821" x14ac:dyDescent="0.3"/>
    <row r="7822" x14ac:dyDescent="0.3"/>
    <row r="7823" x14ac:dyDescent="0.3"/>
    <row r="7824" x14ac:dyDescent="0.3"/>
    <row r="7825" x14ac:dyDescent="0.3"/>
    <row r="7826" x14ac:dyDescent="0.3"/>
    <row r="7827" x14ac:dyDescent="0.3"/>
    <row r="7828" x14ac:dyDescent="0.3"/>
    <row r="7829" x14ac:dyDescent="0.3"/>
    <row r="7830" x14ac:dyDescent="0.3"/>
    <row r="7831" x14ac:dyDescent="0.3"/>
    <row r="7832" x14ac:dyDescent="0.3"/>
    <row r="7833" x14ac:dyDescent="0.3"/>
    <row r="7834" x14ac:dyDescent="0.3"/>
    <row r="7835" x14ac:dyDescent="0.3"/>
    <row r="7836" x14ac:dyDescent="0.3"/>
    <row r="7837" x14ac:dyDescent="0.3"/>
    <row r="7838" x14ac:dyDescent="0.3"/>
    <row r="7839" x14ac:dyDescent="0.3"/>
    <row r="7840" x14ac:dyDescent="0.3"/>
    <row r="7841" x14ac:dyDescent="0.3"/>
    <row r="7842" x14ac:dyDescent="0.3"/>
    <row r="7843" x14ac:dyDescent="0.3"/>
    <row r="7844" x14ac:dyDescent="0.3"/>
    <row r="7845" x14ac:dyDescent="0.3"/>
    <row r="7846" x14ac:dyDescent="0.3"/>
    <row r="7847" x14ac:dyDescent="0.3"/>
    <row r="7848" x14ac:dyDescent="0.3"/>
    <row r="7849" x14ac:dyDescent="0.3"/>
    <row r="7850" x14ac:dyDescent="0.3"/>
    <row r="7851" x14ac:dyDescent="0.3"/>
    <row r="7852" x14ac:dyDescent="0.3"/>
    <row r="7853" x14ac:dyDescent="0.3"/>
    <row r="7854" x14ac:dyDescent="0.3"/>
    <row r="7855" x14ac:dyDescent="0.3"/>
    <row r="7856" x14ac:dyDescent="0.3"/>
    <row r="7857" x14ac:dyDescent="0.3"/>
    <row r="7858" x14ac:dyDescent="0.3"/>
    <row r="7859" x14ac:dyDescent="0.3"/>
    <row r="7860" x14ac:dyDescent="0.3"/>
    <row r="7861" x14ac:dyDescent="0.3"/>
    <row r="7862" x14ac:dyDescent="0.3"/>
    <row r="7863" x14ac:dyDescent="0.3"/>
    <row r="7864" x14ac:dyDescent="0.3"/>
    <row r="7865" x14ac:dyDescent="0.3"/>
    <row r="7866" x14ac:dyDescent="0.3"/>
    <row r="7867" x14ac:dyDescent="0.3"/>
    <row r="7868" x14ac:dyDescent="0.3"/>
    <row r="7869" x14ac:dyDescent="0.3"/>
    <row r="7870" x14ac:dyDescent="0.3"/>
    <row r="7871" x14ac:dyDescent="0.3"/>
    <row r="7872" x14ac:dyDescent="0.3"/>
    <row r="7873" x14ac:dyDescent="0.3"/>
    <row r="7874" x14ac:dyDescent="0.3"/>
    <row r="7875" x14ac:dyDescent="0.3"/>
    <row r="7876" x14ac:dyDescent="0.3"/>
    <row r="7877" x14ac:dyDescent="0.3"/>
    <row r="7878" x14ac:dyDescent="0.3"/>
    <row r="7879" x14ac:dyDescent="0.3"/>
    <row r="7880" x14ac:dyDescent="0.3"/>
    <row r="7881" x14ac:dyDescent="0.3"/>
    <row r="7882" x14ac:dyDescent="0.3"/>
    <row r="7883" x14ac:dyDescent="0.3"/>
    <row r="7884" x14ac:dyDescent="0.3"/>
    <row r="7885" x14ac:dyDescent="0.3"/>
    <row r="7886" x14ac:dyDescent="0.3"/>
    <row r="7887" x14ac:dyDescent="0.3"/>
    <row r="7888" x14ac:dyDescent="0.3"/>
    <row r="7889" x14ac:dyDescent="0.3"/>
    <row r="7890" x14ac:dyDescent="0.3"/>
    <row r="7891" x14ac:dyDescent="0.3"/>
    <row r="7892" x14ac:dyDescent="0.3"/>
    <row r="7893" x14ac:dyDescent="0.3"/>
    <row r="7894" x14ac:dyDescent="0.3"/>
    <row r="7895" x14ac:dyDescent="0.3"/>
    <row r="7896" x14ac:dyDescent="0.3"/>
    <row r="7897" x14ac:dyDescent="0.3"/>
    <row r="7898" x14ac:dyDescent="0.3"/>
    <row r="7899" x14ac:dyDescent="0.3"/>
    <row r="7900" x14ac:dyDescent="0.3"/>
    <row r="7901" x14ac:dyDescent="0.3"/>
    <row r="7902" x14ac:dyDescent="0.3"/>
    <row r="7903" x14ac:dyDescent="0.3"/>
    <row r="7904" x14ac:dyDescent="0.3"/>
    <row r="7905" x14ac:dyDescent="0.3"/>
    <row r="7906" x14ac:dyDescent="0.3"/>
    <row r="7907" x14ac:dyDescent="0.3"/>
    <row r="7908" x14ac:dyDescent="0.3"/>
    <row r="7909" x14ac:dyDescent="0.3"/>
    <row r="7910" x14ac:dyDescent="0.3"/>
    <row r="7911" x14ac:dyDescent="0.3"/>
    <row r="7912" x14ac:dyDescent="0.3"/>
    <row r="7913" x14ac:dyDescent="0.3"/>
    <row r="7914" x14ac:dyDescent="0.3"/>
    <row r="7915" x14ac:dyDescent="0.3"/>
    <row r="7916" x14ac:dyDescent="0.3"/>
    <row r="7917" x14ac:dyDescent="0.3"/>
    <row r="7918" x14ac:dyDescent="0.3"/>
    <row r="7919" x14ac:dyDescent="0.3"/>
    <row r="7920" x14ac:dyDescent="0.3"/>
    <row r="7921" x14ac:dyDescent="0.3"/>
    <row r="7922" x14ac:dyDescent="0.3"/>
    <row r="7923" x14ac:dyDescent="0.3"/>
    <row r="7924" x14ac:dyDescent="0.3"/>
    <row r="7925" x14ac:dyDescent="0.3"/>
    <row r="7926" x14ac:dyDescent="0.3"/>
    <row r="7927" x14ac:dyDescent="0.3"/>
    <row r="7928" x14ac:dyDescent="0.3"/>
    <row r="7929" x14ac:dyDescent="0.3"/>
    <row r="7930" x14ac:dyDescent="0.3"/>
    <row r="7931" x14ac:dyDescent="0.3"/>
    <row r="7932" x14ac:dyDescent="0.3"/>
    <row r="7933" x14ac:dyDescent="0.3"/>
    <row r="7934" x14ac:dyDescent="0.3"/>
    <row r="7935" x14ac:dyDescent="0.3"/>
    <row r="7936" x14ac:dyDescent="0.3"/>
    <row r="7937" x14ac:dyDescent="0.3"/>
    <row r="7938" x14ac:dyDescent="0.3"/>
    <row r="7939" x14ac:dyDescent="0.3"/>
    <row r="7940" x14ac:dyDescent="0.3"/>
    <row r="7941" x14ac:dyDescent="0.3"/>
    <row r="7942" x14ac:dyDescent="0.3"/>
    <row r="7943" x14ac:dyDescent="0.3"/>
    <row r="7944" x14ac:dyDescent="0.3"/>
    <row r="7945" x14ac:dyDescent="0.3"/>
    <row r="7946" x14ac:dyDescent="0.3"/>
    <row r="7947" x14ac:dyDescent="0.3"/>
    <row r="7948" x14ac:dyDescent="0.3"/>
    <row r="7949" x14ac:dyDescent="0.3"/>
    <row r="7950" x14ac:dyDescent="0.3"/>
    <row r="7951" x14ac:dyDescent="0.3"/>
    <row r="7952" x14ac:dyDescent="0.3"/>
    <row r="7953" x14ac:dyDescent="0.3"/>
    <row r="7954" x14ac:dyDescent="0.3"/>
    <row r="7955" x14ac:dyDescent="0.3"/>
    <row r="7956" x14ac:dyDescent="0.3"/>
    <row r="7957" x14ac:dyDescent="0.3"/>
    <row r="7958" x14ac:dyDescent="0.3"/>
    <row r="7959" x14ac:dyDescent="0.3"/>
    <row r="7960" x14ac:dyDescent="0.3"/>
    <row r="7961" x14ac:dyDescent="0.3"/>
    <row r="7962" x14ac:dyDescent="0.3"/>
    <row r="7963" x14ac:dyDescent="0.3"/>
    <row r="7964" x14ac:dyDescent="0.3"/>
    <row r="7965" x14ac:dyDescent="0.3"/>
    <row r="7966" x14ac:dyDescent="0.3"/>
    <row r="7967" x14ac:dyDescent="0.3"/>
    <row r="7968" x14ac:dyDescent="0.3"/>
    <row r="7969" x14ac:dyDescent="0.3"/>
    <row r="7970" x14ac:dyDescent="0.3"/>
    <row r="7971" x14ac:dyDescent="0.3"/>
    <row r="7972" x14ac:dyDescent="0.3"/>
    <row r="7973" x14ac:dyDescent="0.3"/>
    <row r="7974" x14ac:dyDescent="0.3"/>
    <row r="7975" x14ac:dyDescent="0.3"/>
    <row r="7976" x14ac:dyDescent="0.3"/>
    <row r="7977" x14ac:dyDescent="0.3"/>
    <row r="7978" x14ac:dyDescent="0.3"/>
    <row r="7979" x14ac:dyDescent="0.3"/>
    <row r="7980" x14ac:dyDescent="0.3"/>
    <row r="7981" x14ac:dyDescent="0.3"/>
    <row r="7982" x14ac:dyDescent="0.3"/>
    <row r="7983" x14ac:dyDescent="0.3"/>
    <row r="7984" x14ac:dyDescent="0.3"/>
    <row r="7985" x14ac:dyDescent="0.3"/>
    <row r="7986" x14ac:dyDescent="0.3"/>
    <row r="7987" x14ac:dyDescent="0.3"/>
    <row r="7988" x14ac:dyDescent="0.3"/>
    <row r="7989" x14ac:dyDescent="0.3"/>
    <row r="7990" x14ac:dyDescent="0.3"/>
    <row r="7991" x14ac:dyDescent="0.3"/>
    <row r="7992" x14ac:dyDescent="0.3"/>
    <row r="7993" x14ac:dyDescent="0.3"/>
    <row r="7994" x14ac:dyDescent="0.3"/>
    <row r="7995" x14ac:dyDescent="0.3"/>
    <row r="7996" x14ac:dyDescent="0.3"/>
    <row r="7997" x14ac:dyDescent="0.3"/>
    <row r="7998" x14ac:dyDescent="0.3"/>
    <row r="7999" x14ac:dyDescent="0.3"/>
    <row r="8000" x14ac:dyDescent="0.3"/>
    <row r="8001" x14ac:dyDescent="0.3"/>
    <row r="8002" x14ac:dyDescent="0.3"/>
    <row r="8003" x14ac:dyDescent="0.3"/>
    <row r="8004" x14ac:dyDescent="0.3"/>
    <row r="8005" x14ac:dyDescent="0.3"/>
    <row r="8006" x14ac:dyDescent="0.3"/>
    <row r="8007" x14ac:dyDescent="0.3"/>
    <row r="8008" x14ac:dyDescent="0.3"/>
    <row r="8009" x14ac:dyDescent="0.3"/>
    <row r="8010" x14ac:dyDescent="0.3"/>
    <row r="8011" x14ac:dyDescent="0.3"/>
    <row r="8012" x14ac:dyDescent="0.3"/>
    <row r="8013" x14ac:dyDescent="0.3"/>
    <row r="8014" x14ac:dyDescent="0.3"/>
    <row r="8015" x14ac:dyDescent="0.3"/>
    <row r="8016" x14ac:dyDescent="0.3"/>
    <row r="8017" x14ac:dyDescent="0.3"/>
    <row r="8018" x14ac:dyDescent="0.3"/>
    <row r="8019" x14ac:dyDescent="0.3"/>
    <row r="8020" x14ac:dyDescent="0.3"/>
    <row r="8021" x14ac:dyDescent="0.3"/>
    <row r="8022" x14ac:dyDescent="0.3"/>
    <row r="8023" x14ac:dyDescent="0.3"/>
    <row r="8024" x14ac:dyDescent="0.3"/>
    <row r="8025" x14ac:dyDescent="0.3"/>
    <row r="8026" x14ac:dyDescent="0.3"/>
    <row r="8027" x14ac:dyDescent="0.3"/>
    <row r="8028" x14ac:dyDescent="0.3"/>
    <row r="8029" x14ac:dyDescent="0.3"/>
    <row r="8030" x14ac:dyDescent="0.3"/>
    <row r="8031" x14ac:dyDescent="0.3"/>
    <row r="8032" x14ac:dyDescent="0.3"/>
    <row r="8033" x14ac:dyDescent="0.3"/>
    <row r="8034" x14ac:dyDescent="0.3"/>
    <row r="8035" x14ac:dyDescent="0.3"/>
    <row r="8036" x14ac:dyDescent="0.3"/>
    <row r="8037" x14ac:dyDescent="0.3"/>
    <row r="8038" x14ac:dyDescent="0.3"/>
    <row r="8039" x14ac:dyDescent="0.3"/>
    <row r="8040" x14ac:dyDescent="0.3"/>
    <row r="8041" x14ac:dyDescent="0.3"/>
    <row r="8042" x14ac:dyDescent="0.3"/>
    <row r="8043" x14ac:dyDescent="0.3"/>
    <row r="8044" x14ac:dyDescent="0.3"/>
    <row r="8045" x14ac:dyDescent="0.3"/>
    <row r="8046" x14ac:dyDescent="0.3"/>
    <row r="8047" x14ac:dyDescent="0.3"/>
    <row r="8048" x14ac:dyDescent="0.3"/>
    <row r="8049" x14ac:dyDescent="0.3"/>
    <row r="8050" x14ac:dyDescent="0.3"/>
    <row r="8051" x14ac:dyDescent="0.3"/>
    <row r="8052" x14ac:dyDescent="0.3"/>
    <row r="8053" x14ac:dyDescent="0.3"/>
    <row r="8054" x14ac:dyDescent="0.3"/>
    <row r="8055" x14ac:dyDescent="0.3"/>
    <row r="8056" x14ac:dyDescent="0.3"/>
    <row r="8057" x14ac:dyDescent="0.3"/>
    <row r="8058" x14ac:dyDescent="0.3"/>
    <row r="8059" x14ac:dyDescent="0.3"/>
    <row r="8060" x14ac:dyDescent="0.3"/>
    <row r="8061" x14ac:dyDescent="0.3"/>
    <row r="8062" x14ac:dyDescent="0.3"/>
    <row r="8063" x14ac:dyDescent="0.3"/>
    <row r="8064" x14ac:dyDescent="0.3"/>
    <row r="8065" x14ac:dyDescent="0.3"/>
    <row r="8066" x14ac:dyDescent="0.3"/>
    <row r="8067" x14ac:dyDescent="0.3"/>
    <row r="8068" x14ac:dyDescent="0.3"/>
    <row r="8069" x14ac:dyDescent="0.3"/>
    <row r="8070" x14ac:dyDescent="0.3"/>
    <row r="8071" x14ac:dyDescent="0.3"/>
    <row r="8072" x14ac:dyDescent="0.3"/>
    <row r="8073" x14ac:dyDescent="0.3"/>
    <row r="8074" x14ac:dyDescent="0.3"/>
    <row r="8075" x14ac:dyDescent="0.3"/>
    <row r="8076" x14ac:dyDescent="0.3"/>
    <row r="8077" x14ac:dyDescent="0.3"/>
    <row r="8078" x14ac:dyDescent="0.3"/>
    <row r="8079" x14ac:dyDescent="0.3"/>
    <row r="8080" x14ac:dyDescent="0.3"/>
    <row r="8081" x14ac:dyDescent="0.3"/>
    <row r="8082" x14ac:dyDescent="0.3"/>
    <row r="8083" x14ac:dyDescent="0.3"/>
    <row r="8084" x14ac:dyDescent="0.3"/>
    <row r="8085" x14ac:dyDescent="0.3"/>
    <row r="8086" x14ac:dyDescent="0.3"/>
    <row r="8087" x14ac:dyDescent="0.3"/>
    <row r="8088" x14ac:dyDescent="0.3"/>
    <row r="8089" x14ac:dyDescent="0.3"/>
    <row r="8090" x14ac:dyDescent="0.3"/>
    <row r="8091" x14ac:dyDescent="0.3"/>
    <row r="8092" x14ac:dyDescent="0.3"/>
    <row r="8093" x14ac:dyDescent="0.3"/>
    <row r="8094" x14ac:dyDescent="0.3"/>
    <row r="8095" x14ac:dyDescent="0.3"/>
    <row r="8096" x14ac:dyDescent="0.3"/>
    <row r="8097" x14ac:dyDescent="0.3"/>
    <row r="8098" x14ac:dyDescent="0.3"/>
    <row r="8099" x14ac:dyDescent="0.3"/>
    <row r="8100" x14ac:dyDescent="0.3"/>
    <row r="8101" x14ac:dyDescent="0.3"/>
    <row r="8102" x14ac:dyDescent="0.3"/>
    <row r="8103" x14ac:dyDescent="0.3"/>
    <row r="8104" x14ac:dyDescent="0.3"/>
    <row r="8105" x14ac:dyDescent="0.3"/>
    <row r="8106" x14ac:dyDescent="0.3"/>
    <row r="8107" x14ac:dyDescent="0.3"/>
    <row r="8108" x14ac:dyDescent="0.3"/>
    <row r="8109" x14ac:dyDescent="0.3"/>
    <row r="8110" x14ac:dyDescent="0.3"/>
    <row r="8111" x14ac:dyDescent="0.3"/>
    <row r="8112" x14ac:dyDescent="0.3"/>
    <row r="8113" x14ac:dyDescent="0.3"/>
    <row r="8114" x14ac:dyDescent="0.3"/>
    <row r="8115" x14ac:dyDescent="0.3"/>
    <row r="8116" x14ac:dyDescent="0.3"/>
    <row r="8117" x14ac:dyDescent="0.3"/>
    <row r="8118" x14ac:dyDescent="0.3"/>
    <row r="8119" x14ac:dyDescent="0.3"/>
    <row r="8120" x14ac:dyDescent="0.3"/>
    <row r="8121" x14ac:dyDescent="0.3"/>
    <row r="8122" x14ac:dyDescent="0.3"/>
    <row r="8123" x14ac:dyDescent="0.3"/>
    <row r="8124" x14ac:dyDescent="0.3"/>
    <row r="8125" x14ac:dyDescent="0.3"/>
    <row r="8126" x14ac:dyDescent="0.3"/>
    <row r="8127" x14ac:dyDescent="0.3"/>
    <row r="8128" x14ac:dyDescent="0.3"/>
    <row r="8129" x14ac:dyDescent="0.3"/>
    <row r="8130" x14ac:dyDescent="0.3"/>
    <row r="8131" x14ac:dyDescent="0.3"/>
    <row r="8132" x14ac:dyDescent="0.3"/>
    <row r="8133" x14ac:dyDescent="0.3"/>
    <row r="8134" x14ac:dyDescent="0.3"/>
    <row r="8135" x14ac:dyDescent="0.3"/>
    <row r="8136" x14ac:dyDescent="0.3"/>
    <row r="8137" x14ac:dyDescent="0.3"/>
    <row r="8138" x14ac:dyDescent="0.3"/>
    <row r="8139" x14ac:dyDescent="0.3"/>
    <row r="8140" x14ac:dyDescent="0.3"/>
    <row r="8141" x14ac:dyDescent="0.3"/>
    <row r="8142" x14ac:dyDescent="0.3"/>
    <row r="8143" x14ac:dyDescent="0.3"/>
    <row r="8144" x14ac:dyDescent="0.3"/>
    <row r="8145" x14ac:dyDescent="0.3"/>
    <row r="8146" x14ac:dyDescent="0.3"/>
    <row r="8147" x14ac:dyDescent="0.3"/>
    <row r="8148" x14ac:dyDescent="0.3"/>
    <row r="8149" x14ac:dyDescent="0.3"/>
    <row r="8150" x14ac:dyDescent="0.3"/>
    <row r="8151" x14ac:dyDescent="0.3"/>
    <row r="8152" x14ac:dyDescent="0.3"/>
    <row r="8153" x14ac:dyDescent="0.3"/>
    <row r="8154" x14ac:dyDescent="0.3"/>
    <row r="8155" x14ac:dyDescent="0.3"/>
    <row r="8156" x14ac:dyDescent="0.3"/>
    <row r="8157" x14ac:dyDescent="0.3"/>
    <row r="8158" x14ac:dyDescent="0.3"/>
    <row r="8159" x14ac:dyDescent="0.3"/>
    <row r="8160" x14ac:dyDescent="0.3"/>
    <row r="8161" x14ac:dyDescent="0.3"/>
    <row r="8162" x14ac:dyDescent="0.3"/>
    <row r="8163" x14ac:dyDescent="0.3"/>
    <row r="8164" x14ac:dyDescent="0.3"/>
    <row r="8165" x14ac:dyDescent="0.3"/>
    <row r="8166" x14ac:dyDescent="0.3"/>
    <row r="8167" x14ac:dyDescent="0.3"/>
    <row r="8168" x14ac:dyDescent="0.3"/>
    <row r="8169" x14ac:dyDescent="0.3"/>
    <row r="8170" x14ac:dyDescent="0.3"/>
    <row r="8171" x14ac:dyDescent="0.3"/>
    <row r="8172" x14ac:dyDescent="0.3"/>
    <row r="8173" x14ac:dyDescent="0.3"/>
    <row r="8174" x14ac:dyDescent="0.3"/>
    <row r="8175" x14ac:dyDescent="0.3"/>
    <row r="8176" x14ac:dyDescent="0.3"/>
    <row r="8177" x14ac:dyDescent="0.3"/>
    <row r="8178" x14ac:dyDescent="0.3"/>
    <row r="8179" x14ac:dyDescent="0.3"/>
    <row r="8180" x14ac:dyDescent="0.3"/>
    <row r="8181" x14ac:dyDescent="0.3"/>
    <row r="8182" x14ac:dyDescent="0.3"/>
    <row r="8183" x14ac:dyDescent="0.3"/>
    <row r="8184" x14ac:dyDescent="0.3"/>
    <row r="8185" x14ac:dyDescent="0.3"/>
    <row r="8186" x14ac:dyDescent="0.3"/>
    <row r="8187" x14ac:dyDescent="0.3"/>
    <row r="8188" x14ac:dyDescent="0.3"/>
    <row r="8189" x14ac:dyDescent="0.3"/>
    <row r="8190" x14ac:dyDescent="0.3"/>
    <row r="8191" x14ac:dyDescent="0.3"/>
    <row r="8192" x14ac:dyDescent="0.3"/>
    <row r="8193" x14ac:dyDescent="0.3"/>
    <row r="8194" x14ac:dyDescent="0.3"/>
    <row r="8195" x14ac:dyDescent="0.3"/>
    <row r="8196" x14ac:dyDescent="0.3"/>
    <row r="8197" x14ac:dyDescent="0.3"/>
    <row r="8198" x14ac:dyDescent="0.3"/>
    <row r="8199" x14ac:dyDescent="0.3"/>
    <row r="8200" x14ac:dyDescent="0.3"/>
    <row r="8201" x14ac:dyDescent="0.3"/>
    <row r="8202" x14ac:dyDescent="0.3"/>
    <row r="8203" x14ac:dyDescent="0.3"/>
    <row r="8204" x14ac:dyDescent="0.3"/>
    <row r="8205" x14ac:dyDescent="0.3"/>
    <row r="8206" x14ac:dyDescent="0.3"/>
    <row r="8207" x14ac:dyDescent="0.3"/>
    <row r="8208" x14ac:dyDescent="0.3"/>
    <row r="8209" x14ac:dyDescent="0.3"/>
    <row r="8210" x14ac:dyDescent="0.3"/>
    <row r="8211" x14ac:dyDescent="0.3"/>
    <row r="8212" x14ac:dyDescent="0.3"/>
    <row r="8213" x14ac:dyDescent="0.3"/>
    <row r="8214" x14ac:dyDescent="0.3"/>
    <row r="8215" x14ac:dyDescent="0.3"/>
    <row r="8216" x14ac:dyDescent="0.3"/>
    <row r="8217" x14ac:dyDescent="0.3"/>
    <row r="8218" x14ac:dyDescent="0.3"/>
    <row r="8219" x14ac:dyDescent="0.3"/>
    <row r="8220" x14ac:dyDescent="0.3"/>
    <row r="8221" x14ac:dyDescent="0.3"/>
    <row r="8222" x14ac:dyDescent="0.3"/>
    <row r="8223" x14ac:dyDescent="0.3"/>
    <row r="8224" x14ac:dyDescent="0.3"/>
    <row r="8225" x14ac:dyDescent="0.3"/>
    <row r="8226" x14ac:dyDescent="0.3"/>
    <row r="8227" x14ac:dyDescent="0.3"/>
    <row r="8228" x14ac:dyDescent="0.3"/>
    <row r="8229" x14ac:dyDescent="0.3"/>
    <row r="8230" x14ac:dyDescent="0.3"/>
    <row r="8231" x14ac:dyDescent="0.3"/>
    <row r="8232" x14ac:dyDescent="0.3"/>
    <row r="8233" x14ac:dyDescent="0.3"/>
    <row r="8234" x14ac:dyDescent="0.3"/>
    <row r="8235" x14ac:dyDescent="0.3"/>
    <row r="8236" x14ac:dyDescent="0.3"/>
    <row r="8237" x14ac:dyDescent="0.3"/>
    <row r="8238" x14ac:dyDescent="0.3"/>
    <row r="8239" x14ac:dyDescent="0.3"/>
    <row r="8240" x14ac:dyDescent="0.3"/>
    <row r="8241" x14ac:dyDescent="0.3"/>
    <row r="8242" x14ac:dyDescent="0.3"/>
    <row r="8243" x14ac:dyDescent="0.3"/>
    <row r="8244" x14ac:dyDescent="0.3"/>
    <row r="8245" x14ac:dyDescent="0.3"/>
    <row r="8246" x14ac:dyDescent="0.3"/>
    <row r="8247" x14ac:dyDescent="0.3"/>
    <row r="8248" x14ac:dyDescent="0.3"/>
    <row r="8249" x14ac:dyDescent="0.3"/>
    <row r="8250" x14ac:dyDescent="0.3"/>
    <row r="8251" x14ac:dyDescent="0.3"/>
    <row r="8252" x14ac:dyDescent="0.3"/>
    <row r="8253" x14ac:dyDescent="0.3"/>
    <row r="8254" x14ac:dyDescent="0.3"/>
    <row r="8255" x14ac:dyDescent="0.3"/>
    <row r="8256" x14ac:dyDescent="0.3"/>
    <row r="8257" x14ac:dyDescent="0.3"/>
    <row r="8258" x14ac:dyDescent="0.3"/>
    <row r="8259" x14ac:dyDescent="0.3"/>
    <row r="8260" x14ac:dyDescent="0.3"/>
    <row r="8261" x14ac:dyDescent="0.3"/>
    <row r="8262" x14ac:dyDescent="0.3"/>
    <row r="8263" x14ac:dyDescent="0.3"/>
    <row r="8264" x14ac:dyDescent="0.3"/>
    <row r="8265" x14ac:dyDescent="0.3"/>
    <row r="8266" x14ac:dyDescent="0.3"/>
    <row r="8267" x14ac:dyDescent="0.3"/>
    <row r="8268" x14ac:dyDescent="0.3"/>
    <row r="8269" x14ac:dyDescent="0.3"/>
    <row r="8270" x14ac:dyDescent="0.3"/>
    <row r="8271" x14ac:dyDescent="0.3"/>
    <row r="8272" x14ac:dyDescent="0.3"/>
    <row r="8273" x14ac:dyDescent="0.3"/>
    <row r="8274" x14ac:dyDescent="0.3"/>
    <row r="8275" x14ac:dyDescent="0.3"/>
    <row r="8276" x14ac:dyDescent="0.3"/>
    <row r="8277" x14ac:dyDescent="0.3"/>
    <row r="8278" x14ac:dyDescent="0.3"/>
    <row r="8279" x14ac:dyDescent="0.3"/>
    <row r="8280" x14ac:dyDescent="0.3"/>
    <row r="8281" x14ac:dyDescent="0.3"/>
    <row r="8282" x14ac:dyDescent="0.3"/>
    <row r="8283" x14ac:dyDescent="0.3"/>
    <row r="8284" x14ac:dyDescent="0.3"/>
    <row r="8285" x14ac:dyDescent="0.3"/>
    <row r="8286" x14ac:dyDescent="0.3"/>
    <row r="8287" x14ac:dyDescent="0.3"/>
    <row r="8288" x14ac:dyDescent="0.3"/>
    <row r="8289" x14ac:dyDescent="0.3"/>
    <row r="8290" x14ac:dyDescent="0.3"/>
    <row r="8291" x14ac:dyDescent="0.3"/>
    <row r="8292" x14ac:dyDescent="0.3"/>
    <row r="8293" x14ac:dyDescent="0.3"/>
    <row r="8294" x14ac:dyDescent="0.3"/>
    <row r="8295" x14ac:dyDescent="0.3"/>
    <row r="8296" x14ac:dyDescent="0.3"/>
    <row r="8297" x14ac:dyDescent="0.3"/>
    <row r="8298" x14ac:dyDescent="0.3"/>
    <row r="8299" x14ac:dyDescent="0.3"/>
    <row r="8300" x14ac:dyDescent="0.3"/>
    <row r="8301" x14ac:dyDescent="0.3"/>
    <row r="8302" x14ac:dyDescent="0.3"/>
    <row r="8303" x14ac:dyDescent="0.3"/>
    <row r="8304" x14ac:dyDescent="0.3"/>
    <row r="8305" x14ac:dyDescent="0.3"/>
    <row r="8306" x14ac:dyDescent="0.3"/>
    <row r="8307" x14ac:dyDescent="0.3"/>
    <row r="8308" x14ac:dyDescent="0.3"/>
    <row r="8309" x14ac:dyDescent="0.3"/>
    <row r="8310" x14ac:dyDescent="0.3"/>
    <row r="8311" x14ac:dyDescent="0.3"/>
    <row r="8312" x14ac:dyDescent="0.3"/>
    <row r="8313" x14ac:dyDescent="0.3"/>
    <row r="8314" x14ac:dyDescent="0.3"/>
    <row r="8315" x14ac:dyDescent="0.3"/>
    <row r="8316" x14ac:dyDescent="0.3"/>
    <row r="8317" x14ac:dyDescent="0.3"/>
    <row r="8318" x14ac:dyDescent="0.3"/>
    <row r="8319" x14ac:dyDescent="0.3"/>
    <row r="8320" x14ac:dyDescent="0.3"/>
    <row r="8321" x14ac:dyDescent="0.3"/>
    <row r="8322" x14ac:dyDescent="0.3"/>
    <row r="8323" x14ac:dyDescent="0.3"/>
    <row r="8324" x14ac:dyDescent="0.3"/>
    <row r="8325" x14ac:dyDescent="0.3"/>
    <row r="8326" x14ac:dyDescent="0.3"/>
    <row r="8327" x14ac:dyDescent="0.3"/>
    <row r="8328" x14ac:dyDescent="0.3"/>
    <row r="8329" x14ac:dyDescent="0.3"/>
    <row r="8330" x14ac:dyDescent="0.3"/>
    <row r="8331" x14ac:dyDescent="0.3"/>
    <row r="8332" x14ac:dyDescent="0.3"/>
    <row r="8333" x14ac:dyDescent="0.3"/>
    <row r="8334" x14ac:dyDescent="0.3"/>
    <row r="8335" x14ac:dyDescent="0.3"/>
    <row r="8336" x14ac:dyDescent="0.3"/>
    <row r="8337" x14ac:dyDescent="0.3"/>
    <row r="8338" x14ac:dyDescent="0.3"/>
    <row r="8339" x14ac:dyDescent="0.3"/>
    <row r="8340" x14ac:dyDescent="0.3"/>
    <row r="8341" x14ac:dyDescent="0.3"/>
    <row r="8342" x14ac:dyDescent="0.3"/>
    <row r="8343" x14ac:dyDescent="0.3"/>
    <row r="8344" x14ac:dyDescent="0.3"/>
    <row r="8345" x14ac:dyDescent="0.3"/>
    <row r="8346" x14ac:dyDescent="0.3"/>
    <row r="8347" x14ac:dyDescent="0.3"/>
    <row r="8348" x14ac:dyDescent="0.3"/>
    <row r="8349" x14ac:dyDescent="0.3"/>
    <row r="8350" x14ac:dyDescent="0.3"/>
    <row r="8351" x14ac:dyDescent="0.3"/>
    <row r="8352" x14ac:dyDescent="0.3"/>
    <row r="8353" x14ac:dyDescent="0.3"/>
    <row r="8354" x14ac:dyDescent="0.3"/>
    <row r="8355" x14ac:dyDescent="0.3"/>
    <row r="8356" x14ac:dyDescent="0.3"/>
    <row r="8357" x14ac:dyDescent="0.3"/>
    <row r="8358" x14ac:dyDescent="0.3"/>
    <row r="8359" x14ac:dyDescent="0.3"/>
    <row r="8360" x14ac:dyDescent="0.3"/>
    <row r="8361" x14ac:dyDescent="0.3"/>
    <row r="8362" x14ac:dyDescent="0.3"/>
    <row r="8363" x14ac:dyDescent="0.3"/>
    <row r="8364" x14ac:dyDescent="0.3"/>
    <row r="8365" x14ac:dyDescent="0.3"/>
    <row r="8366" x14ac:dyDescent="0.3"/>
    <row r="8367" x14ac:dyDescent="0.3"/>
    <row r="8368" x14ac:dyDescent="0.3"/>
    <row r="8369" x14ac:dyDescent="0.3"/>
    <row r="8370" x14ac:dyDescent="0.3"/>
    <row r="8371" x14ac:dyDescent="0.3"/>
    <row r="8372" x14ac:dyDescent="0.3"/>
    <row r="8373" x14ac:dyDescent="0.3"/>
    <row r="8374" x14ac:dyDescent="0.3"/>
    <row r="8375" x14ac:dyDescent="0.3"/>
    <row r="8376" x14ac:dyDescent="0.3"/>
    <row r="8377" x14ac:dyDescent="0.3"/>
    <row r="8378" x14ac:dyDescent="0.3"/>
    <row r="8379" x14ac:dyDescent="0.3"/>
    <row r="8380" x14ac:dyDescent="0.3"/>
    <row r="8381" x14ac:dyDescent="0.3"/>
    <row r="8382" x14ac:dyDescent="0.3"/>
    <row r="8383" x14ac:dyDescent="0.3"/>
    <row r="8384" x14ac:dyDescent="0.3"/>
    <row r="8385" x14ac:dyDescent="0.3"/>
    <row r="8386" x14ac:dyDescent="0.3"/>
    <row r="8387" x14ac:dyDescent="0.3"/>
    <row r="8388" x14ac:dyDescent="0.3"/>
    <row r="8389" x14ac:dyDescent="0.3"/>
    <row r="8390" x14ac:dyDescent="0.3"/>
    <row r="8391" x14ac:dyDescent="0.3"/>
    <row r="8392" x14ac:dyDescent="0.3"/>
    <row r="8393" x14ac:dyDescent="0.3"/>
    <row r="8394" x14ac:dyDescent="0.3"/>
    <row r="8395" x14ac:dyDescent="0.3"/>
    <row r="8396" x14ac:dyDescent="0.3"/>
    <row r="8397" x14ac:dyDescent="0.3"/>
    <row r="8398" x14ac:dyDescent="0.3"/>
    <row r="8399" x14ac:dyDescent="0.3"/>
    <row r="8400" x14ac:dyDescent="0.3"/>
    <row r="8401" x14ac:dyDescent="0.3"/>
    <row r="8402" x14ac:dyDescent="0.3"/>
    <row r="8403" x14ac:dyDescent="0.3"/>
    <row r="8404" x14ac:dyDescent="0.3"/>
    <row r="8405" x14ac:dyDescent="0.3"/>
    <row r="8406" x14ac:dyDescent="0.3"/>
    <row r="8407" x14ac:dyDescent="0.3"/>
    <row r="8408" x14ac:dyDescent="0.3"/>
    <row r="8409" x14ac:dyDescent="0.3"/>
    <row r="8410" x14ac:dyDescent="0.3"/>
    <row r="8411" x14ac:dyDescent="0.3"/>
    <row r="8412" x14ac:dyDescent="0.3"/>
    <row r="8413" x14ac:dyDescent="0.3"/>
    <row r="8414" x14ac:dyDescent="0.3"/>
    <row r="8415" x14ac:dyDescent="0.3"/>
    <row r="8416" x14ac:dyDescent="0.3"/>
    <row r="8417" x14ac:dyDescent="0.3"/>
    <row r="8418" x14ac:dyDescent="0.3"/>
    <row r="8419" x14ac:dyDescent="0.3"/>
    <row r="8420" x14ac:dyDescent="0.3"/>
    <row r="8421" x14ac:dyDescent="0.3"/>
    <row r="8422" x14ac:dyDescent="0.3"/>
    <row r="8423" x14ac:dyDescent="0.3"/>
    <row r="8424" x14ac:dyDescent="0.3"/>
    <row r="8425" x14ac:dyDescent="0.3"/>
    <row r="8426" x14ac:dyDescent="0.3"/>
    <row r="8427" x14ac:dyDescent="0.3"/>
    <row r="8428" x14ac:dyDescent="0.3"/>
    <row r="8429" x14ac:dyDescent="0.3"/>
    <row r="8430" x14ac:dyDescent="0.3"/>
    <row r="8431" x14ac:dyDescent="0.3"/>
    <row r="8432" x14ac:dyDescent="0.3"/>
    <row r="8433" x14ac:dyDescent="0.3"/>
    <row r="8434" x14ac:dyDescent="0.3"/>
    <row r="8435" x14ac:dyDescent="0.3"/>
    <row r="8436" x14ac:dyDescent="0.3"/>
    <row r="8437" x14ac:dyDescent="0.3"/>
    <row r="8438" x14ac:dyDescent="0.3"/>
    <row r="8439" x14ac:dyDescent="0.3"/>
    <row r="8440" x14ac:dyDescent="0.3"/>
    <row r="8441" x14ac:dyDescent="0.3"/>
    <row r="8442" x14ac:dyDescent="0.3"/>
    <row r="8443" x14ac:dyDescent="0.3"/>
    <row r="8444" x14ac:dyDescent="0.3"/>
    <row r="8445" x14ac:dyDescent="0.3"/>
    <row r="8446" x14ac:dyDescent="0.3"/>
    <row r="8447" x14ac:dyDescent="0.3"/>
    <row r="8448" x14ac:dyDescent="0.3"/>
    <row r="8449" x14ac:dyDescent="0.3"/>
    <row r="8450" x14ac:dyDescent="0.3"/>
    <row r="8451" x14ac:dyDescent="0.3"/>
    <row r="8452" x14ac:dyDescent="0.3"/>
    <row r="8453" x14ac:dyDescent="0.3"/>
    <row r="8454" x14ac:dyDescent="0.3"/>
    <row r="8455" x14ac:dyDescent="0.3"/>
    <row r="8456" x14ac:dyDescent="0.3"/>
    <row r="8457" x14ac:dyDescent="0.3"/>
    <row r="8458" x14ac:dyDescent="0.3"/>
    <row r="8459" x14ac:dyDescent="0.3"/>
    <row r="8460" x14ac:dyDescent="0.3"/>
    <row r="8461" x14ac:dyDescent="0.3"/>
    <row r="8462" x14ac:dyDescent="0.3"/>
    <row r="8463" x14ac:dyDescent="0.3"/>
    <row r="8464" x14ac:dyDescent="0.3"/>
    <row r="8465" x14ac:dyDescent="0.3"/>
    <row r="8466" x14ac:dyDescent="0.3"/>
    <row r="8467" x14ac:dyDescent="0.3"/>
    <row r="8468" x14ac:dyDescent="0.3"/>
    <row r="8469" x14ac:dyDescent="0.3"/>
    <row r="8470" x14ac:dyDescent="0.3"/>
    <row r="8471" x14ac:dyDescent="0.3"/>
    <row r="8472" x14ac:dyDescent="0.3"/>
    <row r="8473" x14ac:dyDescent="0.3"/>
    <row r="8474" x14ac:dyDescent="0.3"/>
    <row r="8475" x14ac:dyDescent="0.3"/>
    <row r="8476" x14ac:dyDescent="0.3"/>
    <row r="8477" x14ac:dyDescent="0.3"/>
    <row r="8478" x14ac:dyDescent="0.3"/>
    <row r="8479" x14ac:dyDescent="0.3"/>
    <row r="8480" x14ac:dyDescent="0.3"/>
    <row r="8481" x14ac:dyDescent="0.3"/>
    <row r="8482" x14ac:dyDescent="0.3"/>
    <row r="8483" x14ac:dyDescent="0.3"/>
    <row r="8484" x14ac:dyDescent="0.3"/>
    <row r="8485" x14ac:dyDescent="0.3"/>
    <row r="8486" x14ac:dyDescent="0.3"/>
    <row r="8487" x14ac:dyDescent="0.3"/>
    <row r="8488" x14ac:dyDescent="0.3"/>
    <row r="8489" x14ac:dyDescent="0.3"/>
    <row r="8490" x14ac:dyDescent="0.3"/>
    <row r="8491" x14ac:dyDescent="0.3"/>
    <row r="8492" x14ac:dyDescent="0.3"/>
    <row r="8493" x14ac:dyDescent="0.3"/>
    <row r="8494" x14ac:dyDescent="0.3"/>
    <row r="8495" x14ac:dyDescent="0.3"/>
    <row r="8496" x14ac:dyDescent="0.3"/>
    <row r="8497" x14ac:dyDescent="0.3"/>
    <row r="8498" x14ac:dyDescent="0.3"/>
    <row r="8499" x14ac:dyDescent="0.3"/>
    <row r="8500" x14ac:dyDescent="0.3"/>
    <row r="8501" x14ac:dyDescent="0.3"/>
    <row r="8502" x14ac:dyDescent="0.3"/>
    <row r="8503" x14ac:dyDescent="0.3"/>
    <row r="8504" x14ac:dyDescent="0.3"/>
    <row r="8505" x14ac:dyDescent="0.3"/>
    <row r="8506" x14ac:dyDescent="0.3"/>
    <row r="8507" x14ac:dyDescent="0.3"/>
    <row r="8508" x14ac:dyDescent="0.3"/>
    <row r="8509" x14ac:dyDescent="0.3"/>
    <row r="8510" x14ac:dyDescent="0.3"/>
    <row r="8511" x14ac:dyDescent="0.3"/>
    <row r="8512" x14ac:dyDescent="0.3"/>
    <row r="8513" x14ac:dyDescent="0.3"/>
    <row r="8514" x14ac:dyDescent="0.3"/>
    <row r="8515" x14ac:dyDescent="0.3"/>
    <row r="8516" x14ac:dyDescent="0.3"/>
    <row r="8517" x14ac:dyDescent="0.3"/>
    <row r="8518" x14ac:dyDescent="0.3"/>
    <row r="8519" x14ac:dyDescent="0.3"/>
    <row r="8520" x14ac:dyDescent="0.3"/>
    <row r="8521" x14ac:dyDescent="0.3"/>
    <row r="8522" x14ac:dyDescent="0.3"/>
    <row r="8523" x14ac:dyDescent="0.3"/>
    <row r="8524" x14ac:dyDescent="0.3"/>
    <row r="8525" x14ac:dyDescent="0.3"/>
    <row r="8526" x14ac:dyDescent="0.3"/>
    <row r="8527" x14ac:dyDescent="0.3"/>
    <row r="8528" x14ac:dyDescent="0.3"/>
    <row r="8529" x14ac:dyDescent="0.3"/>
    <row r="8530" x14ac:dyDescent="0.3"/>
    <row r="8531" x14ac:dyDescent="0.3"/>
    <row r="8532" x14ac:dyDescent="0.3"/>
    <row r="8533" x14ac:dyDescent="0.3"/>
    <row r="8534" x14ac:dyDescent="0.3"/>
    <row r="8535" x14ac:dyDescent="0.3"/>
    <row r="8536" x14ac:dyDescent="0.3"/>
    <row r="8537" x14ac:dyDescent="0.3"/>
    <row r="8538" x14ac:dyDescent="0.3"/>
    <row r="8539" x14ac:dyDescent="0.3"/>
    <row r="8540" x14ac:dyDescent="0.3"/>
    <row r="8541" x14ac:dyDescent="0.3"/>
    <row r="8542" x14ac:dyDescent="0.3"/>
    <row r="8543" x14ac:dyDescent="0.3"/>
    <row r="8544" x14ac:dyDescent="0.3"/>
    <row r="8545" x14ac:dyDescent="0.3"/>
    <row r="8546" x14ac:dyDescent="0.3"/>
    <row r="8547" x14ac:dyDescent="0.3"/>
    <row r="8548" x14ac:dyDescent="0.3"/>
    <row r="8549" x14ac:dyDescent="0.3"/>
    <row r="8550" x14ac:dyDescent="0.3"/>
    <row r="8551" x14ac:dyDescent="0.3"/>
    <row r="8552" x14ac:dyDescent="0.3"/>
    <row r="8553" x14ac:dyDescent="0.3"/>
    <row r="8554" x14ac:dyDescent="0.3"/>
    <row r="8555" x14ac:dyDescent="0.3"/>
    <row r="8556" x14ac:dyDescent="0.3"/>
    <row r="8557" x14ac:dyDescent="0.3"/>
    <row r="8558" x14ac:dyDescent="0.3"/>
    <row r="8559" x14ac:dyDescent="0.3"/>
    <row r="8560" x14ac:dyDescent="0.3"/>
    <row r="8561" x14ac:dyDescent="0.3"/>
    <row r="8562" x14ac:dyDescent="0.3"/>
    <row r="8563" x14ac:dyDescent="0.3"/>
    <row r="8564" x14ac:dyDescent="0.3"/>
    <row r="8565" x14ac:dyDescent="0.3"/>
    <row r="8566" x14ac:dyDescent="0.3"/>
    <row r="8567" x14ac:dyDescent="0.3"/>
    <row r="8568" x14ac:dyDescent="0.3"/>
    <row r="8569" x14ac:dyDescent="0.3"/>
    <row r="8570" x14ac:dyDescent="0.3"/>
    <row r="8571" x14ac:dyDescent="0.3"/>
    <row r="8572" x14ac:dyDescent="0.3"/>
    <row r="8573" x14ac:dyDescent="0.3"/>
    <row r="8574" x14ac:dyDescent="0.3"/>
    <row r="8575" x14ac:dyDescent="0.3"/>
    <row r="8576" x14ac:dyDescent="0.3"/>
    <row r="8577" x14ac:dyDescent="0.3"/>
    <row r="8578" x14ac:dyDescent="0.3"/>
    <row r="8579" x14ac:dyDescent="0.3"/>
    <row r="8580" x14ac:dyDescent="0.3"/>
    <row r="8581" x14ac:dyDescent="0.3"/>
    <row r="8582" x14ac:dyDescent="0.3"/>
    <row r="8583" x14ac:dyDescent="0.3"/>
    <row r="8584" x14ac:dyDescent="0.3"/>
    <row r="8585" x14ac:dyDescent="0.3"/>
    <row r="8586" x14ac:dyDescent="0.3"/>
    <row r="8587" x14ac:dyDescent="0.3"/>
    <row r="8588" x14ac:dyDescent="0.3"/>
    <row r="8589" x14ac:dyDescent="0.3"/>
    <row r="8590" x14ac:dyDescent="0.3"/>
    <row r="8591" x14ac:dyDescent="0.3"/>
    <row r="8592" x14ac:dyDescent="0.3"/>
    <row r="8593" x14ac:dyDescent="0.3"/>
    <row r="8594" x14ac:dyDescent="0.3"/>
    <row r="8595" x14ac:dyDescent="0.3"/>
    <row r="8596" x14ac:dyDescent="0.3"/>
    <row r="8597" x14ac:dyDescent="0.3"/>
    <row r="8598" x14ac:dyDescent="0.3"/>
    <row r="8599" x14ac:dyDescent="0.3"/>
    <row r="8600" x14ac:dyDescent="0.3"/>
    <row r="8601" x14ac:dyDescent="0.3"/>
    <row r="8602" x14ac:dyDescent="0.3"/>
    <row r="8603" x14ac:dyDescent="0.3"/>
    <row r="8604" x14ac:dyDescent="0.3"/>
    <row r="8605" x14ac:dyDescent="0.3"/>
    <row r="8606" x14ac:dyDescent="0.3"/>
    <row r="8607" x14ac:dyDescent="0.3"/>
    <row r="8608" x14ac:dyDescent="0.3"/>
    <row r="8609" x14ac:dyDescent="0.3"/>
    <row r="8610" x14ac:dyDescent="0.3"/>
    <row r="8611" x14ac:dyDescent="0.3"/>
    <row r="8612" x14ac:dyDescent="0.3"/>
    <row r="8613" x14ac:dyDescent="0.3"/>
    <row r="8614" x14ac:dyDescent="0.3"/>
    <row r="8615" x14ac:dyDescent="0.3"/>
    <row r="8616" x14ac:dyDescent="0.3"/>
    <row r="8617" x14ac:dyDescent="0.3"/>
    <row r="8618" x14ac:dyDescent="0.3"/>
    <row r="8619" x14ac:dyDescent="0.3"/>
    <row r="8620" x14ac:dyDescent="0.3"/>
    <row r="8621" x14ac:dyDescent="0.3"/>
    <row r="8622" x14ac:dyDescent="0.3"/>
    <row r="8623" x14ac:dyDescent="0.3"/>
    <row r="8624" x14ac:dyDescent="0.3"/>
    <row r="8625" x14ac:dyDescent="0.3"/>
    <row r="8626" x14ac:dyDescent="0.3"/>
    <row r="8627" x14ac:dyDescent="0.3"/>
    <row r="8628" x14ac:dyDescent="0.3"/>
    <row r="8629" x14ac:dyDescent="0.3"/>
    <row r="8630" x14ac:dyDescent="0.3"/>
    <row r="8631" x14ac:dyDescent="0.3"/>
    <row r="8632" x14ac:dyDescent="0.3"/>
    <row r="8633" x14ac:dyDescent="0.3"/>
    <row r="8634" x14ac:dyDescent="0.3"/>
    <row r="8635" x14ac:dyDescent="0.3"/>
    <row r="8636" x14ac:dyDescent="0.3"/>
    <row r="8637" x14ac:dyDescent="0.3"/>
    <row r="8638" x14ac:dyDescent="0.3"/>
    <row r="8639" x14ac:dyDescent="0.3"/>
    <row r="8640" x14ac:dyDescent="0.3"/>
    <row r="8641" x14ac:dyDescent="0.3"/>
    <row r="8642" x14ac:dyDescent="0.3"/>
    <row r="8643" x14ac:dyDescent="0.3"/>
    <row r="8644" x14ac:dyDescent="0.3"/>
    <row r="8645" x14ac:dyDescent="0.3"/>
    <row r="8646" x14ac:dyDescent="0.3"/>
    <row r="8647" x14ac:dyDescent="0.3"/>
    <row r="8648" x14ac:dyDescent="0.3"/>
    <row r="8649" x14ac:dyDescent="0.3"/>
    <row r="8650" x14ac:dyDescent="0.3"/>
    <row r="8651" x14ac:dyDescent="0.3"/>
    <row r="8652" x14ac:dyDescent="0.3"/>
    <row r="8653" x14ac:dyDescent="0.3"/>
    <row r="8654" x14ac:dyDescent="0.3"/>
    <row r="8655" x14ac:dyDescent="0.3"/>
    <row r="8656" x14ac:dyDescent="0.3"/>
    <row r="8657" x14ac:dyDescent="0.3"/>
    <row r="8658" x14ac:dyDescent="0.3"/>
    <row r="8659" x14ac:dyDescent="0.3"/>
    <row r="8660" x14ac:dyDescent="0.3"/>
    <row r="8661" x14ac:dyDescent="0.3"/>
    <row r="8662" x14ac:dyDescent="0.3"/>
    <row r="8663" x14ac:dyDescent="0.3"/>
    <row r="8664" x14ac:dyDescent="0.3"/>
    <row r="8665" x14ac:dyDescent="0.3"/>
    <row r="8666" x14ac:dyDescent="0.3"/>
    <row r="8667" x14ac:dyDescent="0.3"/>
    <row r="8668" x14ac:dyDescent="0.3"/>
    <row r="8669" x14ac:dyDescent="0.3"/>
    <row r="8670" x14ac:dyDescent="0.3"/>
    <row r="8671" x14ac:dyDescent="0.3"/>
    <row r="8672" x14ac:dyDescent="0.3"/>
    <row r="8673" x14ac:dyDescent="0.3"/>
    <row r="8674" x14ac:dyDescent="0.3"/>
    <row r="8675" x14ac:dyDescent="0.3"/>
    <row r="8676" x14ac:dyDescent="0.3"/>
    <row r="8677" x14ac:dyDescent="0.3"/>
    <row r="8678" x14ac:dyDescent="0.3"/>
    <row r="8679" x14ac:dyDescent="0.3"/>
    <row r="8680" x14ac:dyDescent="0.3"/>
    <row r="8681" x14ac:dyDescent="0.3"/>
    <row r="8682" x14ac:dyDescent="0.3"/>
    <row r="8683" x14ac:dyDescent="0.3"/>
    <row r="8684" x14ac:dyDescent="0.3"/>
    <row r="8685" x14ac:dyDescent="0.3"/>
    <row r="8686" x14ac:dyDescent="0.3"/>
    <row r="8687" x14ac:dyDescent="0.3"/>
    <row r="8688" x14ac:dyDescent="0.3"/>
    <row r="8689" x14ac:dyDescent="0.3"/>
    <row r="8690" x14ac:dyDescent="0.3"/>
    <row r="8691" x14ac:dyDescent="0.3"/>
    <row r="8692" x14ac:dyDescent="0.3"/>
    <row r="8693" x14ac:dyDescent="0.3"/>
    <row r="8694" x14ac:dyDescent="0.3"/>
    <row r="8695" x14ac:dyDescent="0.3"/>
    <row r="8696" x14ac:dyDescent="0.3"/>
    <row r="8697" x14ac:dyDescent="0.3"/>
    <row r="8698" x14ac:dyDescent="0.3"/>
    <row r="8699" x14ac:dyDescent="0.3"/>
    <row r="8700" x14ac:dyDescent="0.3"/>
    <row r="8701" x14ac:dyDescent="0.3"/>
    <row r="8702" x14ac:dyDescent="0.3"/>
    <row r="8703" x14ac:dyDescent="0.3"/>
    <row r="8704" x14ac:dyDescent="0.3"/>
    <row r="8705" x14ac:dyDescent="0.3"/>
    <row r="8706" x14ac:dyDescent="0.3"/>
    <row r="8707" x14ac:dyDescent="0.3"/>
    <row r="8708" x14ac:dyDescent="0.3"/>
    <row r="8709" x14ac:dyDescent="0.3"/>
    <row r="8710" x14ac:dyDescent="0.3"/>
    <row r="8711" x14ac:dyDescent="0.3"/>
    <row r="8712" x14ac:dyDescent="0.3"/>
    <row r="8713" x14ac:dyDescent="0.3"/>
    <row r="8714" x14ac:dyDescent="0.3"/>
    <row r="8715" x14ac:dyDescent="0.3"/>
    <row r="8716" x14ac:dyDescent="0.3"/>
    <row r="8717" x14ac:dyDescent="0.3"/>
    <row r="8718" x14ac:dyDescent="0.3"/>
    <row r="8719" x14ac:dyDescent="0.3"/>
    <row r="8720" x14ac:dyDescent="0.3"/>
    <row r="8721" x14ac:dyDescent="0.3"/>
    <row r="8722" x14ac:dyDescent="0.3"/>
    <row r="8723" x14ac:dyDescent="0.3"/>
    <row r="8724" x14ac:dyDescent="0.3"/>
    <row r="8725" x14ac:dyDescent="0.3"/>
    <row r="8726" x14ac:dyDescent="0.3"/>
    <row r="8727" x14ac:dyDescent="0.3"/>
    <row r="8728" x14ac:dyDescent="0.3"/>
    <row r="8729" x14ac:dyDescent="0.3"/>
    <row r="8730" x14ac:dyDescent="0.3"/>
    <row r="8731" x14ac:dyDescent="0.3"/>
    <row r="8732" x14ac:dyDescent="0.3"/>
    <row r="8733" x14ac:dyDescent="0.3"/>
    <row r="8734" x14ac:dyDescent="0.3"/>
    <row r="8735" x14ac:dyDescent="0.3"/>
    <row r="8736" x14ac:dyDescent="0.3"/>
    <row r="8737" x14ac:dyDescent="0.3"/>
    <row r="8738" x14ac:dyDescent="0.3"/>
    <row r="8739" x14ac:dyDescent="0.3"/>
    <row r="8740" x14ac:dyDescent="0.3"/>
    <row r="8741" x14ac:dyDescent="0.3"/>
    <row r="8742" x14ac:dyDescent="0.3"/>
    <row r="8743" x14ac:dyDescent="0.3"/>
    <row r="8744" x14ac:dyDescent="0.3"/>
    <row r="8745" x14ac:dyDescent="0.3"/>
    <row r="8746" x14ac:dyDescent="0.3"/>
    <row r="8747" x14ac:dyDescent="0.3"/>
    <row r="8748" x14ac:dyDescent="0.3"/>
    <row r="8749" x14ac:dyDescent="0.3"/>
    <row r="8750" x14ac:dyDescent="0.3"/>
    <row r="8751" x14ac:dyDescent="0.3"/>
    <row r="8752" x14ac:dyDescent="0.3"/>
    <row r="8753" x14ac:dyDescent="0.3"/>
    <row r="8754" x14ac:dyDescent="0.3"/>
    <row r="8755" x14ac:dyDescent="0.3"/>
    <row r="8756" x14ac:dyDescent="0.3"/>
    <row r="8757" x14ac:dyDescent="0.3"/>
    <row r="8758" x14ac:dyDescent="0.3"/>
    <row r="8759" x14ac:dyDescent="0.3"/>
    <row r="8760" x14ac:dyDescent="0.3"/>
    <row r="8761" x14ac:dyDescent="0.3"/>
    <row r="8762" x14ac:dyDescent="0.3"/>
    <row r="8763" x14ac:dyDescent="0.3"/>
    <row r="8764" x14ac:dyDescent="0.3"/>
    <row r="8765" x14ac:dyDescent="0.3"/>
    <row r="8766" x14ac:dyDescent="0.3"/>
    <row r="8767" x14ac:dyDescent="0.3"/>
    <row r="8768" x14ac:dyDescent="0.3"/>
    <row r="8769" x14ac:dyDescent="0.3"/>
    <row r="8770" x14ac:dyDescent="0.3"/>
    <row r="8771" x14ac:dyDescent="0.3"/>
    <row r="8772" x14ac:dyDescent="0.3"/>
    <row r="8773" x14ac:dyDescent="0.3"/>
    <row r="8774" x14ac:dyDescent="0.3"/>
    <row r="8775" x14ac:dyDescent="0.3"/>
    <row r="8776" x14ac:dyDescent="0.3"/>
    <row r="8777" x14ac:dyDescent="0.3"/>
    <row r="8778" x14ac:dyDescent="0.3"/>
    <row r="8779" x14ac:dyDescent="0.3"/>
    <row r="8780" x14ac:dyDescent="0.3"/>
    <row r="8781" x14ac:dyDescent="0.3"/>
    <row r="8782" x14ac:dyDescent="0.3"/>
    <row r="8783" x14ac:dyDescent="0.3"/>
    <row r="8784" x14ac:dyDescent="0.3"/>
    <row r="8785" x14ac:dyDescent="0.3"/>
    <row r="8786" x14ac:dyDescent="0.3"/>
    <row r="8787" x14ac:dyDescent="0.3"/>
    <row r="8788" x14ac:dyDescent="0.3"/>
    <row r="8789" x14ac:dyDescent="0.3"/>
    <row r="8790" x14ac:dyDescent="0.3"/>
    <row r="8791" x14ac:dyDescent="0.3"/>
    <row r="8792" x14ac:dyDescent="0.3"/>
    <row r="8793" x14ac:dyDescent="0.3"/>
    <row r="8794" x14ac:dyDescent="0.3"/>
    <row r="8795" x14ac:dyDescent="0.3"/>
    <row r="8796" x14ac:dyDescent="0.3"/>
    <row r="8797" x14ac:dyDescent="0.3"/>
    <row r="8798" x14ac:dyDescent="0.3"/>
    <row r="8799" x14ac:dyDescent="0.3"/>
    <row r="8800" x14ac:dyDescent="0.3"/>
    <row r="8801" x14ac:dyDescent="0.3"/>
    <row r="8802" x14ac:dyDescent="0.3"/>
    <row r="8803" x14ac:dyDescent="0.3"/>
    <row r="8804" x14ac:dyDescent="0.3"/>
    <row r="8805" x14ac:dyDescent="0.3"/>
    <row r="8806" x14ac:dyDescent="0.3"/>
    <row r="8807" x14ac:dyDescent="0.3"/>
    <row r="8808" x14ac:dyDescent="0.3"/>
    <row r="8809" x14ac:dyDescent="0.3"/>
    <row r="8810" x14ac:dyDescent="0.3"/>
    <row r="8811" x14ac:dyDescent="0.3"/>
    <row r="8812" x14ac:dyDescent="0.3"/>
    <row r="8813" x14ac:dyDescent="0.3"/>
    <row r="8814" x14ac:dyDescent="0.3"/>
    <row r="8815" x14ac:dyDescent="0.3"/>
    <row r="8816" x14ac:dyDescent="0.3"/>
    <row r="8817" x14ac:dyDescent="0.3"/>
    <row r="8818" x14ac:dyDescent="0.3"/>
    <row r="8819" x14ac:dyDescent="0.3"/>
    <row r="8820" x14ac:dyDescent="0.3"/>
    <row r="8821" x14ac:dyDescent="0.3"/>
    <row r="8822" x14ac:dyDescent="0.3"/>
    <row r="8823" x14ac:dyDescent="0.3"/>
    <row r="8824" x14ac:dyDescent="0.3"/>
    <row r="8825" x14ac:dyDescent="0.3"/>
    <row r="8826" x14ac:dyDescent="0.3"/>
    <row r="8827" x14ac:dyDescent="0.3"/>
    <row r="8828" x14ac:dyDescent="0.3"/>
    <row r="8829" x14ac:dyDescent="0.3"/>
    <row r="8830" x14ac:dyDescent="0.3"/>
    <row r="8831" x14ac:dyDescent="0.3"/>
    <row r="8832" x14ac:dyDescent="0.3"/>
    <row r="8833" x14ac:dyDescent="0.3"/>
    <row r="8834" x14ac:dyDescent="0.3"/>
    <row r="8835" x14ac:dyDescent="0.3"/>
    <row r="8836" x14ac:dyDescent="0.3"/>
    <row r="8837" x14ac:dyDescent="0.3"/>
    <row r="8838" x14ac:dyDescent="0.3"/>
    <row r="8839" x14ac:dyDescent="0.3"/>
    <row r="8840" x14ac:dyDescent="0.3"/>
    <row r="8841" x14ac:dyDescent="0.3"/>
    <row r="8842" x14ac:dyDescent="0.3"/>
    <row r="8843" x14ac:dyDescent="0.3"/>
    <row r="8844" x14ac:dyDescent="0.3"/>
    <row r="8845" x14ac:dyDescent="0.3"/>
    <row r="8846" x14ac:dyDescent="0.3"/>
    <row r="8847" x14ac:dyDescent="0.3"/>
    <row r="8848" x14ac:dyDescent="0.3"/>
    <row r="8849" x14ac:dyDescent="0.3"/>
    <row r="8850" x14ac:dyDescent="0.3"/>
    <row r="8851" x14ac:dyDescent="0.3"/>
    <row r="8852" x14ac:dyDescent="0.3"/>
    <row r="8853" x14ac:dyDescent="0.3"/>
    <row r="8854" x14ac:dyDescent="0.3"/>
    <row r="8855" x14ac:dyDescent="0.3"/>
    <row r="8856" x14ac:dyDescent="0.3"/>
    <row r="8857" x14ac:dyDescent="0.3"/>
    <row r="8858" x14ac:dyDescent="0.3"/>
    <row r="8859" x14ac:dyDescent="0.3"/>
    <row r="8860" x14ac:dyDescent="0.3"/>
    <row r="8861" x14ac:dyDescent="0.3"/>
    <row r="8862" x14ac:dyDescent="0.3"/>
    <row r="8863" x14ac:dyDescent="0.3"/>
    <row r="8864" x14ac:dyDescent="0.3"/>
    <row r="8865" x14ac:dyDescent="0.3"/>
    <row r="8866" x14ac:dyDescent="0.3"/>
    <row r="8867" x14ac:dyDescent="0.3"/>
    <row r="8868" x14ac:dyDescent="0.3"/>
    <row r="8869" x14ac:dyDescent="0.3"/>
    <row r="8870" x14ac:dyDescent="0.3"/>
    <row r="8871" x14ac:dyDescent="0.3"/>
    <row r="8872" x14ac:dyDescent="0.3"/>
    <row r="8873" x14ac:dyDescent="0.3"/>
    <row r="8874" x14ac:dyDescent="0.3"/>
    <row r="8875" x14ac:dyDescent="0.3"/>
    <row r="8876" x14ac:dyDescent="0.3"/>
    <row r="8877" x14ac:dyDescent="0.3"/>
    <row r="8878" x14ac:dyDescent="0.3"/>
    <row r="8879" x14ac:dyDescent="0.3"/>
    <row r="8880" x14ac:dyDescent="0.3"/>
    <row r="8881" x14ac:dyDescent="0.3"/>
    <row r="8882" x14ac:dyDescent="0.3"/>
    <row r="8883" x14ac:dyDescent="0.3"/>
    <row r="8884" x14ac:dyDescent="0.3"/>
    <row r="8885" x14ac:dyDescent="0.3"/>
    <row r="8886" x14ac:dyDescent="0.3"/>
    <row r="8887" x14ac:dyDescent="0.3"/>
    <row r="8888" x14ac:dyDescent="0.3"/>
    <row r="8889" x14ac:dyDescent="0.3"/>
    <row r="8890" x14ac:dyDescent="0.3"/>
    <row r="8891" x14ac:dyDescent="0.3"/>
    <row r="8892" x14ac:dyDescent="0.3"/>
    <row r="8893" x14ac:dyDescent="0.3"/>
    <row r="8894" x14ac:dyDescent="0.3"/>
    <row r="8895" x14ac:dyDescent="0.3"/>
    <row r="8896" x14ac:dyDescent="0.3"/>
    <row r="8897" x14ac:dyDescent="0.3"/>
    <row r="8898" x14ac:dyDescent="0.3"/>
    <row r="8899" x14ac:dyDescent="0.3"/>
    <row r="8900" x14ac:dyDescent="0.3"/>
    <row r="8901" x14ac:dyDescent="0.3"/>
    <row r="8902" x14ac:dyDescent="0.3"/>
    <row r="8903" x14ac:dyDescent="0.3"/>
    <row r="8904" x14ac:dyDescent="0.3"/>
    <row r="8905" x14ac:dyDescent="0.3"/>
    <row r="8906" x14ac:dyDescent="0.3"/>
    <row r="8907" x14ac:dyDescent="0.3"/>
    <row r="8908" x14ac:dyDescent="0.3"/>
    <row r="8909" x14ac:dyDescent="0.3"/>
    <row r="8910" x14ac:dyDescent="0.3"/>
    <row r="8911" x14ac:dyDescent="0.3"/>
    <row r="8912" x14ac:dyDescent="0.3"/>
    <row r="8913" x14ac:dyDescent="0.3"/>
    <row r="8914" x14ac:dyDescent="0.3"/>
    <row r="8915" x14ac:dyDescent="0.3"/>
    <row r="8916" x14ac:dyDescent="0.3"/>
    <row r="8917" x14ac:dyDescent="0.3"/>
    <row r="8918" x14ac:dyDescent="0.3"/>
    <row r="8919" x14ac:dyDescent="0.3"/>
    <row r="8920" x14ac:dyDescent="0.3"/>
    <row r="8921" x14ac:dyDescent="0.3"/>
    <row r="8922" x14ac:dyDescent="0.3"/>
    <row r="8923" x14ac:dyDescent="0.3"/>
    <row r="8924" x14ac:dyDescent="0.3"/>
    <row r="8925" x14ac:dyDescent="0.3"/>
    <row r="8926" x14ac:dyDescent="0.3"/>
    <row r="8927" x14ac:dyDescent="0.3"/>
    <row r="8928" x14ac:dyDescent="0.3"/>
    <row r="8929" x14ac:dyDescent="0.3"/>
    <row r="8930" x14ac:dyDescent="0.3"/>
    <row r="8931" x14ac:dyDescent="0.3"/>
    <row r="8932" x14ac:dyDescent="0.3"/>
    <row r="8933" x14ac:dyDescent="0.3"/>
    <row r="8934" x14ac:dyDescent="0.3"/>
    <row r="8935" x14ac:dyDescent="0.3"/>
    <row r="8936" x14ac:dyDescent="0.3"/>
    <row r="8937" x14ac:dyDescent="0.3"/>
    <row r="8938" x14ac:dyDescent="0.3"/>
    <row r="8939" x14ac:dyDescent="0.3"/>
    <row r="8940" x14ac:dyDescent="0.3"/>
    <row r="8941" x14ac:dyDescent="0.3"/>
    <row r="8942" x14ac:dyDescent="0.3"/>
    <row r="8943" x14ac:dyDescent="0.3"/>
    <row r="8944" x14ac:dyDescent="0.3"/>
    <row r="8945" x14ac:dyDescent="0.3"/>
    <row r="8946" x14ac:dyDescent="0.3"/>
    <row r="8947" x14ac:dyDescent="0.3"/>
    <row r="8948" x14ac:dyDescent="0.3"/>
    <row r="8949" x14ac:dyDescent="0.3"/>
    <row r="8950" x14ac:dyDescent="0.3"/>
    <row r="8951" x14ac:dyDescent="0.3"/>
    <row r="8952" x14ac:dyDescent="0.3"/>
    <row r="8953" x14ac:dyDescent="0.3"/>
    <row r="8954" x14ac:dyDescent="0.3"/>
    <row r="8955" x14ac:dyDescent="0.3"/>
    <row r="8956" x14ac:dyDescent="0.3"/>
    <row r="8957" x14ac:dyDescent="0.3"/>
    <row r="8958" x14ac:dyDescent="0.3"/>
    <row r="8959" x14ac:dyDescent="0.3"/>
    <row r="8960" x14ac:dyDescent="0.3"/>
    <row r="8961" x14ac:dyDescent="0.3"/>
    <row r="8962" x14ac:dyDescent="0.3"/>
    <row r="8963" x14ac:dyDescent="0.3"/>
    <row r="8964" x14ac:dyDescent="0.3"/>
    <row r="8965" x14ac:dyDescent="0.3"/>
    <row r="8966" x14ac:dyDescent="0.3"/>
    <row r="8967" x14ac:dyDescent="0.3"/>
    <row r="8968" x14ac:dyDescent="0.3"/>
    <row r="8969" x14ac:dyDescent="0.3"/>
    <row r="8970" x14ac:dyDescent="0.3"/>
    <row r="8971" x14ac:dyDescent="0.3"/>
    <row r="8972" x14ac:dyDescent="0.3"/>
    <row r="8973" x14ac:dyDescent="0.3"/>
    <row r="8974" x14ac:dyDescent="0.3"/>
    <row r="8975" x14ac:dyDescent="0.3"/>
    <row r="8976" x14ac:dyDescent="0.3"/>
    <row r="8977" x14ac:dyDescent="0.3"/>
    <row r="8978" x14ac:dyDescent="0.3"/>
    <row r="8979" x14ac:dyDescent="0.3"/>
    <row r="8980" x14ac:dyDescent="0.3"/>
    <row r="8981" x14ac:dyDescent="0.3"/>
    <row r="8982" x14ac:dyDescent="0.3"/>
    <row r="8983" x14ac:dyDescent="0.3"/>
    <row r="8984" x14ac:dyDescent="0.3"/>
    <row r="8985" x14ac:dyDescent="0.3"/>
    <row r="8986" x14ac:dyDescent="0.3"/>
    <row r="8987" x14ac:dyDescent="0.3"/>
    <row r="8988" x14ac:dyDescent="0.3"/>
    <row r="8989" x14ac:dyDescent="0.3"/>
    <row r="8990" x14ac:dyDescent="0.3"/>
    <row r="8991" x14ac:dyDescent="0.3"/>
    <row r="8992" x14ac:dyDescent="0.3"/>
    <row r="8993" x14ac:dyDescent="0.3"/>
    <row r="8994" x14ac:dyDescent="0.3"/>
    <row r="8995" x14ac:dyDescent="0.3"/>
    <row r="8996" x14ac:dyDescent="0.3"/>
    <row r="8997" x14ac:dyDescent="0.3"/>
    <row r="8998" x14ac:dyDescent="0.3"/>
    <row r="8999" x14ac:dyDescent="0.3"/>
    <row r="9000" x14ac:dyDescent="0.3"/>
    <row r="9001" x14ac:dyDescent="0.3"/>
    <row r="9002" x14ac:dyDescent="0.3"/>
    <row r="9003" x14ac:dyDescent="0.3"/>
    <row r="9004" x14ac:dyDescent="0.3"/>
    <row r="9005" x14ac:dyDescent="0.3"/>
    <row r="9006" x14ac:dyDescent="0.3"/>
    <row r="9007" x14ac:dyDescent="0.3"/>
    <row r="9008" x14ac:dyDescent="0.3"/>
    <row r="9009" x14ac:dyDescent="0.3"/>
    <row r="9010" x14ac:dyDescent="0.3"/>
    <row r="9011" x14ac:dyDescent="0.3"/>
    <row r="9012" x14ac:dyDescent="0.3"/>
    <row r="9013" x14ac:dyDescent="0.3"/>
    <row r="9014" x14ac:dyDescent="0.3"/>
    <row r="9015" x14ac:dyDescent="0.3"/>
    <row r="9016" x14ac:dyDescent="0.3"/>
    <row r="9017" x14ac:dyDescent="0.3"/>
    <row r="9018" x14ac:dyDescent="0.3"/>
    <row r="9019" x14ac:dyDescent="0.3"/>
    <row r="9020" x14ac:dyDescent="0.3"/>
    <row r="9021" x14ac:dyDescent="0.3"/>
    <row r="9022" x14ac:dyDescent="0.3"/>
    <row r="9023" x14ac:dyDescent="0.3"/>
    <row r="9024" x14ac:dyDescent="0.3"/>
    <row r="9025" x14ac:dyDescent="0.3"/>
    <row r="9026" x14ac:dyDescent="0.3"/>
    <row r="9027" x14ac:dyDescent="0.3"/>
    <row r="9028" x14ac:dyDescent="0.3"/>
    <row r="9029" x14ac:dyDescent="0.3"/>
    <row r="9030" x14ac:dyDescent="0.3"/>
    <row r="9031" x14ac:dyDescent="0.3"/>
    <row r="9032" x14ac:dyDescent="0.3"/>
    <row r="9033" x14ac:dyDescent="0.3"/>
    <row r="9034" x14ac:dyDescent="0.3"/>
    <row r="9035" x14ac:dyDescent="0.3"/>
    <row r="9036" x14ac:dyDescent="0.3"/>
    <row r="9037" x14ac:dyDescent="0.3"/>
    <row r="9038" x14ac:dyDescent="0.3"/>
    <row r="9039" x14ac:dyDescent="0.3"/>
    <row r="9040" x14ac:dyDescent="0.3"/>
    <row r="9041" x14ac:dyDescent="0.3"/>
    <row r="9042" x14ac:dyDescent="0.3"/>
    <row r="9043" x14ac:dyDescent="0.3"/>
    <row r="9044" x14ac:dyDescent="0.3"/>
    <row r="9045" x14ac:dyDescent="0.3"/>
    <row r="9046" x14ac:dyDescent="0.3"/>
    <row r="9047" x14ac:dyDescent="0.3"/>
    <row r="9048" x14ac:dyDescent="0.3"/>
    <row r="9049" x14ac:dyDescent="0.3"/>
    <row r="9050" x14ac:dyDescent="0.3"/>
    <row r="9051" x14ac:dyDescent="0.3"/>
    <row r="9052" x14ac:dyDescent="0.3"/>
    <row r="9053" x14ac:dyDescent="0.3"/>
    <row r="9054" x14ac:dyDescent="0.3"/>
    <row r="9055" x14ac:dyDescent="0.3"/>
    <row r="9056" x14ac:dyDescent="0.3"/>
    <row r="9057" x14ac:dyDescent="0.3"/>
    <row r="9058" x14ac:dyDescent="0.3"/>
    <row r="9059" x14ac:dyDescent="0.3"/>
    <row r="9060" x14ac:dyDescent="0.3"/>
    <row r="9061" x14ac:dyDescent="0.3"/>
    <row r="9062" x14ac:dyDescent="0.3"/>
    <row r="9063" x14ac:dyDescent="0.3"/>
    <row r="9064" x14ac:dyDescent="0.3"/>
    <row r="9065" x14ac:dyDescent="0.3"/>
    <row r="9066" x14ac:dyDescent="0.3"/>
    <row r="9067" x14ac:dyDescent="0.3"/>
    <row r="9068" x14ac:dyDescent="0.3"/>
    <row r="9069" x14ac:dyDescent="0.3"/>
    <row r="9070" x14ac:dyDescent="0.3"/>
    <row r="9071" x14ac:dyDescent="0.3"/>
    <row r="9072" x14ac:dyDescent="0.3"/>
    <row r="9073" x14ac:dyDescent="0.3"/>
    <row r="9074" x14ac:dyDescent="0.3"/>
    <row r="9075" x14ac:dyDescent="0.3"/>
    <row r="9076" x14ac:dyDescent="0.3"/>
    <row r="9077" x14ac:dyDescent="0.3"/>
    <row r="9078" x14ac:dyDescent="0.3"/>
    <row r="9079" x14ac:dyDescent="0.3"/>
    <row r="9080" x14ac:dyDescent="0.3"/>
    <row r="9081" x14ac:dyDescent="0.3"/>
    <row r="9082" x14ac:dyDescent="0.3"/>
    <row r="9083" x14ac:dyDescent="0.3"/>
    <row r="9084" x14ac:dyDescent="0.3"/>
    <row r="9085" x14ac:dyDescent="0.3"/>
    <row r="9086" x14ac:dyDescent="0.3"/>
    <row r="9087" x14ac:dyDescent="0.3"/>
    <row r="9088" x14ac:dyDescent="0.3"/>
    <row r="9089" x14ac:dyDescent="0.3"/>
    <row r="9090" x14ac:dyDescent="0.3"/>
    <row r="9091" x14ac:dyDescent="0.3"/>
    <row r="9092" x14ac:dyDescent="0.3"/>
    <row r="9093" x14ac:dyDescent="0.3"/>
    <row r="9094" x14ac:dyDescent="0.3"/>
    <row r="9095" x14ac:dyDescent="0.3"/>
    <row r="9096" x14ac:dyDescent="0.3"/>
    <row r="9097" x14ac:dyDescent="0.3"/>
    <row r="9098" x14ac:dyDescent="0.3"/>
    <row r="9099" x14ac:dyDescent="0.3"/>
    <row r="9100" x14ac:dyDescent="0.3"/>
    <row r="9101" x14ac:dyDescent="0.3"/>
    <row r="9102" x14ac:dyDescent="0.3"/>
    <row r="9103" x14ac:dyDescent="0.3"/>
    <row r="9104" x14ac:dyDescent="0.3"/>
    <row r="9105" x14ac:dyDescent="0.3"/>
    <row r="9106" x14ac:dyDescent="0.3"/>
    <row r="9107" x14ac:dyDescent="0.3"/>
    <row r="9108" x14ac:dyDescent="0.3"/>
    <row r="9109" x14ac:dyDescent="0.3"/>
    <row r="9110" x14ac:dyDescent="0.3"/>
    <row r="9111" x14ac:dyDescent="0.3"/>
    <row r="9112" x14ac:dyDescent="0.3"/>
    <row r="9113" x14ac:dyDescent="0.3"/>
    <row r="9114" x14ac:dyDescent="0.3"/>
    <row r="9115" x14ac:dyDescent="0.3"/>
    <row r="9116" x14ac:dyDescent="0.3"/>
    <row r="9117" x14ac:dyDescent="0.3"/>
    <row r="9118" x14ac:dyDescent="0.3"/>
    <row r="9119" x14ac:dyDescent="0.3"/>
    <row r="9120" x14ac:dyDescent="0.3"/>
    <row r="9121" x14ac:dyDescent="0.3"/>
    <row r="9122" x14ac:dyDescent="0.3"/>
    <row r="9123" x14ac:dyDescent="0.3"/>
    <row r="9124" x14ac:dyDescent="0.3"/>
    <row r="9125" x14ac:dyDescent="0.3"/>
    <row r="9126" x14ac:dyDescent="0.3"/>
    <row r="9127" x14ac:dyDescent="0.3"/>
    <row r="9128" x14ac:dyDescent="0.3"/>
    <row r="9129" x14ac:dyDescent="0.3"/>
    <row r="9130" x14ac:dyDescent="0.3"/>
    <row r="9131" x14ac:dyDescent="0.3"/>
    <row r="9132" x14ac:dyDescent="0.3"/>
    <row r="9133" x14ac:dyDescent="0.3"/>
    <row r="9134" x14ac:dyDescent="0.3"/>
    <row r="9135" x14ac:dyDescent="0.3"/>
    <row r="9136" x14ac:dyDescent="0.3"/>
    <row r="9137" x14ac:dyDescent="0.3"/>
    <row r="9138" x14ac:dyDescent="0.3"/>
    <row r="9139" x14ac:dyDescent="0.3"/>
    <row r="9140" x14ac:dyDescent="0.3"/>
    <row r="9141" x14ac:dyDescent="0.3"/>
    <row r="9142" x14ac:dyDescent="0.3"/>
    <row r="9143" x14ac:dyDescent="0.3"/>
    <row r="9144" x14ac:dyDescent="0.3"/>
    <row r="9145" x14ac:dyDescent="0.3"/>
    <row r="9146" x14ac:dyDescent="0.3"/>
    <row r="9147" x14ac:dyDescent="0.3"/>
    <row r="9148" x14ac:dyDescent="0.3"/>
    <row r="9149" x14ac:dyDescent="0.3"/>
    <row r="9150" x14ac:dyDescent="0.3"/>
    <row r="9151" x14ac:dyDescent="0.3"/>
    <row r="9152" x14ac:dyDescent="0.3"/>
    <row r="9153" x14ac:dyDescent="0.3"/>
    <row r="9154" x14ac:dyDescent="0.3"/>
    <row r="9155" x14ac:dyDescent="0.3"/>
    <row r="9156" x14ac:dyDescent="0.3"/>
    <row r="9157" x14ac:dyDescent="0.3"/>
    <row r="9158" x14ac:dyDescent="0.3"/>
    <row r="9159" x14ac:dyDescent="0.3"/>
    <row r="9160" x14ac:dyDescent="0.3"/>
    <row r="9161" x14ac:dyDescent="0.3"/>
    <row r="9162" x14ac:dyDescent="0.3"/>
    <row r="9163" x14ac:dyDescent="0.3"/>
    <row r="9164" x14ac:dyDescent="0.3"/>
    <row r="9165" x14ac:dyDescent="0.3"/>
    <row r="9166" x14ac:dyDescent="0.3"/>
    <row r="9167" x14ac:dyDescent="0.3"/>
    <row r="9168" x14ac:dyDescent="0.3"/>
    <row r="9169" x14ac:dyDescent="0.3"/>
    <row r="9170" x14ac:dyDescent="0.3"/>
    <row r="9171" x14ac:dyDescent="0.3"/>
    <row r="9172" x14ac:dyDescent="0.3"/>
    <row r="9173" x14ac:dyDescent="0.3"/>
    <row r="9174" x14ac:dyDescent="0.3"/>
    <row r="9175" x14ac:dyDescent="0.3"/>
    <row r="9176" x14ac:dyDescent="0.3"/>
    <row r="9177" x14ac:dyDescent="0.3"/>
    <row r="9178" x14ac:dyDescent="0.3"/>
    <row r="9179" x14ac:dyDescent="0.3"/>
    <row r="9180" x14ac:dyDescent="0.3"/>
    <row r="9181" x14ac:dyDescent="0.3"/>
    <row r="9182" x14ac:dyDescent="0.3"/>
    <row r="9183" x14ac:dyDescent="0.3"/>
    <row r="9184" x14ac:dyDescent="0.3"/>
    <row r="9185" x14ac:dyDescent="0.3"/>
    <row r="9186" x14ac:dyDescent="0.3"/>
    <row r="9187" x14ac:dyDescent="0.3"/>
    <row r="9188" x14ac:dyDescent="0.3"/>
    <row r="9189" x14ac:dyDescent="0.3"/>
    <row r="9190" x14ac:dyDescent="0.3"/>
    <row r="9191" x14ac:dyDescent="0.3"/>
    <row r="9192" x14ac:dyDescent="0.3"/>
    <row r="9193" x14ac:dyDescent="0.3"/>
    <row r="9194" x14ac:dyDescent="0.3"/>
    <row r="9195" x14ac:dyDescent="0.3"/>
    <row r="9196" x14ac:dyDescent="0.3"/>
    <row r="9197" x14ac:dyDescent="0.3"/>
    <row r="9198" x14ac:dyDescent="0.3"/>
    <row r="9199" x14ac:dyDescent="0.3"/>
    <row r="9200" x14ac:dyDescent="0.3"/>
    <row r="9201" x14ac:dyDescent="0.3"/>
    <row r="9202" x14ac:dyDescent="0.3"/>
    <row r="9203" x14ac:dyDescent="0.3"/>
    <row r="9204" x14ac:dyDescent="0.3"/>
    <row r="9205" x14ac:dyDescent="0.3"/>
    <row r="9206" x14ac:dyDescent="0.3"/>
    <row r="9207" x14ac:dyDescent="0.3"/>
    <row r="9208" x14ac:dyDescent="0.3"/>
    <row r="9209" x14ac:dyDescent="0.3"/>
    <row r="9210" x14ac:dyDescent="0.3"/>
    <row r="9211" x14ac:dyDescent="0.3"/>
    <row r="9212" x14ac:dyDescent="0.3"/>
    <row r="9213" x14ac:dyDescent="0.3"/>
    <row r="9214" x14ac:dyDescent="0.3"/>
    <row r="9215" x14ac:dyDescent="0.3"/>
    <row r="9216" x14ac:dyDescent="0.3"/>
    <row r="9217" x14ac:dyDescent="0.3"/>
    <row r="9218" x14ac:dyDescent="0.3"/>
    <row r="9219" x14ac:dyDescent="0.3"/>
    <row r="9220" x14ac:dyDescent="0.3"/>
    <row r="9221" x14ac:dyDescent="0.3"/>
    <row r="9222" x14ac:dyDescent="0.3"/>
    <row r="9223" x14ac:dyDescent="0.3"/>
    <row r="9224" x14ac:dyDescent="0.3"/>
    <row r="9225" x14ac:dyDescent="0.3"/>
    <row r="9226" x14ac:dyDescent="0.3"/>
    <row r="9227" x14ac:dyDescent="0.3"/>
    <row r="9228" x14ac:dyDescent="0.3"/>
    <row r="9229" x14ac:dyDescent="0.3"/>
    <row r="9230" x14ac:dyDescent="0.3"/>
    <row r="9231" x14ac:dyDescent="0.3"/>
    <row r="9232" x14ac:dyDescent="0.3"/>
    <row r="9233" x14ac:dyDescent="0.3"/>
    <row r="9234" x14ac:dyDescent="0.3"/>
    <row r="9235" x14ac:dyDescent="0.3"/>
    <row r="9236" x14ac:dyDescent="0.3"/>
    <row r="9237" x14ac:dyDescent="0.3"/>
    <row r="9238" x14ac:dyDescent="0.3"/>
    <row r="9239" x14ac:dyDescent="0.3"/>
    <row r="9240" x14ac:dyDescent="0.3"/>
    <row r="9241" x14ac:dyDescent="0.3"/>
    <row r="9242" x14ac:dyDescent="0.3"/>
    <row r="9243" x14ac:dyDescent="0.3"/>
    <row r="9244" x14ac:dyDescent="0.3"/>
    <row r="9245" x14ac:dyDescent="0.3"/>
    <row r="9246" x14ac:dyDescent="0.3"/>
    <row r="9247" x14ac:dyDescent="0.3"/>
    <row r="9248" x14ac:dyDescent="0.3"/>
    <row r="9249" x14ac:dyDescent="0.3"/>
    <row r="9250" x14ac:dyDescent="0.3"/>
    <row r="9251" x14ac:dyDescent="0.3"/>
    <row r="9252" x14ac:dyDescent="0.3"/>
    <row r="9253" x14ac:dyDescent="0.3"/>
    <row r="9254" x14ac:dyDescent="0.3"/>
    <row r="9255" x14ac:dyDescent="0.3"/>
    <row r="9256" x14ac:dyDescent="0.3"/>
    <row r="9257" x14ac:dyDescent="0.3"/>
    <row r="9258" x14ac:dyDescent="0.3"/>
    <row r="9259" x14ac:dyDescent="0.3"/>
    <row r="9260" x14ac:dyDescent="0.3"/>
    <row r="9261" x14ac:dyDescent="0.3"/>
    <row r="9262" x14ac:dyDescent="0.3"/>
    <row r="9263" x14ac:dyDescent="0.3"/>
    <row r="9264" x14ac:dyDescent="0.3"/>
    <row r="9265" x14ac:dyDescent="0.3"/>
    <row r="9266" x14ac:dyDescent="0.3"/>
    <row r="9267" x14ac:dyDescent="0.3"/>
    <row r="9268" x14ac:dyDescent="0.3"/>
    <row r="9269" x14ac:dyDescent="0.3"/>
    <row r="9270" x14ac:dyDescent="0.3"/>
    <row r="9271" x14ac:dyDescent="0.3"/>
    <row r="9272" x14ac:dyDescent="0.3"/>
    <row r="9273" x14ac:dyDescent="0.3"/>
    <row r="9274" x14ac:dyDescent="0.3"/>
    <row r="9275" x14ac:dyDescent="0.3"/>
    <row r="9276" x14ac:dyDescent="0.3"/>
    <row r="9277" x14ac:dyDescent="0.3"/>
    <row r="9278" x14ac:dyDescent="0.3"/>
    <row r="9279" x14ac:dyDescent="0.3"/>
    <row r="9280" x14ac:dyDescent="0.3"/>
    <row r="9281" x14ac:dyDescent="0.3"/>
    <row r="9282" x14ac:dyDescent="0.3"/>
    <row r="9283" x14ac:dyDescent="0.3"/>
    <row r="9284" x14ac:dyDescent="0.3"/>
    <row r="9285" x14ac:dyDescent="0.3"/>
    <row r="9286" x14ac:dyDescent="0.3"/>
    <row r="9287" x14ac:dyDescent="0.3"/>
    <row r="9288" x14ac:dyDescent="0.3"/>
    <row r="9289" x14ac:dyDescent="0.3"/>
    <row r="9290" x14ac:dyDescent="0.3"/>
    <row r="9291" x14ac:dyDescent="0.3"/>
    <row r="9292" x14ac:dyDescent="0.3"/>
    <row r="9293" x14ac:dyDescent="0.3"/>
    <row r="9294" x14ac:dyDescent="0.3"/>
    <row r="9295" x14ac:dyDescent="0.3"/>
    <row r="9296" x14ac:dyDescent="0.3"/>
    <row r="9297" x14ac:dyDescent="0.3"/>
    <row r="9298" x14ac:dyDescent="0.3"/>
    <row r="9299" x14ac:dyDescent="0.3"/>
    <row r="9300" x14ac:dyDescent="0.3"/>
    <row r="9301" x14ac:dyDescent="0.3"/>
    <row r="9302" x14ac:dyDescent="0.3"/>
    <row r="9303" x14ac:dyDescent="0.3"/>
    <row r="9304" x14ac:dyDescent="0.3"/>
    <row r="9305" x14ac:dyDescent="0.3"/>
    <row r="9306" x14ac:dyDescent="0.3"/>
    <row r="9307" x14ac:dyDescent="0.3"/>
    <row r="9308" x14ac:dyDescent="0.3"/>
    <row r="9309" x14ac:dyDescent="0.3"/>
    <row r="9310" x14ac:dyDescent="0.3"/>
    <row r="9311" x14ac:dyDescent="0.3"/>
    <row r="9312" x14ac:dyDescent="0.3"/>
    <row r="9313" x14ac:dyDescent="0.3"/>
    <row r="9314" x14ac:dyDescent="0.3"/>
    <row r="9315" x14ac:dyDescent="0.3"/>
    <row r="9316" x14ac:dyDescent="0.3"/>
    <row r="9317" x14ac:dyDescent="0.3"/>
    <row r="9318" x14ac:dyDescent="0.3"/>
    <row r="9319" x14ac:dyDescent="0.3"/>
    <row r="9320" x14ac:dyDescent="0.3"/>
    <row r="9321" x14ac:dyDescent="0.3"/>
    <row r="9322" x14ac:dyDescent="0.3"/>
    <row r="9323" x14ac:dyDescent="0.3"/>
    <row r="9324" x14ac:dyDescent="0.3"/>
    <row r="9325" x14ac:dyDescent="0.3"/>
    <row r="9326" x14ac:dyDescent="0.3"/>
    <row r="9327" x14ac:dyDescent="0.3"/>
    <row r="9328" x14ac:dyDescent="0.3"/>
    <row r="9329" x14ac:dyDescent="0.3"/>
    <row r="9330" x14ac:dyDescent="0.3"/>
    <row r="9331" x14ac:dyDescent="0.3"/>
    <row r="9332" x14ac:dyDescent="0.3"/>
    <row r="9333" x14ac:dyDescent="0.3"/>
    <row r="9334" x14ac:dyDescent="0.3"/>
    <row r="9335" x14ac:dyDescent="0.3"/>
    <row r="9336" x14ac:dyDescent="0.3"/>
    <row r="9337" x14ac:dyDescent="0.3"/>
    <row r="9338" x14ac:dyDescent="0.3"/>
    <row r="9339" x14ac:dyDescent="0.3"/>
    <row r="9340" x14ac:dyDescent="0.3"/>
    <row r="9341" x14ac:dyDescent="0.3"/>
    <row r="9342" x14ac:dyDescent="0.3"/>
    <row r="9343" x14ac:dyDescent="0.3"/>
    <row r="9344" x14ac:dyDescent="0.3"/>
    <row r="9345" x14ac:dyDescent="0.3"/>
    <row r="9346" x14ac:dyDescent="0.3"/>
    <row r="9347" x14ac:dyDescent="0.3"/>
    <row r="9348" x14ac:dyDescent="0.3"/>
    <row r="9349" x14ac:dyDescent="0.3"/>
    <row r="9350" x14ac:dyDescent="0.3"/>
    <row r="9351" x14ac:dyDescent="0.3"/>
    <row r="9352" x14ac:dyDescent="0.3"/>
    <row r="9353" x14ac:dyDescent="0.3"/>
    <row r="9354" x14ac:dyDescent="0.3"/>
    <row r="9355" x14ac:dyDescent="0.3"/>
    <row r="9356" x14ac:dyDescent="0.3"/>
    <row r="9357" x14ac:dyDescent="0.3"/>
    <row r="9358" x14ac:dyDescent="0.3"/>
    <row r="9359" x14ac:dyDescent="0.3"/>
    <row r="9360" x14ac:dyDescent="0.3"/>
    <row r="9361" x14ac:dyDescent="0.3"/>
    <row r="9362" x14ac:dyDescent="0.3"/>
    <row r="9363" x14ac:dyDescent="0.3"/>
    <row r="9364" x14ac:dyDescent="0.3"/>
    <row r="9365" x14ac:dyDescent="0.3"/>
    <row r="9366" x14ac:dyDescent="0.3"/>
    <row r="9367" x14ac:dyDescent="0.3"/>
    <row r="9368" x14ac:dyDescent="0.3"/>
    <row r="9369" x14ac:dyDescent="0.3"/>
    <row r="9370" x14ac:dyDescent="0.3"/>
    <row r="9371" x14ac:dyDescent="0.3"/>
    <row r="9372" x14ac:dyDescent="0.3"/>
    <row r="9373" x14ac:dyDescent="0.3"/>
    <row r="9374" x14ac:dyDescent="0.3"/>
    <row r="9375" x14ac:dyDescent="0.3"/>
    <row r="9376" x14ac:dyDescent="0.3"/>
    <row r="9377" x14ac:dyDescent="0.3"/>
    <row r="9378" x14ac:dyDescent="0.3"/>
    <row r="9379" x14ac:dyDescent="0.3"/>
    <row r="9380" x14ac:dyDescent="0.3"/>
    <row r="9381" x14ac:dyDescent="0.3"/>
    <row r="9382" x14ac:dyDescent="0.3"/>
    <row r="9383" x14ac:dyDescent="0.3"/>
    <row r="9384" x14ac:dyDescent="0.3"/>
    <row r="9385" x14ac:dyDescent="0.3"/>
    <row r="9386" x14ac:dyDescent="0.3"/>
    <row r="9387" x14ac:dyDescent="0.3"/>
    <row r="9388" x14ac:dyDescent="0.3"/>
    <row r="9389" x14ac:dyDescent="0.3"/>
    <row r="9390" x14ac:dyDescent="0.3"/>
    <row r="9391" x14ac:dyDescent="0.3"/>
    <row r="9392" x14ac:dyDescent="0.3"/>
    <row r="9393" x14ac:dyDescent="0.3"/>
    <row r="9394" x14ac:dyDescent="0.3"/>
    <row r="9395" x14ac:dyDescent="0.3"/>
    <row r="9396" x14ac:dyDescent="0.3"/>
    <row r="9397" x14ac:dyDescent="0.3"/>
    <row r="9398" x14ac:dyDescent="0.3"/>
    <row r="9399" x14ac:dyDescent="0.3"/>
    <row r="9400" x14ac:dyDescent="0.3"/>
    <row r="9401" x14ac:dyDescent="0.3"/>
    <row r="9402" x14ac:dyDescent="0.3"/>
    <row r="9403" x14ac:dyDescent="0.3"/>
    <row r="9404" x14ac:dyDescent="0.3"/>
    <row r="9405" x14ac:dyDescent="0.3"/>
    <row r="9406" x14ac:dyDescent="0.3"/>
    <row r="9407" x14ac:dyDescent="0.3"/>
    <row r="9408" x14ac:dyDescent="0.3"/>
    <row r="9409" x14ac:dyDescent="0.3"/>
    <row r="9410" x14ac:dyDescent="0.3"/>
    <row r="9411" x14ac:dyDescent="0.3"/>
    <row r="9412" x14ac:dyDescent="0.3"/>
    <row r="9413" x14ac:dyDescent="0.3"/>
    <row r="9414" x14ac:dyDescent="0.3"/>
    <row r="9415" x14ac:dyDescent="0.3"/>
    <row r="9416" x14ac:dyDescent="0.3"/>
    <row r="9417" x14ac:dyDescent="0.3"/>
    <row r="9418" x14ac:dyDescent="0.3"/>
    <row r="9419" x14ac:dyDescent="0.3"/>
    <row r="9420" x14ac:dyDescent="0.3"/>
    <row r="9421" x14ac:dyDescent="0.3"/>
    <row r="9422" x14ac:dyDescent="0.3"/>
    <row r="9423" x14ac:dyDescent="0.3"/>
    <row r="9424" x14ac:dyDescent="0.3"/>
    <row r="9425" x14ac:dyDescent="0.3"/>
    <row r="9426" x14ac:dyDescent="0.3"/>
    <row r="9427" x14ac:dyDescent="0.3"/>
    <row r="9428" x14ac:dyDescent="0.3"/>
    <row r="9429" x14ac:dyDescent="0.3"/>
    <row r="9430" x14ac:dyDescent="0.3"/>
    <row r="9431" x14ac:dyDescent="0.3"/>
    <row r="9432" x14ac:dyDescent="0.3"/>
    <row r="9433" x14ac:dyDescent="0.3"/>
    <row r="9434" x14ac:dyDescent="0.3"/>
    <row r="9435" x14ac:dyDescent="0.3"/>
    <row r="9436" x14ac:dyDescent="0.3"/>
    <row r="9437" x14ac:dyDescent="0.3"/>
    <row r="9438" x14ac:dyDescent="0.3"/>
    <row r="9439" x14ac:dyDescent="0.3"/>
    <row r="9440" x14ac:dyDescent="0.3"/>
    <row r="9441" x14ac:dyDescent="0.3"/>
    <row r="9442" x14ac:dyDescent="0.3"/>
    <row r="9443" x14ac:dyDescent="0.3"/>
    <row r="9444" x14ac:dyDescent="0.3"/>
    <row r="9445" x14ac:dyDescent="0.3"/>
    <row r="9446" x14ac:dyDescent="0.3"/>
    <row r="9447" x14ac:dyDescent="0.3"/>
    <row r="9448" x14ac:dyDescent="0.3"/>
    <row r="9449" x14ac:dyDescent="0.3"/>
    <row r="9450" x14ac:dyDescent="0.3"/>
    <row r="9451" x14ac:dyDescent="0.3"/>
    <row r="9452" x14ac:dyDescent="0.3"/>
    <row r="9453" x14ac:dyDescent="0.3"/>
    <row r="9454" x14ac:dyDescent="0.3"/>
    <row r="9455" x14ac:dyDescent="0.3"/>
    <row r="9456" x14ac:dyDescent="0.3"/>
    <row r="9457" x14ac:dyDescent="0.3"/>
    <row r="9458" x14ac:dyDescent="0.3"/>
    <row r="9459" x14ac:dyDescent="0.3"/>
    <row r="9460" x14ac:dyDescent="0.3"/>
    <row r="9461" x14ac:dyDescent="0.3"/>
    <row r="9462" x14ac:dyDescent="0.3"/>
    <row r="9463" x14ac:dyDescent="0.3"/>
    <row r="9464" x14ac:dyDescent="0.3"/>
    <row r="9465" x14ac:dyDescent="0.3"/>
    <row r="9466" x14ac:dyDescent="0.3"/>
    <row r="9467" x14ac:dyDescent="0.3"/>
    <row r="9468" x14ac:dyDescent="0.3"/>
    <row r="9469" x14ac:dyDescent="0.3"/>
    <row r="9470" x14ac:dyDescent="0.3"/>
    <row r="9471" x14ac:dyDescent="0.3"/>
    <row r="9472" x14ac:dyDescent="0.3"/>
    <row r="9473" x14ac:dyDescent="0.3"/>
    <row r="9474" x14ac:dyDescent="0.3"/>
    <row r="9475" x14ac:dyDescent="0.3"/>
    <row r="9476" x14ac:dyDescent="0.3"/>
    <row r="9477" x14ac:dyDescent="0.3"/>
    <row r="9478" x14ac:dyDescent="0.3"/>
    <row r="9479" x14ac:dyDescent="0.3"/>
    <row r="9480" x14ac:dyDescent="0.3"/>
    <row r="9481" x14ac:dyDescent="0.3"/>
    <row r="9482" x14ac:dyDescent="0.3"/>
    <row r="9483" x14ac:dyDescent="0.3"/>
    <row r="9484" x14ac:dyDescent="0.3"/>
    <row r="9485" x14ac:dyDescent="0.3"/>
    <row r="9486" x14ac:dyDescent="0.3"/>
    <row r="9487" x14ac:dyDescent="0.3"/>
    <row r="9488" x14ac:dyDescent="0.3"/>
    <row r="9489" x14ac:dyDescent="0.3"/>
    <row r="9490" x14ac:dyDescent="0.3"/>
    <row r="9491" x14ac:dyDescent="0.3"/>
    <row r="9492" x14ac:dyDescent="0.3"/>
    <row r="9493" x14ac:dyDescent="0.3"/>
    <row r="9494" x14ac:dyDescent="0.3"/>
    <row r="9495" x14ac:dyDescent="0.3"/>
    <row r="9496" x14ac:dyDescent="0.3"/>
    <row r="9497" x14ac:dyDescent="0.3"/>
    <row r="9498" x14ac:dyDescent="0.3"/>
    <row r="9499" x14ac:dyDescent="0.3"/>
    <row r="9500" x14ac:dyDescent="0.3"/>
    <row r="9501" x14ac:dyDescent="0.3"/>
    <row r="9502" x14ac:dyDescent="0.3"/>
    <row r="9503" x14ac:dyDescent="0.3"/>
    <row r="9504" x14ac:dyDescent="0.3"/>
    <row r="9505" x14ac:dyDescent="0.3"/>
    <row r="9506" x14ac:dyDescent="0.3"/>
    <row r="9507" x14ac:dyDescent="0.3"/>
    <row r="9508" x14ac:dyDescent="0.3"/>
    <row r="9509" x14ac:dyDescent="0.3"/>
    <row r="9510" x14ac:dyDescent="0.3"/>
    <row r="9511" x14ac:dyDescent="0.3"/>
    <row r="9512" x14ac:dyDescent="0.3"/>
    <row r="9513" x14ac:dyDescent="0.3"/>
    <row r="9514" x14ac:dyDescent="0.3"/>
    <row r="9515" x14ac:dyDescent="0.3"/>
    <row r="9516" x14ac:dyDescent="0.3"/>
    <row r="9517" x14ac:dyDescent="0.3"/>
    <row r="9518" x14ac:dyDescent="0.3"/>
    <row r="9519" x14ac:dyDescent="0.3"/>
    <row r="9520" x14ac:dyDescent="0.3"/>
    <row r="9521" x14ac:dyDescent="0.3"/>
    <row r="9522" x14ac:dyDescent="0.3"/>
    <row r="9523" x14ac:dyDescent="0.3"/>
    <row r="9524" x14ac:dyDescent="0.3"/>
    <row r="9525" x14ac:dyDescent="0.3"/>
    <row r="9526" x14ac:dyDescent="0.3"/>
    <row r="9527" x14ac:dyDescent="0.3"/>
    <row r="9528" x14ac:dyDescent="0.3"/>
    <row r="9529" x14ac:dyDescent="0.3"/>
    <row r="9530" x14ac:dyDescent="0.3"/>
    <row r="9531" x14ac:dyDescent="0.3"/>
    <row r="9532" x14ac:dyDescent="0.3"/>
    <row r="9533" x14ac:dyDescent="0.3"/>
    <row r="9534" x14ac:dyDescent="0.3"/>
    <row r="9535" x14ac:dyDescent="0.3"/>
    <row r="9536" x14ac:dyDescent="0.3"/>
    <row r="9537" x14ac:dyDescent="0.3"/>
    <row r="9538" x14ac:dyDescent="0.3"/>
    <row r="9539" x14ac:dyDescent="0.3"/>
    <row r="9540" x14ac:dyDescent="0.3"/>
    <row r="9541" x14ac:dyDescent="0.3"/>
    <row r="9542" x14ac:dyDescent="0.3"/>
    <row r="9543" x14ac:dyDescent="0.3"/>
    <row r="9544" x14ac:dyDescent="0.3"/>
    <row r="9545" x14ac:dyDescent="0.3"/>
    <row r="9546" x14ac:dyDescent="0.3"/>
    <row r="9547" x14ac:dyDescent="0.3"/>
    <row r="9548" x14ac:dyDescent="0.3"/>
    <row r="9549" x14ac:dyDescent="0.3"/>
    <row r="9550" x14ac:dyDescent="0.3"/>
    <row r="9551" x14ac:dyDescent="0.3"/>
    <row r="9552" x14ac:dyDescent="0.3"/>
    <row r="9553" x14ac:dyDescent="0.3"/>
    <row r="9554" x14ac:dyDescent="0.3"/>
    <row r="9555" x14ac:dyDescent="0.3"/>
    <row r="9556" x14ac:dyDescent="0.3"/>
    <row r="9557" x14ac:dyDescent="0.3"/>
    <row r="9558" x14ac:dyDescent="0.3"/>
    <row r="9559" x14ac:dyDescent="0.3"/>
    <row r="9560" x14ac:dyDescent="0.3"/>
    <row r="9561" x14ac:dyDescent="0.3"/>
    <row r="9562" x14ac:dyDescent="0.3"/>
    <row r="9563" x14ac:dyDescent="0.3"/>
    <row r="9564" x14ac:dyDescent="0.3"/>
    <row r="9565" x14ac:dyDescent="0.3"/>
    <row r="9566" x14ac:dyDescent="0.3"/>
    <row r="9567" x14ac:dyDescent="0.3"/>
    <row r="9568" x14ac:dyDescent="0.3"/>
    <row r="9569" x14ac:dyDescent="0.3"/>
    <row r="9570" x14ac:dyDescent="0.3"/>
    <row r="9571" x14ac:dyDescent="0.3"/>
    <row r="9572" x14ac:dyDescent="0.3"/>
    <row r="9573" x14ac:dyDescent="0.3"/>
    <row r="9574" x14ac:dyDescent="0.3"/>
    <row r="9575" x14ac:dyDescent="0.3"/>
    <row r="9576" x14ac:dyDescent="0.3"/>
    <row r="9577" x14ac:dyDescent="0.3"/>
    <row r="9578" x14ac:dyDescent="0.3"/>
    <row r="9579" x14ac:dyDescent="0.3"/>
    <row r="9580" x14ac:dyDescent="0.3"/>
    <row r="9581" x14ac:dyDescent="0.3"/>
    <row r="9582" x14ac:dyDescent="0.3"/>
    <row r="9583" x14ac:dyDescent="0.3"/>
    <row r="9584" x14ac:dyDescent="0.3"/>
    <row r="9585" x14ac:dyDescent="0.3"/>
    <row r="9586" x14ac:dyDescent="0.3"/>
    <row r="9587" x14ac:dyDescent="0.3"/>
    <row r="9588" x14ac:dyDescent="0.3"/>
    <row r="9589" x14ac:dyDescent="0.3"/>
    <row r="9590" x14ac:dyDescent="0.3"/>
    <row r="9591" x14ac:dyDescent="0.3"/>
    <row r="9592" x14ac:dyDescent="0.3"/>
    <row r="9593" x14ac:dyDescent="0.3"/>
    <row r="9594" x14ac:dyDescent="0.3"/>
    <row r="9595" x14ac:dyDescent="0.3"/>
    <row r="9596" x14ac:dyDescent="0.3"/>
    <row r="9597" x14ac:dyDescent="0.3"/>
    <row r="9598" x14ac:dyDescent="0.3"/>
    <row r="9599" x14ac:dyDescent="0.3"/>
    <row r="9600" x14ac:dyDescent="0.3"/>
    <row r="9601" x14ac:dyDescent="0.3"/>
    <row r="9602" x14ac:dyDescent="0.3"/>
    <row r="9603" x14ac:dyDescent="0.3"/>
    <row r="9604" x14ac:dyDescent="0.3"/>
    <row r="9605" x14ac:dyDescent="0.3"/>
    <row r="9606" x14ac:dyDescent="0.3"/>
    <row r="9607" x14ac:dyDescent="0.3"/>
    <row r="9608" x14ac:dyDescent="0.3"/>
    <row r="9609" x14ac:dyDescent="0.3"/>
    <row r="9610" x14ac:dyDescent="0.3"/>
    <row r="9611" x14ac:dyDescent="0.3"/>
    <row r="9612" x14ac:dyDescent="0.3"/>
    <row r="9613" x14ac:dyDescent="0.3"/>
    <row r="9614" x14ac:dyDescent="0.3"/>
    <row r="9615" x14ac:dyDescent="0.3"/>
    <row r="9616" x14ac:dyDescent="0.3"/>
    <row r="9617" x14ac:dyDescent="0.3"/>
    <row r="9618" x14ac:dyDescent="0.3"/>
    <row r="9619" x14ac:dyDescent="0.3"/>
    <row r="9620" x14ac:dyDescent="0.3"/>
    <row r="9621" x14ac:dyDescent="0.3"/>
    <row r="9622" x14ac:dyDescent="0.3"/>
    <row r="9623" x14ac:dyDescent="0.3"/>
    <row r="9624" x14ac:dyDescent="0.3"/>
    <row r="9625" x14ac:dyDescent="0.3"/>
    <row r="9626" x14ac:dyDescent="0.3"/>
    <row r="9627" x14ac:dyDescent="0.3"/>
    <row r="9628" x14ac:dyDescent="0.3"/>
    <row r="9629" x14ac:dyDescent="0.3"/>
    <row r="9630" x14ac:dyDescent="0.3"/>
    <row r="9631" x14ac:dyDescent="0.3"/>
    <row r="9632" x14ac:dyDescent="0.3"/>
    <row r="9633" x14ac:dyDescent="0.3"/>
    <row r="9634" x14ac:dyDescent="0.3"/>
    <row r="9635" x14ac:dyDescent="0.3"/>
    <row r="9636" x14ac:dyDescent="0.3"/>
    <row r="9637" x14ac:dyDescent="0.3"/>
    <row r="9638" x14ac:dyDescent="0.3"/>
    <row r="9639" x14ac:dyDescent="0.3"/>
    <row r="9640" x14ac:dyDescent="0.3"/>
    <row r="9641" x14ac:dyDescent="0.3"/>
    <row r="9642" x14ac:dyDescent="0.3"/>
    <row r="9643" x14ac:dyDescent="0.3"/>
    <row r="9644" x14ac:dyDescent="0.3"/>
    <row r="9645" x14ac:dyDescent="0.3"/>
    <row r="9646" x14ac:dyDescent="0.3"/>
    <row r="9647" x14ac:dyDescent="0.3"/>
    <row r="9648" x14ac:dyDescent="0.3"/>
    <row r="9649" x14ac:dyDescent="0.3"/>
    <row r="9650" x14ac:dyDescent="0.3"/>
    <row r="9651" x14ac:dyDescent="0.3"/>
    <row r="9652" x14ac:dyDescent="0.3"/>
    <row r="9653" x14ac:dyDescent="0.3"/>
    <row r="9654" x14ac:dyDescent="0.3"/>
    <row r="9655" x14ac:dyDescent="0.3"/>
    <row r="9656" x14ac:dyDescent="0.3"/>
    <row r="9657" x14ac:dyDescent="0.3"/>
    <row r="9658" x14ac:dyDescent="0.3"/>
    <row r="9659" x14ac:dyDescent="0.3"/>
    <row r="9660" x14ac:dyDescent="0.3"/>
    <row r="9661" x14ac:dyDescent="0.3"/>
    <row r="9662" x14ac:dyDescent="0.3"/>
    <row r="9663" x14ac:dyDescent="0.3"/>
    <row r="9664" x14ac:dyDescent="0.3"/>
    <row r="9665" x14ac:dyDescent="0.3"/>
    <row r="9666" x14ac:dyDescent="0.3"/>
    <row r="9667" x14ac:dyDescent="0.3"/>
    <row r="9668" x14ac:dyDescent="0.3"/>
    <row r="9669" x14ac:dyDescent="0.3"/>
    <row r="9670" x14ac:dyDescent="0.3"/>
    <row r="9671" x14ac:dyDescent="0.3"/>
    <row r="9672" x14ac:dyDescent="0.3"/>
    <row r="9673" x14ac:dyDescent="0.3"/>
    <row r="9674" x14ac:dyDescent="0.3"/>
    <row r="9675" x14ac:dyDescent="0.3"/>
    <row r="9676" x14ac:dyDescent="0.3"/>
    <row r="9677" x14ac:dyDescent="0.3"/>
    <row r="9678" x14ac:dyDescent="0.3"/>
    <row r="9679" x14ac:dyDescent="0.3"/>
    <row r="9680" x14ac:dyDescent="0.3"/>
    <row r="9681" x14ac:dyDescent="0.3"/>
    <row r="9682" x14ac:dyDescent="0.3"/>
    <row r="9683" x14ac:dyDescent="0.3"/>
    <row r="9684" x14ac:dyDescent="0.3"/>
    <row r="9685" x14ac:dyDescent="0.3"/>
    <row r="9686" x14ac:dyDescent="0.3"/>
    <row r="9687" x14ac:dyDescent="0.3"/>
    <row r="9688" x14ac:dyDescent="0.3"/>
    <row r="9689" x14ac:dyDescent="0.3"/>
    <row r="9690" x14ac:dyDescent="0.3"/>
    <row r="9691" x14ac:dyDescent="0.3"/>
    <row r="9692" x14ac:dyDescent="0.3"/>
    <row r="9693" x14ac:dyDescent="0.3"/>
    <row r="9694" x14ac:dyDescent="0.3"/>
    <row r="9695" x14ac:dyDescent="0.3"/>
    <row r="9696" x14ac:dyDescent="0.3"/>
    <row r="9697" x14ac:dyDescent="0.3"/>
    <row r="9698" x14ac:dyDescent="0.3"/>
    <row r="9699" x14ac:dyDescent="0.3"/>
    <row r="9700" x14ac:dyDescent="0.3"/>
    <row r="9701" x14ac:dyDescent="0.3"/>
    <row r="9702" x14ac:dyDescent="0.3"/>
    <row r="9703" x14ac:dyDescent="0.3"/>
    <row r="9704" x14ac:dyDescent="0.3"/>
    <row r="9705" x14ac:dyDescent="0.3"/>
    <row r="9706" x14ac:dyDescent="0.3"/>
    <row r="9707" x14ac:dyDescent="0.3"/>
    <row r="9708" x14ac:dyDescent="0.3"/>
    <row r="9709" x14ac:dyDescent="0.3"/>
    <row r="9710" x14ac:dyDescent="0.3"/>
    <row r="9711" x14ac:dyDescent="0.3"/>
    <row r="9712" x14ac:dyDescent="0.3"/>
    <row r="9713" x14ac:dyDescent="0.3"/>
    <row r="9714" x14ac:dyDescent="0.3"/>
    <row r="9715" x14ac:dyDescent="0.3"/>
    <row r="9716" x14ac:dyDescent="0.3"/>
    <row r="9717" x14ac:dyDescent="0.3"/>
    <row r="9718" x14ac:dyDescent="0.3"/>
    <row r="9719" x14ac:dyDescent="0.3"/>
    <row r="9720" x14ac:dyDescent="0.3"/>
    <row r="9721" x14ac:dyDescent="0.3"/>
    <row r="9722" x14ac:dyDescent="0.3"/>
    <row r="9723" x14ac:dyDescent="0.3"/>
    <row r="9724" x14ac:dyDescent="0.3"/>
    <row r="9725" x14ac:dyDescent="0.3"/>
    <row r="9726" x14ac:dyDescent="0.3"/>
    <row r="9727" x14ac:dyDescent="0.3"/>
    <row r="9728" x14ac:dyDescent="0.3"/>
    <row r="9729" x14ac:dyDescent="0.3"/>
    <row r="9730" x14ac:dyDescent="0.3"/>
    <row r="9731" x14ac:dyDescent="0.3"/>
    <row r="9732" x14ac:dyDescent="0.3"/>
    <row r="9733" x14ac:dyDescent="0.3"/>
    <row r="9734" x14ac:dyDescent="0.3"/>
    <row r="9735" x14ac:dyDescent="0.3"/>
    <row r="9736" x14ac:dyDescent="0.3"/>
    <row r="9737" x14ac:dyDescent="0.3"/>
    <row r="9738" x14ac:dyDescent="0.3"/>
    <row r="9739" x14ac:dyDescent="0.3"/>
    <row r="9740" x14ac:dyDescent="0.3"/>
    <row r="9741" x14ac:dyDescent="0.3"/>
    <row r="9742" x14ac:dyDescent="0.3"/>
    <row r="9743" x14ac:dyDescent="0.3"/>
    <row r="9744" x14ac:dyDescent="0.3"/>
    <row r="9745" x14ac:dyDescent="0.3"/>
    <row r="9746" x14ac:dyDescent="0.3"/>
    <row r="9747" x14ac:dyDescent="0.3"/>
    <row r="9748" x14ac:dyDescent="0.3"/>
    <row r="9749" x14ac:dyDescent="0.3"/>
    <row r="9750" x14ac:dyDescent="0.3"/>
    <row r="9751" x14ac:dyDescent="0.3"/>
    <row r="9752" x14ac:dyDescent="0.3"/>
    <row r="9753" x14ac:dyDescent="0.3"/>
    <row r="9754" x14ac:dyDescent="0.3"/>
    <row r="9755" x14ac:dyDescent="0.3"/>
    <row r="9756" x14ac:dyDescent="0.3"/>
    <row r="9757" x14ac:dyDescent="0.3"/>
    <row r="9758" x14ac:dyDescent="0.3"/>
    <row r="9759" x14ac:dyDescent="0.3"/>
    <row r="9760" x14ac:dyDescent="0.3"/>
    <row r="9761" x14ac:dyDescent="0.3"/>
    <row r="9762" x14ac:dyDescent="0.3"/>
    <row r="9763" x14ac:dyDescent="0.3"/>
    <row r="9764" x14ac:dyDescent="0.3"/>
    <row r="9765" x14ac:dyDescent="0.3"/>
    <row r="9766" x14ac:dyDescent="0.3"/>
    <row r="9767" x14ac:dyDescent="0.3"/>
    <row r="9768" x14ac:dyDescent="0.3"/>
    <row r="9769" x14ac:dyDescent="0.3"/>
    <row r="9770" x14ac:dyDescent="0.3"/>
    <row r="9771" x14ac:dyDescent="0.3"/>
    <row r="9772" x14ac:dyDescent="0.3"/>
    <row r="9773" x14ac:dyDescent="0.3"/>
    <row r="9774" x14ac:dyDescent="0.3"/>
    <row r="9775" x14ac:dyDescent="0.3"/>
    <row r="9776" x14ac:dyDescent="0.3"/>
    <row r="9777" x14ac:dyDescent="0.3"/>
    <row r="9778" x14ac:dyDescent="0.3"/>
    <row r="9779" x14ac:dyDescent="0.3"/>
    <row r="9780" x14ac:dyDescent="0.3"/>
    <row r="9781" x14ac:dyDescent="0.3"/>
    <row r="9782" x14ac:dyDescent="0.3"/>
    <row r="9783" x14ac:dyDescent="0.3"/>
    <row r="9784" x14ac:dyDescent="0.3"/>
    <row r="9785" x14ac:dyDescent="0.3"/>
    <row r="9786" x14ac:dyDescent="0.3"/>
    <row r="9787" x14ac:dyDescent="0.3"/>
    <row r="9788" x14ac:dyDescent="0.3"/>
    <row r="9789" x14ac:dyDescent="0.3"/>
    <row r="9790" x14ac:dyDescent="0.3"/>
    <row r="9791" x14ac:dyDescent="0.3"/>
    <row r="9792" x14ac:dyDescent="0.3"/>
    <row r="9793" x14ac:dyDescent="0.3"/>
    <row r="9794" x14ac:dyDescent="0.3"/>
    <row r="9795" x14ac:dyDescent="0.3"/>
    <row r="9796" x14ac:dyDescent="0.3"/>
    <row r="9797" x14ac:dyDescent="0.3"/>
    <row r="9798" x14ac:dyDescent="0.3"/>
    <row r="9799" x14ac:dyDescent="0.3"/>
    <row r="9800" x14ac:dyDescent="0.3"/>
    <row r="9801" x14ac:dyDescent="0.3"/>
    <row r="9802" x14ac:dyDescent="0.3"/>
    <row r="9803" x14ac:dyDescent="0.3"/>
    <row r="9804" x14ac:dyDescent="0.3"/>
    <row r="9805" x14ac:dyDescent="0.3"/>
    <row r="9806" x14ac:dyDescent="0.3"/>
    <row r="9807" x14ac:dyDescent="0.3"/>
    <row r="9808" x14ac:dyDescent="0.3"/>
    <row r="9809" x14ac:dyDescent="0.3"/>
    <row r="9810" x14ac:dyDescent="0.3"/>
    <row r="9811" x14ac:dyDescent="0.3"/>
    <row r="9812" x14ac:dyDescent="0.3"/>
    <row r="9813" x14ac:dyDescent="0.3"/>
    <row r="9814" x14ac:dyDescent="0.3"/>
    <row r="9815" x14ac:dyDescent="0.3"/>
    <row r="9816" x14ac:dyDescent="0.3"/>
    <row r="9817" x14ac:dyDescent="0.3"/>
    <row r="9818" x14ac:dyDescent="0.3"/>
    <row r="9819" x14ac:dyDescent="0.3"/>
    <row r="9820" x14ac:dyDescent="0.3"/>
    <row r="9821" x14ac:dyDescent="0.3"/>
    <row r="9822" x14ac:dyDescent="0.3"/>
    <row r="9823" x14ac:dyDescent="0.3"/>
    <row r="9824" x14ac:dyDescent="0.3"/>
    <row r="9825" x14ac:dyDescent="0.3"/>
    <row r="9826" x14ac:dyDescent="0.3"/>
    <row r="9827" x14ac:dyDescent="0.3"/>
    <row r="9828" x14ac:dyDescent="0.3"/>
    <row r="9829" x14ac:dyDescent="0.3"/>
    <row r="9830" x14ac:dyDescent="0.3"/>
    <row r="9831" x14ac:dyDescent="0.3"/>
    <row r="9832" x14ac:dyDescent="0.3"/>
    <row r="9833" x14ac:dyDescent="0.3"/>
    <row r="9834" x14ac:dyDescent="0.3"/>
    <row r="9835" x14ac:dyDescent="0.3"/>
    <row r="9836" x14ac:dyDescent="0.3"/>
    <row r="9837" x14ac:dyDescent="0.3"/>
    <row r="9838" x14ac:dyDescent="0.3"/>
    <row r="9839" x14ac:dyDescent="0.3"/>
    <row r="9840" x14ac:dyDescent="0.3"/>
    <row r="9841" x14ac:dyDescent="0.3"/>
    <row r="9842" x14ac:dyDescent="0.3"/>
    <row r="9843" x14ac:dyDescent="0.3"/>
    <row r="9844" x14ac:dyDescent="0.3"/>
    <row r="9845" x14ac:dyDescent="0.3"/>
    <row r="9846" x14ac:dyDescent="0.3"/>
    <row r="9847" x14ac:dyDescent="0.3"/>
    <row r="9848" x14ac:dyDescent="0.3"/>
    <row r="9849" x14ac:dyDescent="0.3"/>
    <row r="9850" x14ac:dyDescent="0.3"/>
    <row r="9851" x14ac:dyDescent="0.3"/>
    <row r="9852" x14ac:dyDescent="0.3"/>
    <row r="9853" x14ac:dyDescent="0.3"/>
    <row r="9854" x14ac:dyDescent="0.3"/>
    <row r="9855" x14ac:dyDescent="0.3"/>
    <row r="9856" x14ac:dyDescent="0.3"/>
    <row r="9857" x14ac:dyDescent="0.3"/>
    <row r="9858" x14ac:dyDescent="0.3"/>
    <row r="9859" x14ac:dyDescent="0.3"/>
    <row r="9860" x14ac:dyDescent="0.3"/>
    <row r="9861" x14ac:dyDescent="0.3"/>
    <row r="9862" x14ac:dyDescent="0.3"/>
    <row r="9863" x14ac:dyDescent="0.3"/>
    <row r="9864" x14ac:dyDescent="0.3"/>
    <row r="9865" x14ac:dyDescent="0.3"/>
    <row r="9866" x14ac:dyDescent="0.3"/>
    <row r="9867" x14ac:dyDescent="0.3"/>
    <row r="9868" x14ac:dyDescent="0.3"/>
    <row r="9869" x14ac:dyDescent="0.3"/>
    <row r="9870" x14ac:dyDescent="0.3"/>
    <row r="9871" x14ac:dyDescent="0.3"/>
    <row r="9872" x14ac:dyDescent="0.3"/>
    <row r="9873" x14ac:dyDescent="0.3"/>
    <row r="9874" x14ac:dyDescent="0.3"/>
    <row r="9875" x14ac:dyDescent="0.3"/>
    <row r="9876" x14ac:dyDescent="0.3"/>
    <row r="9877" x14ac:dyDescent="0.3"/>
    <row r="9878" x14ac:dyDescent="0.3"/>
    <row r="9879" x14ac:dyDescent="0.3"/>
    <row r="9880" x14ac:dyDescent="0.3"/>
    <row r="9881" x14ac:dyDescent="0.3"/>
    <row r="9882" x14ac:dyDescent="0.3"/>
    <row r="9883" x14ac:dyDescent="0.3"/>
    <row r="9884" x14ac:dyDescent="0.3"/>
    <row r="9885" x14ac:dyDescent="0.3"/>
    <row r="9886" x14ac:dyDescent="0.3"/>
    <row r="9887" x14ac:dyDescent="0.3"/>
    <row r="9888" x14ac:dyDescent="0.3"/>
    <row r="9889" x14ac:dyDescent="0.3"/>
    <row r="9890" x14ac:dyDescent="0.3"/>
    <row r="9891" x14ac:dyDescent="0.3"/>
    <row r="9892" x14ac:dyDescent="0.3"/>
    <row r="9893" x14ac:dyDescent="0.3"/>
    <row r="9894" x14ac:dyDescent="0.3"/>
    <row r="9895" x14ac:dyDescent="0.3"/>
    <row r="9896" x14ac:dyDescent="0.3"/>
    <row r="9897" x14ac:dyDescent="0.3"/>
    <row r="9898" x14ac:dyDescent="0.3"/>
    <row r="9899" x14ac:dyDescent="0.3"/>
    <row r="9900" x14ac:dyDescent="0.3"/>
    <row r="9901" x14ac:dyDescent="0.3"/>
    <row r="9902" x14ac:dyDescent="0.3"/>
    <row r="9903" x14ac:dyDescent="0.3"/>
    <row r="9904" x14ac:dyDescent="0.3"/>
    <row r="9905" x14ac:dyDescent="0.3"/>
    <row r="9906" x14ac:dyDescent="0.3"/>
    <row r="9907" x14ac:dyDescent="0.3"/>
    <row r="9908" x14ac:dyDescent="0.3"/>
    <row r="9909" x14ac:dyDescent="0.3"/>
    <row r="9910" x14ac:dyDescent="0.3"/>
    <row r="9911" x14ac:dyDescent="0.3"/>
    <row r="9912" x14ac:dyDescent="0.3"/>
    <row r="9913" x14ac:dyDescent="0.3"/>
    <row r="9914" x14ac:dyDescent="0.3"/>
    <row r="9915" x14ac:dyDescent="0.3"/>
    <row r="9916" x14ac:dyDescent="0.3"/>
    <row r="9917" x14ac:dyDescent="0.3"/>
    <row r="9918" x14ac:dyDescent="0.3"/>
    <row r="9919" x14ac:dyDescent="0.3"/>
    <row r="9920" x14ac:dyDescent="0.3"/>
    <row r="9921" x14ac:dyDescent="0.3"/>
    <row r="9922" x14ac:dyDescent="0.3"/>
    <row r="9923" x14ac:dyDescent="0.3"/>
    <row r="9924" x14ac:dyDescent="0.3"/>
    <row r="9925" x14ac:dyDescent="0.3"/>
    <row r="9926" x14ac:dyDescent="0.3"/>
    <row r="9927" x14ac:dyDescent="0.3"/>
    <row r="9928" x14ac:dyDescent="0.3"/>
    <row r="9929" x14ac:dyDescent="0.3"/>
    <row r="9930" x14ac:dyDescent="0.3"/>
    <row r="9931" x14ac:dyDescent="0.3"/>
    <row r="9932" x14ac:dyDescent="0.3"/>
    <row r="9933" x14ac:dyDescent="0.3"/>
    <row r="9934" x14ac:dyDescent="0.3"/>
    <row r="9935" x14ac:dyDescent="0.3"/>
    <row r="9936" x14ac:dyDescent="0.3"/>
    <row r="9937" x14ac:dyDescent="0.3"/>
    <row r="9938" x14ac:dyDescent="0.3"/>
    <row r="9939" x14ac:dyDescent="0.3"/>
    <row r="9940" x14ac:dyDescent="0.3"/>
    <row r="9941" x14ac:dyDescent="0.3"/>
    <row r="9942" x14ac:dyDescent="0.3"/>
    <row r="9943" x14ac:dyDescent="0.3"/>
    <row r="9944" x14ac:dyDescent="0.3"/>
    <row r="9945" x14ac:dyDescent="0.3"/>
    <row r="9946" x14ac:dyDescent="0.3"/>
    <row r="9947" x14ac:dyDescent="0.3"/>
    <row r="9948" x14ac:dyDescent="0.3"/>
    <row r="9949" x14ac:dyDescent="0.3"/>
    <row r="9950" x14ac:dyDescent="0.3"/>
    <row r="9951" x14ac:dyDescent="0.3"/>
    <row r="9952" x14ac:dyDescent="0.3"/>
    <row r="9953" x14ac:dyDescent="0.3"/>
    <row r="9954" x14ac:dyDescent="0.3"/>
    <row r="9955" x14ac:dyDescent="0.3"/>
    <row r="9956" x14ac:dyDescent="0.3"/>
    <row r="9957" x14ac:dyDescent="0.3"/>
    <row r="9958" x14ac:dyDescent="0.3"/>
    <row r="9959" x14ac:dyDescent="0.3"/>
    <row r="9960" x14ac:dyDescent="0.3"/>
    <row r="9961" x14ac:dyDescent="0.3"/>
    <row r="9962" x14ac:dyDescent="0.3"/>
    <row r="9963" x14ac:dyDescent="0.3"/>
    <row r="9964" x14ac:dyDescent="0.3"/>
    <row r="9965" x14ac:dyDescent="0.3"/>
    <row r="9966" x14ac:dyDescent="0.3"/>
    <row r="9967" x14ac:dyDescent="0.3"/>
    <row r="9968" x14ac:dyDescent="0.3"/>
    <row r="9969" x14ac:dyDescent="0.3"/>
    <row r="9970" x14ac:dyDescent="0.3"/>
    <row r="9971" x14ac:dyDescent="0.3"/>
    <row r="9972" x14ac:dyDescent="0.3"/>
    <row r="9973" x14ac:dyDescent="0.3"/>
    <row r="9974" x14ac:dyDescent="0.3"/>
    <row r="9975" x14ac:dyDescent="0.3"/>
    <row r="9976" x14ac:dyDescent="0.3"/>
    <row r="9977" x14ac:dyDescent="0.3"/>
    <row r="9978" x14ac:dyDescent="0.3"/>
    <row r="9979" x14ac:dyDescent="0.3"/>
    <row r="9980" x14ac:dyDescent="0.3"/>
    <row r="9981" x14ac:dyDescent="0.3"/>
    <row r="9982" x14ac:dyDescent="0.3"/>
    <row r="9983" x14ac:dyDescent="0.3"/>
    <row r="9984" x14ac:dyDescent="0.3"/>
    <row r="9985" x14ac:dyDescent="0.3"/>
    <row r="9986" x14ac:dyDescent="0.3"/>
    <row r="9987" x14ac:dyDescent="0.3"/>
    <row r="9988" x14ac:dyDescent="0.3"/>
    <row r="9989" x14ac:dyDescent="0.3"/>
    <row r="9990" x14ac:dyDescent="0.3"/>
    <row r="9991" x14ac:dyDescent="0.3"/>
    <row r="9992" x14ac:dyDescent="0.3"/>
    <row r="9993" x14ac:dyDescent="0.3"/>
    <row r="9994" x14ac:dyDescent="0.3"/>
    <row r="9995" x14ac:dyDescent="0.3"/>
    <row r="9996" x14ac:dyDescent="0.3"/>
    <row r="9997" x14ac:dyDescent="0.3"/>
    <row r="9998" x14ac:dyDescent="0.3"/>
    <row r="9999" x14ac:dyDescent="0.3"/>
    <row r="10000" x14ac:dyDescent="0.3"/>
    <row r="10001" x14ac:dyDescent="0.3"/>
    <row r="10002" x14ac:dyDescent="0.3"/>
    <row r="10003" x14ac:dyDescent="0.3"/>
    <row r="10004" x14ac:dyDescent="0.3"/>
    <row r="10005" x14ac:dyDescent="0.3"/>
    <row r="10006" x14ac:dyDescent="0.3"/>
    <row r="10007" x14ac:dyDescent="0.3"/>
    <row r="10008" x14ac:dyDescent="0.3"/>
    <row r="10009" x14ac:dyDescent="0.3"/>
    <row r="10010" x14ac:dyDescent="0.3"/>
    <row r="10011" x14ac:dyDescent="0.3"/>
    <row r="10012" x14ac:dyDescent="0.3"/>
    <row r="10013" x14ac:dyDescent="0.3"/>
    <row r="10014" x14ac:dyDescent="0.3"/>
    <row r="10015" x14ac:dyDescent="0.3"/>
    <row r="10016" x14ac:dyDescent="0.3"/>
    <row r="10017" x14ac:dyDescent="0.3"/>
    <row r="10018" x14ac:dyDescent="0.3"/>
    <row r="10019" x14ac:dyDescent="0.3"/>
    <row r="10020" x14ac:dyDescent="0.3"/>
    <row r="10021" x14ac:dyDescent="0.3"/>
    <row r="10022" x14ac:dyDescent="0.3"/>
    <row r="10023" x14ac:dyDescent="0.3"/>
    <row r="10024" x14ac:dyDescent="0.3"/>
    <row r="10025" x14ac:dyDescent="0.3"/>
    <row r="10026" x14ac:dyDescent="0.3"/>
    <row r="10027" x14ac:dyDescent="0.3"/>
    <row r="10028" x14ac:dyDescent="0.3"/>
    <row r="10029" x14ac:dyDescent="0.3"/>
    <row r="10030" x14ac:dyDescent="0.3"/>
    <row r="10031" x14ac:dyDescent="0.3"/>
    <row r="10032" x14ac:dyDescent="0.3"/>
    <row r="10033" x14ac:dyDescent="0.3"/>
    <row r="10034" x14ac:dyDescent="0.3"/>
    <row r="10035" x14ac:dyDescent="0.3"/>
    <row r="10036" x14ac:dyDescent="0.3"/>
    <row r="10037" x14ac:dyDescent="0.3"/>
    <row r="10038" x14ac:dyDescent="0.3"/>
    <row r="10039" x14ac:dyDescent="0.3"/>
    <row r="10040" x14ac:dyDescent="0.3"/>
    <row r="10041" x14ac:dyDescent="0.3"/>
    <row r="10042" x14ac:dyDescent="0.3"/>
    <row r="10043" x14ac:dyDescent="0.3"/>
    <row r="10044" x14ac:dyDescent="0.3"/>
    <row r="10045" x14ac:dyDescent="0.3"/>
    <row r="10046" x14ac:dyDescent="0.3"/>
    <row r="10047" x14ac:dyDescent="0.3"/>
    <row r="10048" x14ac:dyDescent="0.3"/>
    <row r="10049" x14ac:dyDescent="0.3"/>
    <row r="10050" x14ac:dyDescent="0.3"/>
    <row r="10051" x14ac:dyDescent="0.3"/>
    <row r="10052" x14ac:dyDescent="0.3"/>
    <row r="10053" x14ac:dyDescent="0.3"/>
    <row r="10054" x14ac:dyDescent="0.3"/>
    <row r="10055" x14ac:dyDescent="0.3"/>
    <row r="10056" x14ac:dyDescent="0.3"/>
    <row r="10057" x14ac:dyDescent="0.3"/>
    <row r="10058" x14ac:dyDescent="0.3"/>
    <row r="10059" x14ac:dyDescent="0.3"/>
    <row r="10060" x14ac:dyDescent="0.3"/>
    <row r="10061" x14ac:dyDescent="0.3"/>
    <row r="10062" x14ac:dyDescent="0.3"/>
    <row r="10063" x14ac:dyDescent="0.3"/>
    <row r="10064" x14ac:dyDescent="0.3"/>
    <row r="10065" x14ac:dyDescent="0.3"/>
    <row r="10066" x14ac:dyDescent="0.3"/>
    <row r="10067" x14ac:dyDescent="0.3"/>
    <row r="10068" x14ac:dyDescent="0.3"/>
    <row r="10069" x14ac:dyDescent="0.3"/>
    <row r="10070" x14ac:dyDescent="0.3"/>
    <row r="10071" x14ac:dyDescent="0.3"/>
    <row r="10072" x14ac:dyDescent="0.3"/>
    <row r="10073" x14ac:dyDescent="0.3"/>
    <row r="10074" x14ac:dyDescent="0.3"/>
    <row r="10075" x14ac:dyDescent="0.3"/>
    <row r="10076" x14ac:dyDescent="0.3"/>
    <row r="10077" x14ac:dyDescent="0.3"/>
    <row r="10078" x14ac:dyDescent="0.3"/>
    <row r="10079" x14ac:dyDescent="0.3"/>
    <row r="10080" x14ac:dyDescent="0.3"/>
    <row r="10081" x14ac:dyDescent="0.3"/>
    <row r="10082" x14ac:dyDescent="0.3"/>
    <row r="10083" x14ac:dyDescent="0.3"/>
    <row r="10084" x14ac:dyDescent="0.3"/>
    <row r="10085" x14ac:dyDescent="0.3"/>
    <row r="10086" x14ac:dyDescent="0.3"/>
    <row r="10087" x14ac:dyDescent="0.3"/>
    <row r="10088" x14ac:dyDescent="0.3"/>
    <row r="10089" x14ac:dyDescent="0.3"/>
    <row r="10090" x14ac:dyDescent="0.3"/>
    <row r="10091" x14ac:dyDescent="0.3"/>
    <row r="10092" x14ac:dyDescent="0.3"/>
    <row r="10093" x14ac:dyDescent="0.3"/>
    <row r="10094" x14ac:dyDescent="0.3"/>
    <row r="10095" x14ac:dyDescent="0.3"/>
    <row r="10096" x14ac:dyDescent="0.3"/>
    <row r="10097" x14ac:dyDescent="0.3"/>
    <row r="10098" x14ac:dyDescent="0.3"/>
    <row r="10099" x14ac:dyDescent="0.3"/>
    <row r="10100" x14ac:dyDescent="0.3"/>
    <row r="10101" x14ac:dyDescent="0.3"/>
    <row r="10102" x14ac:dyDescent="0.3"/>
    <row r="10103" x14ac:dyDescent="0.3"/>
    <row r="10104" x14ac:dyDescent="0.3"/>
    <row r="10105" x14ac:dyDescent="0.3"/>
    <row r="10106" x14ac:dyDescent="0.3"/>
    <row r="10107" x14ac:dyDescent="0.3"/>
    <row r="10108" x14ac:dyDescent="0.3"/>
    <row r="10109" x14ac:dyDescent="0.3"/>
    <row r="10110" x14ac:dyDescent="0.3"/>
    <row r="10111" x14ac:dyDescent="0.3"/>
    <row r="10112" x14ac:dyDescent="0.3"/>
    <row r="10113" x14ac:dyDescent="0.3"/>
    <row r="10114" x14ac:dyDescent="0.3"/>
    <row r="10115" x14ac:dyDescent="0.3"/>
    <row r="10116" x14ac:dyDescent="0.3"/>
    <row r="10117" x14ac:dyDescent="0.3"/>
    <row r="10118" x14ac:dyDescent="0.3"/>
    <row r="10119" x14ac:dyDescent="0.3"/>
    <row r="10120" x14ac:dyDescent="0.3"/>
    <row r="10121" x14ac:dyDescent="0.3"/>
    <row r="10122" x14ac:dyDescent="0.3"/>
    <row r="10123" x14ac:dyDescent="0.3"/>
    <row r="10124" x14ac:dyDescent="0.3"/>
    <row r="10125" x14ac:dyDescent="0.3"/>
    <row r="10126" x14ac:dyDescent="0.3"/>
    <row r="10127" x14ac:dyDescent="0.3"/>
    <row r="10128" x14ac:dyDescent="0.3"/>
    <row r="10129" x14ac:dyDescent="0.3"/>
    <row r="10130" x14ac:dyDescent="0.3"/>
    <row r="10131" x14ac:dyDescent="0.3"/>
    <row r="10132" x14ac:dyDescent="0.3"/>
    <row r="10133" x14ac:dyDescent="0.3"/>
    <row r="10134" x14ac:dyDescent="0.3"/>
    <row r="10135" x14ac:dyDescent="0.3"/>
    <row r="10136" x14ac:dyDescent="0.3"/>
    <row r="10137" x14ac:dyDescent="0.3"/>
    <row r="10138" x14ac:dyDescent="0.3"/>
    <row r="10139" x14ac:dyDescent="0.3"/>
    <row r="10140" x14ac:dyDescent="0.3"/>
    <row r="10141" x14ac:dyDescent="0.3"/>
    <row r="10142" x14ac:dyDescent="0.3"/>
    <row r="10143" x14ac:dyDescent="0.3"/>
    <row r="10144" x14ac:dyDescent="0.3"/>
    <row r="10145" x14ac:dyDescent="0.3"/>
    <row r="10146" x14ac:dyDescent="0.3"/>
    <row r="10147" x14ac:dyDescent="0.3"/>
    <row r="10148" x14ac:dyDescent="0.3"/>
    <row r="10149" x14ac:dyDescent="0.3"/>
    <row r="10150" x14ac:dyDescent="0.3"/>
    <row r="10151" x14ac:dyDescent="0.3"/>
    <row r="10152" x14ac:dyDescent="0.3"/>
    <row r="10153" x14ac:dyDescent="0.3"/>
    <row r="10154" x14ac:dyDescent="0.3"/>
    <row r="10155" x14ac:dyDescent="0.3"/>
    <row r="10156" x14ac:dyDescent="0.3"/>
    <row r="10157" x14ac:dyDescent="0.3"/>
    <row r="10158" x14ac:dyDescent="0.3"/>
    <row r="10159" x14ac:dyDescent="0.3"/>
    <row r="10160" x14ac:dyDescent="0.3"/>
    <row r="10161" x14ac:dyDescent="0.3"/>
    <row r="10162" x14ac:dyDescent="0.3"/>
    <row r="10163" x14ac:dyDescent="0.3"/>
    <row r="10164" x14ac:dyDescent="0.3"/>
    <row r="10165" x14ac:dyDescent="0.3"/>
    <row r="10166" x14ac:dyDescent="0.3"/>
    <row r="10167" x14ac:dyDescent="0.3"/>
    <row r="10168" x14ac:dyDescent="0.3"/>
    <row r="10169" x14ac:dyDescent="0.3"/>
    <row r="10170" x14ac:dyDescent="0.3"/>
    <row r="10171" x14ac:dyDescent="0.3"/>
    <row r="10172" x14ac:dyDescent="0.3"/>
    <row r="10173" x14ac:dyDescent="0.3"/>
    <row r="10174" x14ac:dyDescent="0.3"/>
    <row r="10175" x14ac:dyDescent="0.3"/>
    <row r="10176" x14ac:dyDescent="0.3"/>
    <row r="10177" x14ac:dyDescent="0.3"/>
    <row r="10178" x14ac:dyDescent="0.3"/>
    <row r="10179" x14ac:dyDescent="0.3"/>
    <row r="10180" x14ac:dyDescent="0.3"/>
    <row r="10181" x14ac:dyDescent="0.3"/>
    <row r="10182" x14ac:dyDescent="0.3"/>
    <row r="10183" x14ac:dyDescent="0.3"/>
    <row r="10184" x14ac:dyDescent="0.3"/>
    <row r="10185" x14ac:dyDescent="0.3"/>
    <row r="10186" x14ac:dyDescent="0.3"/>
    <row r="10187" x14ac:dyDescent="0.3"/>
    <row r="10188" x14ac:dyDescent="0.3"/>
    <row r="10189" x14ac:dyDescent="0.3"/>
    <row r="10190" x14ac:dyDescent="0.3"/>
    <row r="10191" x14ac:dyDescent="0.3"/>
    <row r="10192" x14ac:dyDescent="0.3"/>
    <row r="10193" x14ac:dyDescent="0.3"/>
    <row r="10194" x14ac:dyDescent="0.3"/>
    <row r="10195" x14ac:dyDescent="0.3"/>
    <row r="10196" x14ac:dyDescent="0.3"/>
    <row r="10197" x14ac:dyDescent="0.3"/>
    <row r="10198" x14ac:dyDescent="0.3"/>
    <row r="10199" x14ac:dyDescent="0.3"/>
    <row r="10200" x14ac:dyDescent="0.3"/>
    <row r="10201" x14ac:dyDescent="0.3"/>
    <row r="10202" x14ac:dyDescent="0.3"/>
    <row r="10203" x14ac:dyDescent="0.3"/>
    <row r="10204" x14ac:dyDescent="0.3"/>
    <row r="10205" x14ac:dyDescent="0.3"/>
    <row r="10206" x14ac:dyDescent="0.3"/>
    <row r="10207" x14ac:dyDescent="0.3"/>
    <row r="10208" x14ac:dyDescent="0.3"/>
    <row r="10209" x14ac:dyDescent="0.3"/>
    <row r="10210" x14ac:dyDescent="0.3"/>
    <row r="10211" x14ac:dyDescent="0.3"/>
    <row r="10212" x14ac:dyDescent="0.3"/>
    <row r="10213" x14ac:dyDescent="0.3"/>
    <row r="10214" x14ac:dyDescent="0.3"/>
    <row r="10215" x14ac:dyDescent="0.3"/>
    <row r="10216" x14ac:dyDescent="0.3"/>
    <row r="10217" x14ac:dyDescent="0.3"/>
    <row r="10218" x14ac:dyDescent="0.3"/>
    <row r="10219" x14ac:dyDescent="0.3"/>
    <row r="10220" x14ac:dyDescent="0.3"/>
    <row r="10221" x14ac:dyDescent="0.3"/>
    <row r="10222" x14ac:dyDescent="0.3"/>
    <row r="10223" x14ac:dyDescent="0.3"/>
    <row r="10224" x14ac:dyDescent="0.3"/>
    <row r="10225" x14ac:dyDescent="0.3"/>
    <row r="10226" x14ac:dyDescent="0.3"/>
    <row r="10227" x14ac:dyDescent="0.3"/>
    <row r="10228" x14ac:dyDescent="0.3"/>
    <row r="10229" x14ac:dyDescent="0.3"/>
    <row r="10230" x14ac:dyDescent="0.3"/>
    <row r="10231" x14ac:dyDescent="0.3"/>
    <row r="10232" x14ac:dyDescent="0.3"/>
    <row r="10233" x14ac:dyDescent="0.3"/>
    <row r="10234" x14ac:dyDescent="0.3"/>
    <row r="10235" x14ac:dyDescent="0.3"/>
    <row r="10236" x14ac:dyDescent="0.3"/>
    <row r="10237" x14ac:dyDescent="0.3"/>
    <row r="10238" x14ac:dyDescent="0.3"/>
    <row r="10239" x14ac:dyDescent="0.3"/>
    <row r="10240" x14ac:dyDescent="0.3"/>
    <row r="10241" x14ac:dyDescent="0.3"/>
    <row r="10242" x14ac:dyDescent="0.3"/>
    <row r="10243" x14ac:dyDescent="0.3"/>
    <row r="10244" x14ac:dyDescent="0.3"/>
    <row r="10245" x14ac:dyDescent="0.3"/>
    <row r="10246" x14ac:dyDescent="0.3"/>
    <row r="10247" x14ac:dyDescent="0.3"/>
    <row r="10248" x14ac:dyDescent="0.3"/>
    <row r="10249" x14ac:dyDescent="0.3"/>
    <row r="10250" x14ac:dyDescent="0.3"/>
    <row r="10251" x14ac:dyDescent="0.3"/>
    <row r="10252" x14ac:dyDescent="0.3"/>
    <row r="10253" x14ac:dyDescent="0.3"/>
    <row r="10254" x14ac:dyDescent="0.3"/>
    <row r="10255" x14ac:dyDescent="0.3"/>
    <row r="10256" x14ac:dyDescent="0.3"/>
    <row r="10257" x14ac:dyDescent="0.3"/>
    <row r="10258" x14ac:dyDescent="0.3"/>
    <row r="10259" x14ac:dyDescent="0.3"/>
    <row r="10260" x14ac:dyDescent="0.3"/>
    <row r="10261" x14ac:dyDescent="0.3"/>
    <row r="10262" x14ac:dyDescent="0.3"/>
    <row r="10263" x14ac:dyDescent="0.3"/>
    <row r="10264" x14ac:dyDescent="0.3"/>
    <row r="10265" x14ac:dyDescent="0.3"/>
    <row r="10266" x14ac:dyDescent="0.3"/>
    <row r="10267" x14ac:dyDescent="0.3"/>
    <row r="10268" x14ac:dyDescent="0.3"/>
    <row r="10269" x14ac:dyDescent="0.3"/>
    <row r="10270" x14ac:dyDescent="0.3"/>
    <row r="10271" x14ac:dyDescent="0.3"/>
    <row r="10272" x14ac:dyDescent="0.3"/>
    <row r="10273" x14ac:dyDescent="0.3"/>
    <row r="10274" x14ac:dyDescent="0.3"/>
    <row r="10275" x14ac:dyDescent="0.3"/>
    <row r="10276" x14ac:dyDescent="0.3"/>
    <row r="10277" x14ac:dyDescent="0.3"/>
    <row r="10278" x14ac:dyDescent="0.3"/>
    <row r="10279" x14ac:dyDescent="0.3"/>
    <row r="10280" x14ac:dyDescent="0.3"/>
    <row r="10281" x14ac:dyDescent="0.3"/>
    <row r="10282" x14ac:dyDescent="0.3"/>
    <row r="10283" x14ac:dyDescent="0.3"/>
    <row r="10284" x14ac:dyDescent="0.3"/>
    <row r="10285" x14ac:dyDescent="0.3"/>
    <row r="10286" x14ac:dyDescent="0.3"/>
    <row r="10287" x14ac:dyDescent="0.3"/>
    <row r="10288" x14ac:dyDescent="0.3"/>
    <row r="10289" x14ac:dyDescent="0.3"/>
    <row r="10290" x14ac:dyDescent="0.3"/>
    <row r="10291" x14ac:dyDescent="0.3"/>
    <row r="10292" x14ac:dyDescent="0.3"/>
    <row r="10293" x14ac:dyDescent="0.3"/>
    <row r="10294" x14ac:dyDescent="0.3"/>
    <row r="10295" x14ac:dyDescent="0.3"/>
    <row r="10296" x14ac:dyDescent="0.3"/>
    <row r="10297" x14ac:dyDescent="0.3"/>
    <row r="10298" x14ac:dyDescent="0.3"/>
    <row r="10299" x14ac:dyDescent="0.3"/>
    <row r="10300" x14ac:dyDescent="0.3"/>
    <row r="10301" x14ac:dyDescent="0.3"/>
    <row r="10302" x14ac:dyDescent="0.3"/>
    <row r="10303" x14ac:dyDescent="0.3"/>
    <row r="10304" x14ac:dyDescent="0.3"/>
    <row r="10305" x14ac:dyDescent="0.3"/>
    <row r="10306" x14ac:dyDescent="0.3"/>
    <row r="10307" x14ac:dyDescent="0.3"/>
    <row r="10308" x14ac:dyDescent="0.3"/>
    <row r="10309" x14ac:dyDescent="0.3"/>
    <row r="10310" x14ac:dyDescent="0.3"/>
    <row r="10311" x14ac:dyDescent="0.3"/>
    <row r="10312" x14ac:dyDescent="0.3"/>
    <row r="10313" x14ac:dyDescent="0.3"/>
    <row r="10314" x14ac:dyDescent="0.3"/>
    <row r="10315" x14ac:dyDescent="0.3"/>
    <row r="10316" x14ac:dyDescent="0.3"/>
    <row r="10317" x14ac:dyDescent="0.3"/>
    <row r="10318" x14ac:dyDescent="0.3"/>
    <row r="10319" x14ac:dyDescent="0.3"/>
    <row r="10320" x14ac:dyDescent="0.3"/>
    <row r="10321" x14ac:dyDescent="0.3"/>
    <row r="10322" x14ac:dyDescent="0.3"/>
    <row r="10323" x14ac:dyDescent="0.3"/>
    <row r="10324" x14ac:dyDescent="0.3"/>
    <row r="10325" x14ac:dyDescent="0.3"/>
    <row r="10326" x14ac:dyDescent="0.3"/>
    <row r="10327" x14ac:dyDescent="0.3"/>
    <row r="10328" x14ac:dyDescent="0.3"/>
    <row r="10329" x14ac:dyDescent="0.3"/>
    <row r="10330" x14ac:dyDescent="0.3"/>
    <row r="10331" x14ac:dyDescent="0.3"/>
    <row r="10332" x14ac:dyDescent="0.3"/>
    <row r="10333" x14ac:dyDescent="0.3"/>
    <row r="10334" x14ac:dyDescent="0.3"/>
    <row r="10335" x14ac:dyDescent="0.3"/>
    <row r="10336" x14ac:dyDescent="0.3"/>
    <row r="10337" x14ac:dyDescent="0.3"/>
    <row r="10338" x14ac:dyDescent="0.3"/>
    <row r="10339" x14ac:dyDescent="0.3"/>
    <row r="10340" x14ac:dyDescent="0.3"/>
    <row r="10341" x14ac:dyDescent="0.3"/>
    <row r="10342" x14ac:dyDescent="0.3"/>
    <row r="10343" x14ac:dyDescent="0.3"/>
    <row r="10344" x14ac:dyDescent="0.3"/>
    <row r="10345" x14ac:dyDescent="0.3"/>
    <row r="10346" x14ac:dyDescent="0.3"/>
    <row r="10347" x14ac:dyDescent="0.3"/>
    <row r="10348" x14ac:dyDescent="0.3"/>
    <row r="10349" x14ac:dyDescent="0.3"/>
    <row r="10350" x14ac:dyDescent="0.3"/>
    <row r="10351" x14ac:dyDescent="0.3"/>
    <row r="10352" x14ac:dyDescent="0.3"/>
    <row r="10353" x14ac:dyDescent="0.3"/>
    <row r="10354" x14ac:dyDescent="0.3"/>
    <row r="10355" x14ac:dyDescent="0.3"/>
    <row r="10356" x14ac:dyDescent="0.3"/>
    <row r="10357" x14ac:dyDescent="0.3"/>
    <row r="10358" x14ac:dyDescent="0.3"/>
    <row r="10359" x14ac:dyDescent="0.3"/>
    <row r="10360" x14ac:dyDescent="0.3"/>
    <row r="10361" x14ac:dyDescent="0.3"/>
    <row r="10362" x14ac:dyDescent="0.3"/>
    <row r="10363" x14ac:dyDescent="0.3"/>
    <row r="10364" x14ac:dyDescent="0.3"/>
    <row r="10365" x14ac:dyDescent="0.3"/>
    <row r="10366" x14ac:dyDescent="0.3"/>
    <row r="10367" x14ac:dyDescent="0.3"/>
    <row r="10368" x14ac:dyDescent="0.3"/>
    <row r="10369" x14ac:dyDescent="0.3"/>
    <row r="10370" x14ac:dyDescent="0.3"/>
    <row r="10371" x14ac:dyDescent="0.3"/>
    <row r="10372" x14ac:dyDescent="0.3"/>
    <row r="10373" x14ac:dyDescent="0.3"/>
    <row r="10374" x14ac:dyDescent="0.3"/>
    <row r="10375" x14ac:dyDescent="0.3"/>
    <row r="10376" x14ac:dyDescent="0.3"/>
    <row r="10377" x14ac:dyDescent="0.3"/>
    <row r="10378" x14ac:dyDescent="0.3"/>
    <row r="10379" x14ac:dyDescent="0.3"/>
    <row r="10380" x14ac:dyDescent="0.3"/>
    <row r="10381" x14ac:dyDescent="0.3"/>
    <row r="10382" x14ac:dyDescent="0.3"/>
    <row r="10383" x14ac:dyDescent="0.3"/>
    <row r="10384" x14ac:dyDescent="0.3"/>
    <row r="10385" x14ac:dyDescent="0.3"/>
    <row r="10386" x14ac:dyDescent="0.3"/>
    <row r="10387" x14ac:dyDescent="0.3"/>
    <row r="10388" x14ac:dyDescent="0.3"/>
    <row r="10389" x14ac:dyDescent="0.3"/>
    <row r="10390" x14ac:dyDescent="0.3"/>
    <row r="10391" x14ac:dyDescent="0.3"/>
    <row r="10392" x14ac:dyDescent="0.3"/>
    <row r="10393" x14ac:dyDescent="0.3"/>
    <row r="10394" x14ac:dyDescent="0.3"/>
    <row r="10395" x14ac:dyDescent="0.3"/>
    <row r="10396" x14ac:dyDescent="0.3"/>
    <row r="10397" x14ac:dyDescent="0.3"/>
    <row r="10398" x14ac:dyDescent="0.3"/>
    <row r="10399" x14ac:dyDescent="0.3"/>
    <row r="10400" x14ac:dyDescent="0.3"/>
    <row r="10401" x14ac:dyDescent="0.3"/>
    <row r="10402" x14ac:dyDescent="0.3"/>
    <row r="10403" x14ac:dyDescent="0.3"/>
    <row r="10404" x14ac:dyDescent="0.3"/>
    <row r="10405" x14ac:dyDescent="0.3"/>
    <row r="10406" x14ac:dyDescent="0.3"/>
    <row r="10407" x14ac:dyDescent="0.3"/>
    <row r="10408" x14ac:dyDescent="0.3"/>
    <row r="10409" x14ac:dyDescent="0.3"/>
    <row r="10410" x14ac:dyDescent="0.3"/>
    <row r="10411" x14ac:dyDescent="0.3"/>
    <row r="10412" x14ac:dyDescent="0.3"/>
    <row r="10413" x14ac:dyDescent="0.3"/>
    <row r="10414" x14ac:dyDescent="0.3"/>
    <row r="10415" x14ac:dyDescent="0.3"/>
    <row r="10416" x14ac:dyDescent="0.3"/>
    <row r="10417" x14ac:dyDescent="0.3"/>
    <row r="10418" x14ac:dyDescent="0.3"/>
    <row r="10419" x14ac:dyDescent="0.3"/>
    <row r="10420" x14ac:dyDescent="0.3"/>
    <row r="10421" x14ac:dyDescent="0.3"/>
    <row r="10422" x14ac:dyDescent="0.3"/>
    <row r="10423" x14ac:dyDescent="0.3"/>
    <row r="10424" x14ac:dyDescent="0.3"/>
    <row r="10425" x14ac:dyDescent="0.3"/>
    <row r="10426" x14ac:dyDescent="0.3"/>
    <row r="10427" x14ac:dyDescent="0.3"/>
    <row r="10428" x14ac:dyDescent="0.3"/>
    <row r="10429" x14ac:dyDescent="0.3"/>
    <row r="10430" x14ac:dyDescent="0.3"/>
    <row r="10431" x14ac:dyDescent="0.3"/>
    <row r="10432" x14ac:dyDescent="0.3"/>
    <row r="10433" x14ac:dyDescent="0.3"/>
    <row r="10434" x14ac:dyDescent="0.3"/>
    <row r="10435" x14ac:dyDescent="0.3"/>
    <row r="10436" x14ac:dyDescent="0.3"/>
    <row r="10437" x14ac:dyDescent="0.3"/>
    <row r="10438" x14ac:dyDescent="0.3"/>
    <row r="10439" x14ac:dyDescent="0.3"/>
    <row r="10440" x14ac:dyDescent="0.3"/>
    <row r="10441" x14ac:dyDescent="0.3"/>
    <row r="10442" x14ac:dyDescent="0.3"/>
    <row r="10443" x14ac:dyDescent="0.3"/>
    <row r="10444" x14ac:dyDescent="0.3"/>
    <row r="10445" x14ac:dyDescent="0.3"/>
    <row r="10446" x14ac:dyDescent="0.3"/>
    <row r="10447" x14ac:dyDescent="0.3"/>
    <row r="10448" x14ac:dyDescent="0.3"/>
    <row r="10449" x14ac:dyDescent="0.3"/>
    <row r="10450" x14ac:dyDescent="0.3"/>
    <row r="10451" x14ac:dyDescent="0.3"/>
    <row r="10452" x14ac:dyDescent="0.3"/>
    <row r="10453" x14ac:dyDescent="0.3"/>
    <row r="10454" x14ac:dyDescent="0.3"/>
    <row r="10455" x14ac:dyDescent="0.3"/>
    <row r="10456" x14ac:dyDescent="0.3"/>
    <row r="10457" x14ac:dyDescent="0.3"/>
    <row r="10458" x14ac:dyDescent="0.3"/>
    <row r="10459" x14ac:dyDescent="0.3"/>
    <row r="10460" x14ac:dyDescent="0.3"/>
    <row r="10461" x14ac:dyDescent="0.3"/>
    <row r="10462" x14ac:dyDescent="0.3"/>
    <row r="10463" x14ac:dyDescent="0.3"/>
    <row r="10464" x14ac:dyDescent="0.3"/>
    <row r="10465" x14ac:dyDescent="0.3"/>
    <row r="10466" x14ac:dyDescent="0.3"/>
    <row r="10467" x14ac:dyDescent="0.3"/>
    <row r="10468" x14ac:dyDescent="0.3"/>
    <row r="10469" x14ac:dyDescent="0.3"/>
    <row r="10470" x14ac:dyDescent="0.3"/>
    <row r="10471" x14ac:dyDescent="0.3"/>
    <row r="10472" x14ac:dyDescent="0.3"/>
    <row r="10473" x14ac:dyDescent="0.3"/>
    <row r="10474" x14ac:dyDescent="0.3"/>
    <row r="10475" x14ac:dyDescent="0.3"/>
    <row r="10476" x14ac:dyDescent="0.3"/>
    <row r="10477" x14ac:dyDescent="0.3"/>
    <row r="10478" x14ac:dyDescent="0.3"/>
    <row r="10479" x14ac:dyDescent="0.3"/>
    <row r="10480" x14ac:dyDescent="0.3"/>
    <row r="10481" x14ac:dyDescent="0.3"/>
    <row r="10482" x14ac:dyDescent="0.3"/>
    <row r="10483" x14ac:dyDescent="0.3"/>
    <row r="10484" x14ac:dyDescent="0.3"/>
    <row r="10485" x14ac:dyDescent="0.3"/>
    <row r="10486" x14ac:dyDescent="0.3"/>
    <row r="10487" x14ac:dyDescent="0.3"/>
    <row r="10488" x14ac:dyDescent="0.3"/>
    <row r="10489" x14ac:dyDescent="0.3"/>
    <row r="10490" x14ac:dyDescent="0.3"/>
    <row r="10491" x14ac:dyDescent="0.3"/>
    <row r="10492" x14ac:dyDescent="0.3"/>
    <row r="10493" x14ac:dyDescent="0.3"/>
    <row r="10494" x14ac:dyDescent="0.3"/>
    <row r="10495" x14ac:dyDescent="0.3"/>
    <row r="10496" x14ac:dyDescent="0.3"/>
    <row r="10497" x14ac:dyDescent="0.3"/>
    <row r="10498" x14ac:dyDescent="0.3"/>
    <row r="10499" x14ac:dyDescent="0.3"/>
    <row r="10500" x14ac:dyDescent="0.3"/>
    <row r="10501" x14ac:dyDescent="0.3"/>
    <row r="10502" x14ac:dyDescent="0.3"/>
    <row r="10503" x14ac:dyDescent="0.3"/>
    <row r="10504" x14ac:dyDescent="0.3"/>
    <row r="10505" x14ac:dyDescent="0.3"/>
    <row r="10506" x14ac:dyDescent="0.3"/>
    <row r="10507" x14ac:dyDescent="0.3"/>
    <row r="10508" x14ac:dyDescent="0.3"/>
    <row r="10509" x14ac:dyDescent="0.3"/>
    <row r="10510" x14ac:dyDescent="0.3"/>
    <row r="10511" x14ac:dyDescent="0.3"/>
    <row r="10512" x14ac:dyDescent="0.3"/>
    <row r="10513" x14ac:dyDescent="0.3"/>
    <row r="10514" x14ac:dyDescent="0.3"/>
    <row r="10515" x14ac:dyDescent="0.3"/>
    <row r="10516" x14ac:dyDescent="0.3"/>
    <row r="10517" x14ac:dyDescent="0.3"/>
    <row r="10518" x14ac:dyDescent="0.3"/>
    <row r="10519" x14ac:dyDescent="0.3"/>
    <row r="10520" x14ac:dyDescent="0.3"/>
    <row r="10521" x14ac:dyDescent="0.3"/>
    <row r="10522" x14ac:dyDescent="0.3"/>
    <row r="10523" x14ac:dyDescent="0.3"/>
    <row r="10524" x14ac:dyDescent="0.3"/>
    <row r="10525" x14ac:dyDescent="0.3"/>
    <row r="10526" x14ac:dyDescent="0.3"/>
    <row r="10527" x14ac:dyDescent="0.3"/>
    <row r="10528" x14ac:dyDescent="0.3"/>
    <row r="10529" x14ac:dyDescent="0.3"/>
    <row r="10530" x14ac:dyDescent="0.3"/>
    <row r="10531" x14ac:dyDescent="0.3"/>
    <row r="10532" x14ac:dyDescent="0.3"/>
    <row r="10533" x14ac:dyDescent="0.3"/>
    <row r="10534" x14ac:dyDescent="0.3"/>
    <row r="10535" x14ac:dyDescent="0.3"/>
    <row r="10536" x14ac:dyDescent="0.3"/>
    <row r="10537" x14ac:dyDescent="0.3"/>
    <row r="10538" x14ac:dyDescent="0.3"/>
    <row r="10539" x14ac:dyDescent="0.3"/>
    <row r="10540" x14ac:dyDescent="0.3"/>
    <row r="10541" x14ac:dyDescent="0.3"/>
    <row r="10542" x14ac:dyDescent="0.3"/>
    <row r="10543" x14ac:dyDescent="0.3"/>
    <row r="10544" x14ac:dyDescent="0.3"/>
    <row r="10545" x14ac:dyDescent="0.3"/>
    <row r="10546" x14ac:dyDescent="0.3"/>
    <row r="10547" x14ac:dyDescent="0.3"/>
    <row r="10548" x14ac:dyDescent="0.3"/>
    <row r="10549" x14ac:dyDescent="0.3"/>
    <row r="10550" x14ac:dyDescent="0.3"/>
    <row r="10551" x14ac:dyDescent="0.3"/>
    <row r="10552" x14ac:dyDescent="0.3"/>
    <row r="10553" x14ac:dyDescent="0.3"/>
    <row r="10554" x14ac:dyDescent="0.3"/>
    <row r="10555" x14ac:dyDescent="0.3"/>
    <row r="10556" x14ac:dyDescent="0.3"/>
    <row r="10557" x14ac:dyDescent="0.3"/>
    <row r="10558" x14ac:dyDescent="0.3"/>
    <row r="10559" x14ac:dyDescent="0.3"/>
    <row r="10560" x14ac:dyDescent="0.3"/>
    <row r="10561" x14ac:dyDescent="0.3"/>
    <row r="10562" x14ac:dyDescent="0.3"/>
    <row r="10563" x14ac:dyDescent="0.3"/>
    <row r="10564" x14ac:dyDescent="0.3"/>
    <row r="10565" x14ac:dyDescent="0.3"/>
    <row r="10566" x14ac:dyDescent="0.3"/>
    <row r="10567" x14ac:dyDescent="0.3"/>
    <row r="10568" x14ac:dyDescent="0.3"/>
    <row r="10569" x14ac:dyDescent="0.3"/>
    <row r="10570" x14ac:dyDescent="0.3"/>
    <row r="10571" x14ac:dyDescent="0.3"/>
    <row r="10572" x14ac:dyDescent="0.3"/>
    <row r="10573" x14ac:dyDescent="0.3"/>
    <row r="10574" x14ac:dyDescent="0.3"/>
    <row r="10575" x14ac:dyDescent="0.3"/>
    <row r="10576" x14ac:dyDescent="0.3"/>
    <row r="10577" x14ac:dyDescent="0.3"/>
    <row r="10578" x14ac:dyDescent="0.3"/>
    <row r="10579" x14ac:dyDescent="0.3"/>
    <row r="10580" x14ac:dyDescent="0.3"/>
    <row r="10581" x14ac:dyDescent="0.3"/>
    <row r="10582" x14ac:dyDescent="0.3"/>
    <row r="10583" x14ac:dyDescent="0.3"/>
    <row r="10584" x14ac:dyDescent="0.3"/>
    <row r="10585" x14ac:dyDescent="0.3"/>
    <row r="10586" x14ac:dyDescent="0.3"/>
    <row r="10587" x14ac:dyDescent="0.3"/>
    <row r="10588" x14ac:dyDescent="0.3"/>
    <row r="10589" x14ac:dyDescent="0.3"/>
    <row r="10590" x14ac:dyDescent="0.3"/>
    <row r="10591" x14ac:dyDescent="0.3"/>
    <row r="10592" x14ac:dyDescent="0.3"/>
    <row r="10593" x14ac:dyDescent="0.3"/>
    <row r="10594" x14ac:dyDescent="0.3"/>
    <row r="10595" x14ac:dyDescent="0.3"/>
    <row r="10596" x14ac:dyDescent="0.3"/>
    <row r="10597" x14ac:dyDescent="0.3"/>
    <row r="10598" x14ac:dyDescent="0.3"/>
    <row r="10599" x14ac:dyDescent="0.3"/>
    <row r="10600" x14ac:dyDescent="0.3"/>
    <row r="10601" x14ac:dyDescent="0.3"/>
    <row r="10602" x14ac:dyDescent="0.3"/>
    <row r="10603" x14ac:dyDescent="0.3"/>
    <row r="10604" x14ac:dyDescent="0.3"/>
    <row r="10605" x14ac:dyDescent="0.3"/>
    <row r="10606" x14ac:dyDescent="0.3"/>
    <row r="10607" x14ac:dyDescent="0.3"/>
    <row r="10608" x14ac:dyDescent="0.3"/>
    <row r="10609" x14ac:dyDescent="0.3"/>
    <row r="10610" x14ac:dyDescent="0.3"/>
    <row r="10611" x14ac:dyDescent="0.3"/>
    <row r="10612" x14ac:dyDescent="0.3"/>
    <row r="10613" x14ac:dyDescent="0.3"/>
    <row r="10614" x14ac:dyDescent="0.3"/>
    <row r="10615" x14ac:dyDescent="0.3"/>
    <row r="10616" x14ac:dyDescent="0.3"/>
    <row r="10617" x14ac:dyDescent="0.3"/>
    <row r="10618" x14ac:dyDescent="0.3"/>
    <row r="10619" x14ac:dyDescent="0.3"/>
    <row r="10620" x14ac:dyDescent="0.3"/>
    <row r="10621" x14ac:dyDescent="0.3"/>
    <row r="10622" x14ac:dyDescent="0.3"/>
    <row r="10623" x14ac:dyDescent="0.3"/>
    <row r="10624" x14ac:dyDescent="0.3"/>
    <row r="10625" x14ac:dyDescent="0.3"/>
    <row r="10626" x14ac:dyDescent="0.3"/>
    <row r="10627" x14ac:dyDescent="0.3"/>
    <row r="10628" x14ac:dyDescent="0.3"/>
    <row r="10629" x14ac:dyDescent="0.3"/>
    <row r="10630" x14ac:dyDescent="0.3"/>
    <row r="10631" x14ac:dyDescent="0.3"/>
    <row r="10632" x14ac:dyDescent="0.3"/>
    <row r="10633" x14ac:dyDescent="0.3"/>
    <row r="10634" x14ac:dyDescent="0.3"/>
    <row r="10635" x14ac:dyDescent="0.3"/>
    <row r="10636" x14ac:dyDescent="0.3"/>
    <row r="10637" x14ac:dyDescent="0.3"/>
    <row r="10638" x14ac:dyDescent="0.3"/>
    <row r="10639" x14ac:dyDescent="0.3"/>
    <row r="10640" x14ac:dyDescent="0.3"/>
    <row r="10641" x14ac:dyDescent="0.3"/>
    <row r="10642" x14ac:dyDescent="0.3"/>
    <row r="10643" x14ac:dyDescent="0.3"/>
    <row r="10644" x14ac:dyDescent="0.3"/>
    <row r="10645" x14ac:dyDescent="0.3"/>
    <row r="10646" x14ac:dyDescent="0.3"/>
    <row r="10647" x14ac:dyDescent="0.3"/>
    <row r="10648" x14ac:dyDescent="0.3"/>
    <row r="10649" x14ac:dyDescent="0.3"/>
    <row r="10650" x14ac:dyDescent="0.3"/>
    <row r="10651" x14ac:dyDescent="0.3"/>
    <row r="10652" x14ac:dyDescent="0.3"/>
    <row r="10653" x14ac:dyDescent="0.3"/>
    <row r="10654" x14ac:dyDescent="0.3"/>
    <row r="10655" x14ac:dyDescent="0.3"/>
    <row r="10656" x14ac:dyDescent="0.3"/>
    <row r="10657" x14ac:dyDescent="0.3"/>
    <row r="10658" x14ac:dyDescent="0.3"/>
    <row r="10659" x14ac:dyDescent="0.3"/>
    <row r="10660" x14ac:dyDescent="0.3"/>
    <row r="10661" x14ac:dyDescent="0.3"/>
    <row r="10662" x14ac:dyDescent="0.3"/>
    <row r="10663" x14ac:dyDescent="0.3"/>
    <row r="10664" x14ac:dyDescent="0.3"/>
    <row r="10665" x14ac:dyDescent="0.3"/>
    <row r="10666" x14ac:dyDescent="0.3"/>
    <row r="10667" x14ac:dyDescent="0.3"/>
    <row r="10668" x14ac:dyDescent="0.3"/>
    <row r="10669" x14ac:dyDescent="0.3"/>
    <row r="10670" x14ac:dyDescent="0.3"/>
    <row r="10671" x14ac:dyDescent="0.3"/>
    <row r="10672" x14ac:dyDescent="0.3"/>
    <row r="10673" x14ac:dyDescent="0.3"/>
    <row r="10674" x14ac:dyDescent="0.3"/>
    <row r="10675" x14ac:dyDescent="0.3"/>
    <row r="10676" x14ac:dyDescent="0.3"/>
    <row r="10677" x14ac:dyDescent="0.3"/>
    <row r="10678" x14ac:dyDescent="0.3"/>
    <row r="10679" x14ac:dyDescent="0.3"/>
    <row r="10680" x14ac:dyDescent="0.3"/>
    <row r="10681" x14ac:dyDescent="0.3"/>
    <row r="10682" x14ac:dyDescent="0.3"/>
    <row r="10683" x14ac:dyDescent="0.3"/>
    <row r="10684" x14ac:dyDescent="0.3"/>
    <row r="10685" x14ac:dyDescent="0.3"/>
    <row r="10686" x14ac:dyDescent="0.3"/>
    <row r="10687" x14ac:dyDescent="0.3"/>
    <row r="10688" x14ac:dyDescent="0.3"/>
    <row r="10689" x14ac:dyDescent="0.3"/>
    <row r="10690" x14ac:dyDescent="0.3"/>
    <row r="10691" x14ac:dyDescent="0.3"/>
    <row r="10692" x14ac:dyDescent="0.3"/>
    <row r="10693" x14ac:dyDescent="0.3"/>
    <row r="10694" x14ac:dyDescent="0.3"/>
    <row r="10695" x14ac:dyDescent="0.3"/>
    <row r="10696" x14ac:dyDescent="0.3"/>
    <row r="10697" x14ac:dyDescent="0.3"/>
    <row r="10698" x14ac:dyDescent="0.3"/>
    <row r="10699" x14ac:dyDescent="0.3"/>
    <row r="10700" x14ac:dyDescent="0.3"/>
    <row r="10701" x14ac:dyDescent="0.3"/>
    <row r="10702" x14ac:dyDescent="0.3"/>
    <row r="10703" x14ac:dyDescent="0.3"/>
    <row r="10704" x14ac:dyDescent="0.3"/>
    <row r="10705" x14ac:dyDescent="0.3"/>
    <row r="10706" x14ac:dyDescent="0.3"/>
    <row r="10707" x14ac:dyDescent="0.3"/>
    <row r="10708" x14ac:dyDescent="0.3"/>
    <row r="10709" x14ac:dyDescent="0.3"/>
    <row r="10710" x14ac:dyDescent="0.3"/>
    <row r="10711" x14ac:dyDescent="0.3"/>
    <row r="10712" x14ac:dyDescent="0.3"/>
    <row r="10713" x14ac:dyDescent="0.3"/>
    <row r="10714" x14ac:dyDescent="0.3"/>
    <row r="10715" x14ac:dyDescent="0.3"/>
    <row r="10716" x14ac:dyDescent="0.3"/>
    <row r="10717" x14ac:dyDescent="0.3"/>
    <row r="10718" x14ac:dyDescent="0.3"/>
    <row r="10719" x14ac:dyDescent="0.3"/>
    <row r="10720" x14ac:dyDescent="0.3"/>
    <row r="10721" x14ac:dyDescent="0.3"/>
    <row r="10722" x14ac:dyDescent="0.3"/>
    <row r="10723" x14ac:dyDescent="0.3"/>
    <row r="10724" x14ac:dyDescent="0.3"/>
    <row r="10725" x14ac:dyDescent="0.3"/>
    <row r="10726" x14ac:dyDescent="0.3"/>
    <row r="10727" x14ac:dyDescent="0.3"/>
    <row r="10728" x14ac:dyDescent="0.3"/>
    <row r="10729" x14ac:dyDescent="0.3"/>
    <row r="10730" x14ac:dyDescent="0.3"/>
    <row r="10731" x14ac:dyDescent="0.3"/>
    <row r="10732" x14ac:dyDescent="0.3"/>
    <row r="10733" x14ac:dyDescent="0.3"/>
    <row r="10734" x14ac:dyDescent="0.3"/>
    <row r="10735" x14ac:dyDescent="0.3"/>
    <row r="10736" x14ac:dyDescent="0.3"/>
    <row r="10737" x14ac:dyDescent="0.3"/>
    <row r="10738" x14ac:dyDescent="0.3"/>
    <row r="10739" x14ac:dyDescent="0.3"/>
    <row r="10740" x14ac:dyDescent="0.3"/>
    <row r="10741" x14ac:dyDescent="0.3"/>
    <row r="10742" x14ac:dyDescent="0.3"/>
    <row r="10743" x14ac:dyDescent="0.3"/>
    <row r="10744" x14ac:dyDescent="0.3"/>
    <row r="10745" x14ac:dyDescent="0.3"/>
    <row r="10746" x14ac:dyDescent="0.3"/>
    <row r="10747" x14ac:dyDescent="0.3"/>
    <row r="10748" x14ac:dyDescent="0.3"/>
    <row r="10749" x14ac:dyDescent="0.3"/>
    <row r="10750" x14ac:dyDescent="0.3"/>
    <row r="10751" x14ac:dyDescent="0.3"/>
    <row r="10752" x14ac:dyDescent="0.3"/>
    <row r="10753" x14ac:dyDescent="0.3"/>
    <row r="10754" x14ac:dyDescent="0.3"/>
    <row r="10755" x14ac:dyDescent="0.3"/>
    <row r="10756" x14ac:dyDescent="0.3"/>
    <row r="10757" x14ac:dyDescent="0.3"/>
    <row r="10758" x14ac:dyDescent="0.3"/>
    <row r="10759" x14ac:dyDescent="0.3"/>
    <row r="10760" x14ac:dyDescent="0.3"/>
    <row r="10761" x14ac:dyDescent="0.3"/>
    <row r="10762" x14ac:dyDescent="0.3"/>
    <row r="10763" x14ac:dyDescent="0.3"/>
    <row r="10764" x14ac:dyDescent="0.3"/>
    <row r="10765" x14ac:dyDescent="0.3"/>
    <row r="10766" x14ac:dyDescent="0.3"/>
    <row r="10767" x14ac:dyDescent="0.3"/>
    <row r="10768" x14ac:dyDescent="0.3"/>
    <row r="10769" x14ac:dyDescent="0.3"/>
    <row r="10770" x14ac:dyDescent="0.3"/>
    <row r="10771" x14ac:dyDescent="0.3"/>
    <row r="10772" x14ac:dyDescent="0.3"/>
    <row r="10773" x14ac:dyDescent="0.3"/>
    <row r="10774" x14ac:dyDescent="0.3"/>
    <row r="10775" x14ac:dyDescent="0.3"/>
    <row r="10776" x14ac:dyDescent="0.3"/>
    <row r="10777" x14ac:dyDescent="0.3"/>
    <row r="10778" x14ac:dyDescent="0.3"/>
    <row r="10779" x14ac:dyDescent="0.3"/>
    <row r="10780" x14ac:dyDescent="0.3"/>
    <row r="10781" x14ac:dyDescent="0.3"/>
    <row r="10782" x14ac:dyDescent="0.3"/>
    <row r="10783" x14ac:dyDescent="0.3"/>
    <row r="10784" x14ac:dyDescent="0.3"/>
    <row r="10785" x14ac:dyDescent="0.3"/>
    <row r="10786" x14ac:dyDescent="0.3"/>
    <row r="10787" x14ac:dyDescent="0.3"/>
    <row r="10788" x14ac:dyDescent="0.3"/>
    <row r="10789" x14ac:dyDescent="0.3"/>
    <row r="10790" x14ac:dyDescent="0.3"/>
    <row r="10791" x14ac:dyDescent="0.3"/>
    <row r="10792" x14ac:dyDescent="0.3"/>
    <row r="10793" x14ac:dyDescent="0.3"/>
    <row r="10794" x14ac:dyDescent="0.3"/>
    <row r="10795" x14ac:dyDescent="0.3"/>
    <row r="10796" x14ac:dyDescent="0.3"/>
    <row r="10797" x14ac:dyDescent="0.3"/>
    <row r="10798" x14ac:dyDescent="0.3"/>
    <row r="10799" x14ac:dyDescent="0.3"/>
    <row r="10800" x14ac:dyDescent="0.3"/>
    <row r="10801" x14ac:dyDescent="0.3"/>
    <row r="10802" x14ac:dyDescent="0.3"/>
    <row r="10803" x14ac:dyDescent="0.3"/>
    <row r="10804" x14ac:dyDescent="0.3"/>
    <row r="10805" x14ac:dyDescent="0.3"/>
    <row r="10806" x14ac:dyDescent="0.3"/>
    <row r="10807" x14ac:dyDescent="0.3"/>
    <row r="10808" x14ac:dyDescent="0.3"/>
    <row r="10809" x14ac:dyDescent="0.3"/>
    <row r="10810" x14ac:dyDescent="0.3"/>
    <row r="10811" x14ac:dyDescent="0.3"/>
    <row r="10812" x14ac:dyDescent="0.3"/>
    <row r="10813" x14ac:dyDescent="0.3"/>
    <row r="10814" x14ac:dyDescent="0.3"/>
    <row r="10815" x14ac:dyDescent="0.3"/>
    <row r="10816" x14ac:dyDescent="0.3"/>
    <row r="10817" x14ac:dyDescent="0.3"/>
    <row r="10818" x14ac:dyDescent="0.3"/>
    <row r="10819" x14ac:dyDescent="0.3"/>
    <row r="10820" x14ac:dyDescent="0.3"/>
    <row r="10821" x14ac:dyDescent="0.3"/>
    <row r="10822" x14ac:dyDescent="0.3"/>
    <row r="10823" x14ac:dyDescent="0.3"/>
    <row r="10824" x14ac:dyDescent="0.3"/>
    <row r="10825" x14ac:dyDescent="0.3"/>
    <row r="10826" x14ac:dyDescent="0.3"/>
    <row r="10827" x14ac:dyDescent="0.3"/>
    <row r="10828" x14ac:dyDescent="0.3"/>
    <row r="10829" x14ac:dyDescent="0.3"/>
    <row r="10830" x14ac:dyDescent="0.3"/>
    <row r="10831" x14ac:dyDescent="0.3"/>
    <row r="10832" x14ac:dyDescent="0.3"/>
    <row r="10833" x14ac:dyDescent="0.3"/>
    <row r="10834" x14ac:dyDescent="0.3"/>
    <row r="10835" x14ac:dyDescent="0.3"/>
    <row r="10836" x14ac:dyDescent="0.3"/>
    <row r="10837" x14ac:dyDescent="0.3"/>
    <row r="10838" x14ac:dyDescent="0.3"/>
    <row r="10839" x14ac:dyDescent="0.3"/>
    <row r="10840" x14ac:dyDescent="0.3"/>
    <row r="10841" x14ac:dyDescent="0.3"/>
    <row r="10842" x14ac:dyDescent="0.3"/>
    <row r="10843" x14ac:dyDescent="0.3"/>
    <row r="10844" x14ac:dyDescent="0.3"/>
    <row r="10845" x14ac:dyDescent="0.3"/>
    <row r="10846" x14ac:dyDescent="0.3"/>
    <row r="10847" x14ac:dyDescent="0.3"/>
    <row r="10848" x14ac:dyDescent="0.3"/>
    <row r="10849" x14ac:dyDescent="0.3"/>
    <row r="10850" x14ac:dyDescent="0.3"/>
    <row r="10851" x14ac:dyDescent="0.3"/>
    <row r="10852" x14ac:dyDescent="0.3"/>
    <row r="10853" x14ac:dyDescent="0.3"/>
    <row r="10854" x14ac:dyDescent="0.3"/>
    <row r="10855" x14ac:dyDescent="0.3"/>
    <row r="10856" x14ac:dyDescent="0.3"/>
    <row r="10857" x14ac:dyDescent="0.3"/>
    <row r="10858" x14ac:dyDescent="0.3"/>
    <row r="10859" x14ac:dyDescent="0.3"/>
    <row r="10860" x14ac:dyDescent="0.3"/>
    <row r="10861" x14ac:dyDescent="0.3"/>
    <row r="10862" x14ac:dyDescent="0.3"/>
    <row r="10863" x14ac:dyDescent="0.3"/>
    <row r="10864" x14ac:dyDescent="0.3"/>
    <row r="10865" x14ac:dyDescent="0.3"/>
    <row r="10866" x14ac:dyDescent="0.3"/>
    <row r="10867" x14ac:dyDescent="0.3"/>
    <row r="10868" x14ac:dyDescent="0.3"/>
    <row r="10869" x14ac:dyDescent="0.3"/>
    <row r="10870" x14ac:dyDescent="0.3"/>
    <row r="10871" x14ac:dyDescent="0.3"/>
    <row r="10872" x14ac:dyDescent="0.3"/>
    <row r="10873" x14ac:dyDescent="0.3"/>
    <row r="10874" x14ac:dyDescent="0.3"/>
    <row r="10875" x14ac:dyDescent="0.3"/>
    <row r="10876" x14ac:dyDescent="0.3"/>
    <row r="10877" x14ac:dyDescent="0.3"/>
    <row r="10878" x14ac:dyDescent="0.3"/>
    <row r="10879" x14ac:dyDescent="0.3"/>
    <row r="10880" x14ac:dyDescent="0.3"/>
    <row r="10881" x14ac:dyDescent="0.3"/>
    <row r="10882" x14ac:dyDescent="0.3"/>
    <row r="10883" x14ac:dyDescent="0.3"/>
    <row r="10884" x14ac:dyDescent="0.3"/>
    <row r="10885" x14ac:dyDescent="0.3"/>
    <row r="10886" x14ac:dyDescent="0.3"/>
    <row r="10887" x14ac:dyDescent="0.3"/>
    <row r="10888" x14ac:dyDescent="0.3"/>
    <row r="10889" x14ac:dyDescent="0.3"/>
    <row r="10890" x14ac:dyDescent="0.3"/>
    <row r="10891" x14ac:dyDescent="0.3"/>
    <row r="10892" x14ac:dyDescent="0.3"/>
    <row r="10893" x14ac:dyDescent="0.3"/>
    <row r="10894" x14ac:dyDescent="0.3"/>
    <row r="10895" x14ac:dyDescent="0.3"/>
    <row r="10896" x14ac:dyDescent="0.3"/>
    <row r="10897" x14ac:dyDescent="0.3"/>
    <row r="10898" x14ac:dyDescent="0.3"/>
    <row r="10899" x14ac:dyDescent="0.3"/>
    <row r="10900" x14ac:dyDescent="0.3"/>
    <row r="10901" x14ac:dyDescent="0.3"/>
    <row r="10902" x14ac:dyDescent="0.3"/>
    <row r="10903" x14ac:dyDescent="0.3"/>
    <row r="10904" x14ac:dyDescent="0.3"/>
    <row r="10905" x14ac:dyDescent="0.3"/>
    <row r="10906" x14ac:dyDescent="0.3"/>
    <row r="10907" x14ac:dyDescent="0.3"/>
    <row r="10908" x14ac:dyDescent="0.3"/>
    <row r="10909" x14ac:dyDescent="0.3"/>
    <row r="10910" x14ac:dyDescent="0.3"/>
    <row r="10911" x14ac:dyDescent="0.3"/>
    <row r="10912" x14ac:dyDescent="0.3"/>
    <row r="10913" x14ac:dyDescent="0.3"/>
    <row r="10914" x14ac:dyDescent="0.3"/>
    <row r="10915" x14ac:dyDescent="0.3"/>
    <row r="10916" x14ac:dyDescent="0.3"/>
    <row r="10917" x14ac:dyDescent="0.3"/>
    <row r="10918" x14ac:dyDescent="0.3"/>
    <row r="10919" x14ac:dyDescent="0.3"/>
    <row r="10920" x14ac:dyDescent="0.3"/>
    <row r="10921" x14ac:dyDescent="0.3"/>
    <row r="10922" x14ac:dyDescent="0.3"/>
    <row r="10923" x14ac:dyDescent="0.3"/>
    <row r="10924" x14ac:dyDescent="0.3"/>
    <row r="10925" x14ac:dyDescent="0.3"/>
    <row r="10926" x14ac:dyDescent="0.3"/>
    <row r="10927" x14ac:dyDescent="0.3"/>
    <row r="10928" x14ac:dyDescent="0.3"/>
    <row r="10929" x14ac:dyDescent="0.3"/>
    <row r="10930" x14ac:dyDescent="0.3"/>
    <row r="10931" x14ac:dyDescent="0.3"/>
    <row r="10932" x14ac:dyDescent="0.3"/>
    <row r="10933" x14ac:dyDescent="0.3"/>
    <row r="10934" x14ac:dyDescent="0.3"/>
    <row r="10935" x14ac:dyDescent="0.3"/>
    <row r="10936" x14ac:dyDescent="0.3"/>
    <row r="10937" x14ac:dyDescent="0.3"/>
    <row r="10938" x14ac:dyDescent="0.3"/>
    <row r="10939" x14ac:dyDescent="0.3"/>
    <row r="10940" x14ac:dyDescent="0.3"/>
    <row r="10941" x14ac:dyDescent="0.3"/>
    <row r="10942" x14ac:dyDescent="0.3"/>
    <row r="10943" x14ac:dyDescent="0.3"/>
    <row r="10944" x14ac:dyDescent="0.3"/>
    <row r="10945" x14ac:dyDescent="0.3"/>
    <row r="10946" x14ac:dyDescent="0.3"/>
    <row r="10947" x14ac:dyDescent="0.3"/>
    <row r="10948" x14ac:dyDescent="0.3"/>
    <row r="10949" x14ac:dyDescent="0.3"/>
    <row r="10950" x14ac:dyDescent="0.3"/>
    <row r="10951" x14ac:dyDescent="0.3"/>
    <row r="10952" x14ac:dyDescent="0.3"/>
    <row r="10953" x14ac:dyDescent="0.3"/>
    <row r="10954" x14ac:dyDescent="0.3"/>
    <row r="10955" x14ac:dyDescent="0.3"/>
    <row r="10956" x14ac:dyDescent="0.3"/>
    <row r="10957" x14ac:dyDescent="0.3"/>
    <row r="10958" x14ac:dyDescent="0.3"/>
    <row r="10959" x14ac:dyDescent="0.3"/>
    <row r="10960" x14ac:dyDescent="0.3"/>
    <row r="10961" x14ac:dyDescent="0.3"/>
    <row r="10962" x14ac:dyDescent="0.3"/>
    <row r="10963" x14ac:dyDescent="0.3"/>
    <row r="10964" x14ac:dyDescent="0.3"/>
    <row r="10965" x14ac:dyDescent="0.3"/>
    <row r="10966" x14ac:dyDescent="0.3"/>
    <row r="10967" x14ac:dyDescent="0.3"/>
    <row r="10968" x14ac:dyDescent="0.3"/>
    <row r="10969" x14ac:dyDescent="0.3"/>
    <row r="10970" x14ac:dyDescent="0.3"/>
    <row r="10971" x14ac:dyDescent="0.3"/>
    <row r="10972" x14ac:dyDescent="0.3"/>
    <row r="10973" x14ac:dyDescent="0.3"/>
    <row r="10974" x14ac:dyDescent="0.3"/>
    <row r="10975" x14ac:dyDescent="0.3"/>
    <row r="10976" x14ac:dyDescent="0.3"/>
    <row r="10977" x14ac:dyDescent="0.3"/>
    <row r="10978" x14ac:dyDescent="0.3"/>
    <row r="10979" x14ac:dyDescent="0.3"/>
    <row r="10980" x14ac:dyDescent="0.3"/>
    <row r="10981" x14ac:dyDescent="0.3"/>
    <row r="10982" x14ac:dyDescent="0.3"/>
    <row r="10983" x14ac:dyDescent="0.3"/>
    <row r="10984" x14ac:dyDescent="0.3"/>
    <row r="10985" x14ac:dyDescent="0.3"/>
    <row r="10986" x14ac:dyDescent="0.3"/>
    <row r="10987" x14ac:dyDescent="0.3"/>
    <row r="10988" x14ac:dyDescent="0.3"/>
    <row r="10989" x14ac:dyDescent="0.3"/>
    <row r="10990" x14ac:dyDescent="0.3"/>
    <row r="10991" x14ac:dyDescent="0.3"/>
    <row r="10992" x14ac:dyDescent="0.3"/>
    <row r="10993" x14ac:dyDescent="0.3"/>
    <row r="10994" x14ac:dyDescent="0.3"/>
    <row r="10995" x14ac:dyDescent="0.3"/>
    <row r="10996" x14ac:dyDescent="0.3"/>
    <row r="10997" x14ac:dyDescent="0.3"/>
    <row r="10998" x14ac:dyDescent="0.3"/>
    <row r="10999" x14ac:dyDescent="0.3"/>
    <row r="11000" x14ac:dyDescent="0.3"/>
    <row r="11001" x14ac:dyDescent="0.3"/>
    <row r="11002" x14ac:dyDescent="0.3"/>
    <row r="11003" x14ac:dyDescent="0.3"/>
    <row r="11004" x14ac:dyDescent="0.3"/>
    <row r="11005" x14ac:dyDescent="0.3"/>
    <row r="11006" x14ac:dyDescent="0.3"/>
    <row r="11007" x14ac:dyDescent="0.3"/>
    <row r="11008" x14ac:dyDescent="0.3"/>
    <row r="11009" x14ac:dyDescent="0.3"/>
    <row r="11010" x14ac:dyDescent="0.3"/>
    <row r="11011" x14ac:dyDescent="0.3"/>
    <row r="11012" x14ac:dyDescent="0.3"/>
    <row r="11013" x14ac:dyDescent="0.3"/>
    <row r="11014" x14ac:dyDescent="0.3"/>
    <row r="11015" x14ac:dyDescent="0.3"/>
    <row r="11016" x14ac:dyDescent="0.3"/>
    <row r="11017" x14ac:dyDescent="0.3"/>
    <row r="11018" x14ac:dyDescent="0.3"/>
    <row r="11019" x14ac:dyDescent="0.3"/>
    <row r="11020" x14ac:dyDescent="0.3"/>
    <row r="11021" x14ac:dyDescent="0.3"/>
    <row r="11022" x14ac:dyDescent="0.3"/>
    <row r="11023" x14ac:dyDescent="0.3"/>
    <row r="11024" x14ac:dyDescent="0.3"/>
    <row r="11025" x14ac:dyDescent="0.3"/>
    <row r="11026" x14ac:dyDescent="0.3"/>
    <row r="11027" x14ac:dyDescent="0.3"/>
    <row r="11028" x14ac:dyDescent="0.3"/>
    <row r="11029" x14ac:dyDescent="0.3"/>
    <row r="11030" x14ac:dyDescent="0.3"/>
    <row r="11031" x14ac:dyDescent="0.3"/>
    <row r="11032" x14ac:dyDescent="0.3"/>
    <row r="11033" x14ac:dyDescent="0.3"/>
    <row r="11034" x14ac:dyDescent="0.3"/>
    <row r="11035" x14ac:dyDescent="0.3"/>
    <row r="11036" x14ac:dyDescent="0.3"/>
    <row r="11037" x14ac:dyDescent="0.3"/>
    <row r="11038" x14ac:dyDescent="0.3"/>
    <row r="11039" x14ac:dyDescent="0.3"/>
    <row r="11040" x14ac:dyDescent="0.3"/>
    <row r="11041" x14ac:dyDescent="0.3"/>
    <row r="11042" x14ac:dyDescent="0.3"/>
    <row r="11043" x14ac:dyDescent="0.3"/>
    <row r="11044" x14ac:dyDescent="0.3"/>
    <row r="11045" x14ac:dyDescent="0.3"/>
    <row r="11046" x14ac:dyDescent="0.3"/>
    <row r="11047" x14ac:dyDescent="0.3"/>
    <row r="11048" x14ac:dyDescent="0.3"/>
    <row r="11049" x14ac:dyDescent="0.3"/>
    <row r="11050" x14ac:dyDescent="0.3"/>
    <row r="11051" x14ac:dyDescent="0.3"/>
    <row r="11052" x14ac:dyDescent="0.3"/>
    <row r="11053" x14ac:dyDescent="0.3"/>
    <row r="11054" x14ac:dyDescent="0.3"/>
    <row r="11055" x14ac:dyDescent="0.3"/>
    <row r="11056" x14ac:dyDescent="0.3"/>
    <row r="11057" x14ac:dyDescent="0.3"/>
    <row r="11058" x14ac:dyDescent="0.3"/>
    <row r="11059" x14ac:dyDescent="0.3"/>
    <row r="11060" x14ac:dyDescent="0.3"/>
    <row r="11061" x14ac:dyDescent="0.3"/>
    <row r="11062" x14ac:dyDescent="0.3"/>
    <row r="11063" x14ac:dyDescent="0.3"/>
    <row r="11064" x14ac:dyDescent="0.3"/>
    <row r="11065" x14ac:dyDescent="0.3"/>
    <row r="11066" x14ac:dyDescent="0.3"/>
    <row r="11067" x14ac:dyDescent="0.3"/>
    <row r="11068" x14ac:dyDescent="0.3"/>
    <row r="11069" x14ac:dyDescent="0.3"/>
    <row r="11070" x14ac:dyDescent="0.3"/>
    <row r="11071" x14ac:dyDescent="0.3"/>
    <row r="11072" x14ac:dyDescent="0.3"/>
    <row r="11073" x14ac:dyDescent="0.3"/>
    <row r="11074" x14ac:dyDescent="0.3"/>
    <row r="11075" x14ac:dyDescent="0.3"/>
    <row r="11076" x14ac:dyDescent="0.3"/>
    <row r="11077" x14ac:dyDescent="0.3"/>
    <row r="11078" x14ac:dyDescent="0.3"/>
    <row r="11079" x14ac:dyDescent="0.3"/>
    <row r="11080" x14ac:dyDescent="0.3"/>
    <row r="11081" x14ac:dyDescent="0.3"/>
    <row r="11082" x14ac:dyDescent="0.3"/>
    <row r="11083" x14ac:dyDescent="0.3"/>
    <row r="11084" x14ac:dyDescent="0.3"/>
    <row r="11085" x14ac:dyDescent="0.3"/>
    <row r="11086" x14ac:dyDescent="0.3"/>
    <row r="11087" x14ac:dyDescent="0.3"/>
    <row r="11088" x14ac:dyDescent="0.3"/>
    <row r="11089" x14ac:dyDescent="0.3"/>
    <row r="11090" x14ac:dyDescent="0.3"/>
    <row r="11091" x14ac:dyDescent="0.3"/>
    <row r="11092" x14ac:dyDescent="0.3"/>
    <row r="11093" x14ac:dyDescent="0.3"/>
    <row r="11094" x14ac:dyDescent="0.3"/>
    <row r="11095" x14ac:dyDescent="0.3"/>
    <row r="11096" x14ac:dyDescent="0.3"/>
    <row r="11097" x14ac:dyDescent="0.3"/>
    <row r="11098" x14ac:dyDescent="0.3"/>
    <row r="11099" x14ac:dyDescent="0.3"/>
    <row r="11100" x14ac:dyDescent="0.3"/>
    <row r="11101" x14ac:dyDescent="0.3"/>
    <row r="11102" x14ac:dyDescent="0.3"/>
    <row r="11103" x14ac:dyDescent="0.3"/>
    <row r="11104" x14ac:dyDescent="0.3"/>
    <row r="11105" x14ac:dyDescent="0.3"/>
    <row r="11106" x14ac:dyDescent="0.3"/>
    <row r="11107" x14ac:dyDescent="0.3"/>
    <row r="11108" x14ac:dyDescent="0.3"/>
    <row r="11109" x14ac:dyDescent="0.3"/>
    <row r="11110" x14ac:dyDescent="0.3"/>
    <row r="11111" x14ac:dyDescent="0.3"/>
    <row r="11112" x14ac:dyDescent="0.3"/>
    <row r="11113" x14ac:dyDescent="0.3"/>
    <row r="11114" x14ac:dyDescent="0.3"/>
    <row r="11115" x14ac:dyDescent="0.3"/>
    <row r="11116" x14ac:dyDescent="0.3"/>
    <row r="11117" x14ac:dyDescent="0.3"/>
    <row r="11118" x14ac:dyDescent="0.3"/>
    <row r="11119" x14ac:dyDescent="0.3"/>
    <row r="11120" x14ac:dyDescent="0.3"/>
    <row r="11121" x14ac:dyDescent="0.3"/>
    <row r="11122" x14ac:dyDescent="0.3"/>
    <row r="11123" x14ac:dyDescent="0.3"/>
    <row r="11124" x14ac:dyDescent="0.3"/>
    <row r="11125" x14ac:dyDescent="0.3"/>
    <row r="11126" x14ac:dyDescent="0.3"/>
    <row r="11127" x14ac:dyDescent="0.3"/>
    <row r="11128" x14ac:dyDescent="0.3"/>
    <row r="11129" x14ac:dyDescent="0.3"/>
    <row r="11130" x14ac:dyDescent="0.3"/>
    <row r="11131" x14ac:dyDescent="0.3"/>
    <row r="11132" x14ac:dyDescent="0.3"/>
    <row r="11133" x14ac:dyDescent="0.3"/>
    <row r="11134" x14ac:dyDescent="0.3"/>
    <row r="11135" x14ac:dyDescent="0.3"/>
    <row r="11136" x14ac:dyDescent="0.3"/>
    <row r="11137" x14ac:dyDescent="0.3"/>
    <row r="11138" x14ac:dyDescent="0.3"/>
    <row r="11139" x14ac:dyDescent="0.3"/>
    <row r="11140" x14ac:dyDescent="0.3"/>
    <row r="11141" x14ac:dyDescent="0.3"/>
    <row r="11142" x14ac:dyDescent="0.3"/>
    <row r="11143" x14ac:dyDescent="0.3"/>
    <row r="11144" x14ac:dyDescent="0.3"/>
    <row r="11145" x14ac:dyDescent="0.3"/>
    <row r="11146" x14ac:dyDescent="0.3"/>
    <row r="11147" x14ac:dyDescent="0.3"/>
    <row r="11148" x14ac:dyDescent="0.3"/>
    <row r="11149" x14ac:dyDescent="0.3"/>
    <row r="11150" x14ac:dyDescent="0.3"/>
    <row r="11151" x14ac:dyDescent="0.3"/>
    <row r="11152" x14ac:dyDescent="0.3"/>
    <row r="11153" x14ac:dyDescent="0.3"/>
    <row r="11154" x14ac:dyDescent="0.3"/>
    <row r="11155" x14ac:dyDescent="0.3"/>
    <row r="11156" x14ac:dyDescent="0.3"/>
    <row r="11157" x14ac:dyDescent="0.3"/>
    <row r="11158" x14ac:dyDescent="0.3"/>
    <row r="11159" x14ac:dyDescent="0.3"/>
    <row r="11160" x14ac:dyDescent="0.3"/>
    <row r="11161" x14ac:dyDescent="0.3"/>
    <row r="11162" x14ac:dyDescent="0.3"/>
    <row r="11163" x14ac:dyDescent="0.3"/>
    <row r="11164" x14ac:dyDescent="0.3"/>
    <row r="11165" x14ac:dyDescent="0.3"/>
    <row r="11166" x14ac:dyDescent="0.3"/>
    <row r="11167" x14ac:dyDescent="0.3"/>
    <row r="11168" x14ac:dyDescent="0.3"/>
    <row r="11169" x14ac:dyDescent="0.3"/>
    <row r="11170" x14ac:dyDescent="0.3"/>
    <row r="11171" x14ac:dyDescent="0.3"/>
    <row r="11172" x14ac:dyDescent="0.3"/>
    <row r="11173" x14ac:dyDescent="0.3"/>
    <row r="11174" x14ac:dyDescent="0.3"/>
    <row r="11175" x14ac:dyDescent="0.3"/>
    <row r="11176" x14ac:dyDescent="0.3"/>
    <row r="11177" x14ac:dyDescent="0.3"/>
    <row r="11178" x14ac:dyDescent="0.3"/>
    <row r="11179" x14ac:dyDescent="0.3"/>
    <row r="11180" x14ac:dyDescent="0.3"/>
    <row r="11181" x14ac:dyDescent="0.3"/>
    <row r="11182" x14ac:dyDescent="0.3"/>
    <row r="11183" x14ac:dyDescent="0.3"/>
    <row r="11184" x14ac:dyDescent="0.3"/>
    <row r="11185" x14ac:dyDescent="0.3"/>
    <row r="11186" x14ac:dyDescent="0.3"/>
    <row r="11187" x14ac:dyDescent="0.3"/>
    <row r="11188" x14ac:dyDescent="0.3"/>
    <row r="11189" x14ac:dyDescent="0.3"/>
    <row r="11190" x14ac:dyDescent="0.3"/>
    <row r="11191" x14ac:dyDescent="0.3"/>
    <row r="11192" x14ac:dyDescent="0.3"/>
    <row r="11193" x14ac:dyDescent="0.3"/>
    <row r="11194" x14ac:dyDescent="0.3"/>
    <row r="11195" x14ac:dyDescent="0.3"/>
    <row r="11196" x14ac:dyDescent="0.3"/>
    <row r="11197" x14ac:dyDescent="0.3"/>
    <row r="11198" x14ac:dyDescent="0.3"/>
    <row r="11199" x14ac:dyDescent="0.3"/>
    <row r="11200" x14ac:dyDescent="0.3"/>
    <row r="11201" x14ac:dyDescent="0.3"/>
    <row r="11202" x14ac:dyDescent="0.3"/>
    <row r="11203" x14ac:dyDescent="0.3"/>
    <row r="11204" x14ac:dyDescent="0.3"/>
    <row r="11205" x14ac:dyDescent="0.3"/>
    <row r="11206" x14ac:dyDescent="0.3"/>
    <row r="11207" x14ac:dyDescent="0.3"/>
    <row r="11208" x14ac:dyDescent="0.3"/>
    <row r="11209" x14ac:dyDescent="0.3"/>
    <row r="11210" x14ac:dyDescent="0.3"/>
    <row r="11211" x14ac:dyDescent="0.3"/>
    <row r="11212" x14ac:dyDescent="0.3"/>
    <row r="11213" x14ac:dyDescent="0.3"/>
    <row r="11214" x14ac:dyDescent="0.3"/>
    <row r="11215" x14ac:dyDescent="0.3"/>
    <row r="11216" x14ac:dyDescent="0.3"/>
    <row r="11217" x14ac:dyDescent="0.3"/>
    <row r="11218" x14ac:dyDescent="0.3"/>
    <row r="11219" x14ac:dyDescent="0.3"/>
    <row r="11220" x14ac:dyDescent="0.3"/>
    <row r="11221" x14ac:dyDescent="0.3"/>
    <row r="11222" x14ac:dyDescent="0.3"/>
    <row r="11223" x14ac:dyDescent="0.3"/>
    <row r="11224" x14ac:dyDescent="0.3"/>
    <row r="11225" x14ac:dyDescent="0.3"/>
    <row r="11226" x14ac:dyDescent="0.3"/>
    <row r="11227" x14ac:dyDescent="0.3"/>
    <row r="11228" x14ac:dyDescent="0.3"/>
    <row r="11229" x14ac:dyDescent="0.3"/>
    <row r="11230" x14ac:dyDescent="0.3"/>
    <row r="11231" x14ac:dyDescent="0.3"/>
    <row r="11232" x14ac:dyDescent="0.3"/>
    <row r="11233" x14ac:dyDescent="0.3"/>
    <row r="11234" x14ac:dyDescent="0.3"/>
    <row r="11235" x14ac:dyDescent="0.3"/>
    <row r="11236" x14ac:dyDescent="0.3"/>
    <row r="11237" x14ac:dyDescent="0.3"/>
    <row r="11238" x14ac:dyDescent="0.3"/>
    <row r="11239" x14ac:dyDescent="0.3"/>
    <row r="11240" x14ac:dyDescent="0.3"/>
    <row r="11241" x14ac:dyDescent="0.3"/>
    <row r="11242" x14ac:dyDescent="0.3"/>
    <row r="11243" x14ac:dyDescent="0.3"/>
    <row r="11244" x14ac:dyDescent="0.3"/>
    <row r="11245" x14ac:dyDescent="0.3"/>
    <row r="11246" x14ac:dyDescent="0.3"/>
    <row r="11247" x14ac:dyDescent="0.3"/>
    <row r="11248" x14ac:dyDescent="0.3"/>
    <row r="11249" x14ac:dyDescent="0.3"/>
    <row r="11250" x14ac:dyDescent="0.3"/>
    <row r="11251" x14ac:dyDescent="0.3"/>
    <row r="11252" x14ac:dyDescent="0.3"/>
    <row r="11253" x14ac:dyDescent="0.3"/>
    <row r="11254" x14ac:dyDescent="0.3"/>
    <row r="11255" x14ac:dyDescent="0.3"/>
    <row r="11256" x14ac:dyDescent="0.3"/>
    <row r="11257" x14ac:dyDescent="0.3"/>
    <row r="11258" x14ac:dyDescent="0.3"/>
    <row r="11259" x14ac:dyDescent="0.3"/>
    <row r="11260" x14ac:dyDescent="0.3"/>
    <row r="11261" x14ac:dyDescent="0.3"/>
    <row r="11262" x14ac:dyDescent="0.3"/>
    <row r="11263" x14ac:dyDescent="0.3"/>
    <row r="11264" x14ac:dyDescent="0.3"/>
    <row r="11265" x14ac:dyDescent="0.3"/>
    <row r="11266" x14ac:dyDescent="0.3"/>
    <row r="11267" x14ac:dyDescent="0.3"/>
    <row r="11268" x14ac:dyDescent="0.3"/>
    <row r="11269" x14ac:dyDescent="0.3"/>
    <row r="11270" x14ac:dyDescent="0.3"/>
    <row r="11271" x14ac:dyDescent="0.3"/>
    <row r="11272" x14ac:dyDescent="0.3"/>
    <row r="11273" x14ac:dyDescent="0.3"/>
    <row r="11274" x14ac:dyDescent="0.3"/>
    <row r="11275" x14ac:dyDescent="0.3"/>
    <row r="11276" x14ac:dyDescent="0.3"/>
    <row r="11277" x14ac:dyDescent="0.3"/>
    <row r="11278" x14ac:dyDescent="0.3"/>
    <row r="11279" x14ac:dyDescent="0.3"/>
    <row r="11280" x14ac:dyDescent="0.3"/>
    <row r="11281" x14ac:dyDescent="0.3"/>
    <row r="11282" x14ac:dyDescent="0.3"/>
    <row r="11283" x14ac:dyDescent="0.3"/>
    <row r="11284" x14ac:dyDescent="0.3"/>
    <row r="11285" x14ac:dyDescent="0.3"/>
    <row r="11286" x14ac:dyDescent="0.3"/>
    <row r="11287" x14ac:dyDescent="0.3"/>
    <row r="11288" x14ac:dyDescent="0.3"/>
    <row r="11289" x14ac:dyDescent="0.3"/>
    <row r="11290" x14ac:dyDescent="0.3"/>
    <row r="11291" x14ac:dyDescent="0.3"/>
    <row r="11292" x14ac:dyDescent="0.3"/>
    <row r="11293" x14ac:dyDescent="0.3"/>
    <row r="11294" x14ac:dyDescent="0.3"/>
    <row r="11295" x14ac:dyDescent="0.3"/>
    <row r="11296" x14ac:dyDescent="0.3"/>
    <row r="11297" x14ac:dyDescent="0.3"/>
    <row r="11298" x14ac:dyDescent="0.3"/>
    <row r="11299" x14ac:dyDescent="0.3"/>
    <row r="11300" x14ac:dyDescent="0.3"/>
    <row r="11301" x14ac:dyDescent="0.3"/>
    <row r="11302" x14ac:dyDescent="0.3"/>
    <row r="11303" x14ac:dyDescent="0.3"/>
    <row r="11304" x14ac:dyDescent="0.3"/>
    <row r="11305" x14ac:dyDescent="0.3"/>
    <row r="11306" x14ac:dyDescent="0.3"/>
    <row r="11307" x14ac:dyDescent="0.3"/>
    <row r="11308" x14ac:dyDescent="0.3"/>
    <row r="11309" x14ac:dyDescent="0.3"/>
    <row r="11310" x14ac:dyDescent="0.3"/>
    <row r="11311" x14ac:dyDescent="0.3"/>
    <row r="11312" x14ac:dyDescent="0.3"/>
    <row r="11313" x14ac:dyDescent="0.3"/>
    <row r="11314" x14ac:dyDescent="0.3"/>
    <row r="11315" x14ac:dyDescent="0.3"/>
    <row r="11316" x14ac:dyDescent="0.3"/>
    <row r="11317" x14ac:dyDescent="0.3"/>
    <row r="11318" x14ac:dyDescent="0.3"/>
    <row r="11319" x14ac:dyDescent="0.3"/>
    <row r="11320" x14ac:dyDescent="0.3"/>
    <row r="11321" x14ac:dyDescent="0.3"/>
    <row r="11322" x14ac:dyDescent="0.3"/>
    <row r="11323" x14ac:dyDescent="0.3"/>
    <row r="11324" x14ac:dyDescent="0.3"/>
    <row r="11325" x14ac:dyDescent="0.3"/>
    <row r="11326" x14ac:dyDescent="0.3"/>
    <row r="11327" x14ac:dyDescent="0.3"/>
    <row r="11328" x14ac:dyDescent="0.3"/>
    <row r="11329" x14ac:dyDescent="0.3"/>
    <row r="11330" x14ac:dyDescent="0.3"/>
    <row r="11331" x14ac:dyDescent="0.3"/>
    <row r="11332" x14ac:dyDescent="0.3"/>
    <row r="11333" x14ac:dyDescent="0.3"/>
    <row r="11334" x14ac:dyDescent="0.3"/>
    <row r="11335" x14ac:dyDescent="0.3"/>
    <row r="11336" x14ac:dyDescent="0.3"/>
    <row r="11337" x14ac:dyDescent="0.3"/>
    <row r="11338" x14ac:dyDescent="0.3"/>
    <row r="11339" x14ac:dyDescent="0.3"/>
    <row r="11340" x14ac:dyDescent="0.3"/>
    <row r="11341" x14ac:dyDescent="0.3"/>
    <row r="11342" x14ac:dyDescent="0.3"/>
    <row r="11343" x14ac:dyDescent="0.3"/>
    <row r="11344" x14ac:dyDescent="0.3"/>
    <row r="11345" x14ac:dyDescent="0.3"/>
    <row r="11346" x14ac:dyDescent="0.3"/>
    <row r="11347" x14ac:dyDescent="0.3"/>
    <row r="11348" x14ac:dyDescent="0.3"/>
    <row r="11349" x14ac:dyDescent="0.3"/>
    <row r="11350" x14ac:dyDescent="0.3"/>
    <row r="11351" x14ac:dyDescent="0.3"/>
    <row r="11352" x14ac:dyDescent="0.3"/>
    <row r="11353" x14ac:dyDescent="0.3"/>
    <row r="11354" x14ac:dyDescent="0.3"/>
    <row r="11355" x14ac:dyDescent="0.3"/>
    <row r="11356" x14ac:dyDescent="0.3"/>
    <row r="11357" x14ac:dyDescent="0.3"/>
    <row r="11358" x14ac:dyDescent="0.3"/>
    <row r="11359" x14ac:dyDescent="0.3"/>
    <row r="11360" x14ac:dyDescent="0.3"/>
    <row r="11361" x14ac:dyDescent="0.3"/>
    <row r="11362" x14ac:dyDescent="0.3"/>
    <row r="11363" x14ac:dyDescent="0.3"/>
    <row r="11364" x14ac:dyDescent="0.3"/>
    <row r="11365" x14ac:dyDescent="0.3"/>
    <row r="11366" x14ac:dyDescent="0.3"/>
    <row r="11367" x14ac:dyDescent="0.3"/>
    <row r="11368" x14ac:dyDescent="0.3"/>
    <row r="11369" x14ac:dyDescent="0.3"/>
    <row r="11370" x14ac:dyDescent="0.3"/>
    <row r="11371" x14ac:dyDescent="0.3"/>
    <row r="11372" x14ac:dyDescent="0.3"/>
    <row r="11373" x14ac:dyDescent="0.3"/>
    <row r="11374" x14ac:dyDescent="0.3"/>
    <row r="11375" x14ac:dyDescent="0.3"/>
    <row r="11376" x14ac:dyDescent="0.3"/>
    <row r="11377" x14ac:dyDescent="0.3"/>
    <row r="11378" x14ac:dyDescent="0.3"/>
    <row r="11379" x14ac:dyDescent="0.3"/>
    <row r="11380" x14ac:dyDescent="0.3"/>
    <row r="11381" x14ac:dyDescent="0.3"/>
    <row r="11382" x14ac:dyDescent="0.3"/>
    <row r="11383" x14ac:dyDescent="0.3"/>
    <row r="11384" x14ac:dyDescent="0.3"/>
    <row r="11385" x14ac:dyDescent="0.3"/>
    <row r="11386" x14ac:dyDescent="0.3"/>
    <row r="11387" x14ac:dyDescent="0.3"/>
    <row r="11388" x14ac:dyDescent="0.3"/>
    <row r="11389" x14ac:dyDescent="0.3"/>
    <row r="11390" x14ac:dyDescent="0.3"/>
    <row r="11391" x14ac:dyDescent="0.3"/>
    <row r="11392" x14ac:dyDescent="0.3"/>
    <row r="11393" x14ac:dyDescent="0.3"/>
    <row r="11394" x14ac:dyDescent="0.3"/>
    <row r="11395" x14ac:dyDescent="0.3"/>
    <row r="11396" x14ac:dyDescent="0.3"/>
    <row r="11397" x14ac:dyDescent="0.3"/>
    <row r="11398" x14ac:dyDescent="0.3"/>
    <row r="11399" x14ac:dyDescent="0.3"/>
    <row r="11400" x14ac:dyDescent="0.3"/>
    <row r="11401" x14ac:dyDescent="0.3"/>
    <row r="11402" x14ac:dyDescent="0.3"/>
    <row r="11403" x14ac:dyDescent="0.3"/>
    <row r="11404" x14ac:dyDescent="0.3"/>
    <row r="11405" x14ac:dyDescent="0.3"/>
    <row r="11406" x14ac:dyDescent="0.3"/>
    <row r="11407" x14ac:dyDescent="0.3"/>
    <row r="11408" x14ac:dyDescent="0.3"/>
    <row r="11409" x14ac:dyDescent="0.3"/>
    <row r="11410" x14ac:dyDescent="0.3"/>
    <row r="11411" x14ac:dyDescent="0.3"/>
    <row r="11412" x14ac:dyDescent="0.3"/>
    <row r="11413" x14ac:dyDescent="0.3"/>
    <row r="11414" x14ac:dyDescent="0.3"/>
    <row r="11415" x14ac:dyDescent="0.3"/>
    <row r="11416" x14ac:dyDescent="0.3"/>
    <row r="11417" x14ac:dyDescent="0.3"/>
    <row r="11418" x14ac:dyDescent="0.3"/>
    <row r="11419" x14ac:dyDescent="0.3"/>
    <row r="11420" x14ac:dyDescent="0.3"/>
    <row r="11421" x14ac:dyDescent="0.3"/>
    <row r="11422" x14ac:dyDescent="0.3"/>
    <row r="11423" x14ac:dyDescent="0.3"/>
    <row r="11424" x14ac:dyDescent="0.3"/>
    <row r="11425" x14ac:dyDescent="0.3"/>
    <row r="11426" x14ac:dyDescent="0.3"/>
    <row r="11427" x14ac:dyDescent="0.3"/>
    <row r="11428" x14ac:dyDescent="0.3"/>
    <row r="11429" x14ac:dyDescent="0.3"/>
    <row r="11430" x14ac:dyDescent="0.3"/>
    <row r="11431" x14ac:dyDescent="0.3"/>
    <row r="11432" x14ac:dyDescent="0.3"/>
    <row r="11433" x14ac:dyDescent="0.3"/>
    <row r="11434" x14ac:dyDescent="0.3"/>
    <row r="11435" x14ac:dyDescent="0.3"/>
    <row r="11436" x14ac:dyDescent="0.3"/>
    <row r="11437" x14ac:dyDescent="0.3"/>
    <row r="11438" x14ac:dyDescent="0.3"/>
    <row r="11439" x14ac:dyDescent="0.3"/>
    <row r="11440" x14ac:dyDescent="0.3"/>
    <row r="11441" x14ac:dyDescent="0.3"/>
    <row r="11442" x14ac:dyDescent="0.3"/>
    <row r="11443" x14ac:dyDescent="0.3"/>
    <row r="11444" x14ac:dyDescent="0.3"/>
    <row r="11445" x14ac:dyDescent="0.3"/>
    <row r="11446" x14ac:dyDescent="0.3"/>
    <row r="11447" x14ac:dyDescent="0.3"/>
    <row r="11448" x14ac:dyDescent="0.3"/>
    <row r="11449" x14ac:dyDescent="0.3"/>
    <row r="11450" x14ac:dyDescent="0.3"/>
    <row r="11451" x14ac:dyDescent="0.3"/>
    <row r="11452" x14ac:dyDescent="0.3"/>
    <row r="11453" x14ac:dyDescent="0.3"/>
    <row r="11454" x14ac:dyDescent="0.3"/>
    <row r="11455" x14ac:dyDescent="0.3"/>
    <row r="11456" x14ac:dyDescent="0.3"/>
    <row r="11457" x14ac:dyDescent="0.3"/>
    <row r="11458" x14ac:dyDescent="0.3"/>
    <row r="11459" x14ac:dyDescent="0.3"/>
    <row r="11460" x14ac:dyDescent="0.3"/>
    <row r="11461" x14ac:dyDescent="0.3"/>
    <row r="11462" x14ac:dyDescent="0.3"/>
    <row r="11463" x14ac:dyDescent="0.3"/>
    <row r="11464" x14ac:dyDescent="0.3"/>
    <row r="11465" x14ac:dyDescent="0.3"/>
    <row r="11466" x14ac:dyDescent="0.3"/>
    <row r="11467" x14ac:dyDescent="0.3"/>
    <row r="11468" x14ac:dyDescent="0.3"/>
    <row r="11469" x14ac:dyDescent="0.3"/>
    <row r="11470" x14ac:dyDescent="0.3"/>
    <row r="11471" x14ac:dyDescent="0.3"/>
    <row r="11472" x14ac:dyDescent="0.3"/>
    <row r="11473" x14ac:dyDescent="0.3"/>
    <row r="11474" x14ac:dyDescent="0.3"/>
    <row r="11475" x14ac:dyDescent="0.3"/>
    <row r="11476" x14ac:dyDescent="0.3"/>
    <row r="11477" x14ac:dyDescent="0.3"/>
    <row r="11478" x14ac:dyDescent="0.3"/>
    <row r="11479" x14ac:dyDescent="0.3"/>
    <row r="11480" x14ac:dyDescent="0.3"/>
    <row r="11481" x14ac:dyDescent="0.3"/>
    <row r="11482" x14ac:dyDescent="0.3"/>
    <row r="11483" x14ac:dyDescent="0.3"/>
    <row r="11484" x14ac:dyDescent="0.3"/>
    <row r="11485" x14ac:dyDescent="0.3"/>
    <row r="11486" x14ac:dyDescent="0.3"/>
    <row r="11487" x14ac:dyDescent="0.3"/>
    <row r="11488" x14ac:dyDescent="0.3"/>
    <row r="11489" x14ac:dyDescent="0.3"/>
    <row r="11490" x14ac:dyDescent="0.3"/>
    <row r="11491" x14ac:dyDescent="0.3"/>
    <row r="11492" x14ac:dyDescent="0.3"/>
    <row r="11493" x14ac:dyDescent="0.3"/>
    <row r="11494" x14ac:dyDescent="0.3"/>
    <row r="11495" x14ac:dyDescent="0.3"/>
    <row r="11496" x14ac:dyDescent="0.3"/>
    <row r="11497" x14ac:dyDescent="0.3"/>
    <row r="11498" x14ac:dyDescent="0.3"/>
    <row r="11499" x14ac:dyDescent="0.3"/>
    <row r="11500" x14ac:dyDescent="0.3"/>
    <row r="11501" x14ac:dyDescent="0.3"/>
    <row r="11502" x14ac:dyDescent="0.3"/>
    <row r="11503" x14ac:dyDescent="0.3"/>
    <row r="11504" x14ac:dyDescent="0.3"/>
    <row r="11505" x14ac:dyDescent="0.3"/>
    <row r="11506" x14ac:dyDescent="0.3"/>
    <row r="11507" x14ac:dyDescent="0.3"/>
    <row r="11508" x14ac:dyDescent="0.3"/>
    <row r="11509" x14ac:dyDescent="0.3"/>
    <row r="11510" x14ac:dyDescent="0.3"/>
    <row r="11511" x14ac:dyDescent="0.3"/>
    <row r="11512" x14ac:dyDescent="0.3"/>
    <row r="11513" x14ac:dyDescent="0.3"/>
    <row r="11514" x14ac:dyDescent="0.3"/>
    <row r="11515" x14ac:dyDescent="0.3"/>
    <row r="11516" x14ac:dyDescent="0.3"/>
    <row r="11517" x14ac:dyDescent="0.3"/>
    <row r="11518" x14ac:dyDescent="0.3"/>
    <row r="11519" x14ac:dyDescent="0.3"/>
    <row r="11520" x14ac:dyDescent="0.3"/>
    <row r="11521" x14ac:dyDescent="0.3"/>
    <row r="11522" x14ac:dyDescent="0.3"/>
    <row r="11523" x14ac:dyDescent="0.3"/>
    <row r="11524" x14ac:dyDescent="0.3"/>
    <row r="11525" x14ac:dyDescent="0.3"/>
    <row r="11526" x14ac:dyDescent="0.3"/>
    <row r="11527" x14ac:dyDescent="0.3"/>
    <row r="11528" x14ac:dyDescent="0.3"/>
    <row r="11529" x14ac:dyDescent="0.3"/>
    <row r="11530" x14ac:dyDescent="0.3"/>
    <row r="11531" x14ac:dyDescent="0.3"/>
    <row r="11532" x14ac:dyDescent="0.3"/>
    <row r="11533" x14ac:dyDescent="0.3"/>
    <row r="11534" x14ac:dyDescent="0.3"/>
    <row r="11535" x14ac:dyDescent="0.3"/>
    <row r="11536" x14ac:dyDescent="0.3"/>
    <row r="11537" x14ac:dyDescent="0.3"/>
    <row r="11538" x14ac:dyDescent="0.3"/>
    <row r="11539" x14ac:dyDescent="0.3"/>
    <row r="11540" x14ac:dyDescent="0.3"/>
    <row r="11541" x14ac:dyDescent="0.3"/>
    <row r="11542" x14ac:dyDescent="0.3"/>
    <row r="11543" x14ac:dyDescent="0.3"/>
    <row r="11544" x14ac:dyDescent="0.3"/>
    <row r="11545" x14ac:dyDescent="0.3"/>
    <row r="11546" x14ac:dyDescent="0.3"/>
    <row r="11547" x14ac:dyDescent="0.3"/>
    <row r="11548" x14ac:dyDescent="0.3"/>
    <row r="11549" x14ac:dyDescent="0.3"/>
    <row r="11550" x14ac:dyDescent="0.3"/>
    <row r="11551" x14ac:dyDescent="0.3"/>
    <row r="11552" x14ac:dyDescent="0.3"/>
    <row r="11553" x14ac:dyDescent="0.3"/>
    <row r="11554" x14ac:dyDescent="0.3"/>
    <row r="11555" x14ac:dyDescent="0.3"/>
    <row r="11556" x14ac:dyDescent="0.3"/>
    <row r="11557" x14ac:dyDescent="0.3"/>
    <row r="11558" x14ac:dyDescent="0.3"/>
    <row r="11559" x14ac:dyDescent="0.3"/>
    <row r="11560" x14ac:dyDescent="0.3"/>
    <row r="11561" x14ac:dyDescent="0.3"/>
    <row r="11562" x14ac:dyDescent="0.3"/>
    <row r="11563" x14ac:dyDescent="0.3"/>
    <row r="11564" x14ac:dyDescent="0.3"/>
    <row r="11565" x14ac:dyDescent="0.3"/>
    <row r="11566" x14ac:dyDescent="0.3"/>
    <row r="11567" x14ac:dyDescent="0.3"/>
    <row r="11568" x14ac:dyDescent="0.3"/>
    <row r="11569" x14ac:dyDescent="0.3"/>
    <row r="11570" x14ac:dyDescent="0.3"/>
    <row r="11571" x14ac:dyDescent="0.3"/>
    <row r="11572" x14ac:dyDescent="0.3"/>
    <row r="11573" x14ac:dyDescent="0.3"/>
    <row r="11574" x14ac:dyDescent="0.3"/>
    <row r="11575" x14ac:dyDescent="0.3"/>
    <row r="11576" x14ac:dyDescent="0.3"/>
    <row r="11577" x14ac:dyDescent="0.3"/>
    <row r="11578" x14ac:dyDescent="0.3"/>
    <row r="11579" x14ac:dyDescent="0.3"/>
    <row r="11580" x14ac:dyDescent="0.3"/>
    <row r="11581" x14ac:dyDescent="0.3"/>
    <row r="11582" x14ac:dyDescent="0.3"/>
    <row r="11583" x14ac:dyDescent="0.3"/>
    <row r="11584" x14ac:dyDescent="0.3"/>
    <row r="11585" x14ac:dyDescent="0.3"/>
    <row r="11586" x14ac:dyDescent="0.3"/>
    <row r="11587" x14ac:dyDescent="0.3"/>
    <row r="11588" x14ac:dyDescent="0.3"/>
    <row r="11589" x14ac:dyDescent="0.3"/>
    <row r="11590" x14ac:dyDescent="0.3"/>
    <row r="11591" x14ac:dyDescent="0.3"/>
    <row r="11592" x14ac:dyDescent="0.3"/>
    <row r="11593" x14ac:dyDescent="0.3"/>
    <row r="11594" x14ac:dyDescent="0.3"/>
    <row r="11595" x14ac:dyDescent="0.3"/>
    <row r="11596" x14ac:dyDescent="0.3"/>
    <row r="11597" x14ac:dyDescent="0.3"/>
    <row r="11598" x14ac:dyDescent="0.3"/>
    <row r="11599" x14ac:dyDescent="0.3"/>
    <row r="11600" x14ac:dyDescent="0.3"/>
    <row r="11601" x14ac:dyDescent="0.3"/>
    <row r="11602" x14ac:dyDescent="0.3"/>
    <row r="11603" x14ac:dyDescent="0.3"/>
    <row r="11604" x14ac:dyDescent="0.3"/>
    <row r="11605" x14ac:dyDescent="0.3"/>
    <row r="11606" x14ac:dyDescent="0.3"/>
    <row r="11607" x14ac:dyDescent="0.3"/>
    <row r="11608" x14ac:dyDescent="0.3"/>
    <row r="11609" x14ac:dyDescent="0.3"/>
    <row r="11610" x14ac:dyDescent="0.3"/>
    <row r="11611" x14ac:dyDescent="0.3"/>
    <row r="11612" x14ac:dyDescent="0.3"/>
    <row r="11613" x14ac:dyDescent="0.3"/>
    <row r="11614" x14ac:dyDescent="0.3"/>
    <row r="11615" x14ac:dyDescent="0.3"/>
    <row r="11616" x14ac:dyDescent="0.3"/>
    <row r="11617" x14ac:dyDescent="0.3"/>
    <row r="11618" x14ac:dyDescent="0.3"/>
    <row r="11619" x14ac:dyDescent="0.3"/>
    <row r="11620" x14ac:dyDescent="0.3"/>
    <row r="11621" x14ac:dyDescent="0.3"/>
    <row r="11622" x14ac:dyDescent="0.3"/>
    <row r="11623" x14ac:dyDescent="0.3"/>
    <row r="11624" x14ac:dyDescent="0.3"/>
    <row r="11625" x14ac:dyDescent="0.3"/>
    <row r="11626" x14ac:dyDescent="0.3"/>
    <row r="11627" x14ac:dyDescent="0.3"/>
    <row r="11628" x14ac:dyDescent="0.3"/>
    <row r="11629" x14ac:dyDescent="0.3"/>
    <row r="11630" x14ac:dyDescent="0.3"/>
    <row r="11631" x14ac:dyDescent="0.3"/>
    <row r="11632" x14ac:dyDescent="0.3"/>
    <row r="11633" x14ac:dyDescent="0.3"/>
    <row r="11634" x14ac:dyDescent="0.3"/>
    <row r="11635" x14ac:dyDescent="0.3"/>
    <row r="11636" x14ac:dyDescent="0.3"/>
    <row r="11637" x14ac:dyDescent="0.3"/>
    <row r="11638" x14ac:dyDescent="0.3"/>
    <row r="11639" x14ac:dyDescent="0.3"/>
    <row r="11640" x14ac:dyDescent="0.3"/>
    <row r="11641" x14ac:dyDescent="0.3"/>
    <row r="11642" x14ac:dyDescent="0.3"/>
    <row r="11643" x14ac:dyDescent="0.3"/>
    <row r="11644" x14ac:dyDescent="0.3"/>
    <row r="11645" x14ac:dyDescent="0.3"/>
    <row r="11646" x14ac:dyDescent="0.3"/>
    <row r="11647" x14ac:dyDescent="0.3"/>
    <row r="11648" x14ac:dyDescent="0.3"/>
    <row r="11649" x14ac:dyDescent="0.3"/>
    <row r="11650" x14ac:dyDescent="0.3"/>
    <row r="11651" x14ac:dyDescent="0.3"/>
    <row r="11652" x14ac:dyDescent="0.3"/>
    <row r="11653" x14ac:dyDescent="0.3"/>
    <row r="11654" x14ac:dyDescent="0.3"/>
    <row r="11655" x14ac:dyDescent="0.3"/>
    <row r="11656" x14ac:dyDescent="0.3"/>
    <row r="11657" x14ac:dyDescent="0.3"/>
    <row r="11658" x14ac:dyDescent="0.3"/>
    <row r="11659" x14ac:dyDescent="0.3"/>
    <row r="11660" x14ac:dyDescent="0.3"/>
    <row r="11661" x14ac:dyDescent="0.3"/>
    <row r="11662" x14ac:dyDescent="0.3"/>
    <row r="11663" x14ac:dyDescent="0.3"/>
    <row r="11664" x14ac:dyDescent="0.3"/>
    <row r="11665" x14ac:dyDescent="0.3"/>
    <row r="11666" x14ac:dyDescent="0.3"/>
    <row r="11667" x14ac:dyDescent="0.3"/>
    <row r="11668" x14ac:dyDescent="0.3"/>
    <row r="11669" x14ac:dyDescent="0.3"/>
    <row r="11670" x14ac:dyDescent="0.3"/>
    <row r="11671" x14ac:dyDescent="0.3"/>
    <row r="11672" x14ac:dyDescent="0.3"/>
    <row r="11673" x14ac:dyDescent="0.3"/>
    <row r="11674" x14ac:dyDescent="0.3"/>
    <row r="11675" x14ac:dyDescent="0.3"/>
    <row r="11676" x14ac:dyDescent="0.3"/>
    <row r="11677" x14ac:dyDescent="0.3"/>
    <row r="11678" x14ac:dyDescent="0.3"/>
    <row r="11679" x14ac:dyDescent="0.3"/>
    <row r="11680" x14ac:dyDescent="0.3"/>
    <row r="11681" x14ac:dyDescent="0.3"/>
    <row r="11682" x14ac:dyDescent="0.3"/>
    <row r="11683" x14ac:dyDescent="0.3"/>
    <row r="11684" x14ac:dyDescent="0.3"/>
    <row r="11685" x14ac:dyDescent="0.3"/>
    <row r="11686" x14ac:dyDescent="0.3"/>
    <row r="11687" x14ac:dyDescent="0.3"/>
    <row r="11688" x14ac:dyDescent="0.3"/>
    <row r="11689" x14ac:dyDescent="0.3"/>
    <row r="11690" x14ac:dyDescent="0.3"/>
    <row r="11691" x14ac:dyDescent="0.3"/>
    <row r="11692" x14ac:dyDescent="0.3"/>
    <row r="11693" x14ac:dyDescent="0.3"/>
    <row r="11694" x14ac:dyDescent="0.3"/>
    <row r="11695" x14ac:dyDescent="0.3"/>
    <row r="11696" x14ac:dyDescent="0.3"/>
    <row r="11697" x14ac:dyDescent="0.3"/>
    <row r="11698" x14ac:dyDescent="0.3"/>
    <row r="11699" x14ac:dyDescent="0.3"/>
    <row r="11700" x14ac:dyDescent="0.3"/>
    <row r="11701" x14ac:dyDescent="0.3"/>
    <row r="11702" x14ac:dyDescent="0.3"/>
    <row r="11703" x14ac:dyDescent="0.3"/>
    <row r="11704" x14ac:dyDescent="0.3"/>
    <row r="11705" x14ac:dyDescent="0.3"/>
    <row r="11706" x14ac:dyDescent="0.3"/>
    <row r="11707" x14ac:dyDescent="0.3"/>
    <row r="11708" x14ac:dyDescent="0.3"/>
    <row r="11709" x14ac:dyDescent="0.3"/>
    <row r="11710" x14ac:dyDescent="0.3"/>
    <row r="11711" x14ac:dyDescent="0.3"/>
    <row r="11712" x14ac:dyDescent="0.3"/>
    <row r="11713" x14ac:dyDescent="0.3"/>
    <row r="11714" x14ac:dyDescent="0.3"/>
    <row r="11715" x14ac:dyDescent="0.3"/>
    <row r="11716" x14ac:dyDescent="0.3"/>
    <row r="11717" x14ac:dyDescent="0.3"/>
    <row r="11718" x14ac:dyDescent="0.3"/>
    <row r="11719" x14ac:dyDescent="0.3"/>
    <row r="11720" x14ac:dyDescent="0.3"/>
    <row r="11721" x14ac:dyDescent="0.3"/>
    <row r="11722" x14ac:dyDescent="0.3"/>
    <row r="11723" x14ac:dyDescent="0.3"/>
    <row r="11724" x14ac:dyDescent="0.3"/>
    <row r="11725" x14ac:dyDescent="0.3"/>
    <row r="11726" x14ac:dyDescent="0.3"/>
    <row r="11727" x14ac:dyDescent="0.3"/>
    <row r="11728" x14ac:dyDescent="0.3"/>
    <row r="11729" x14ac:dyDescent="0.3"/>
    <row r="11730" x14ac:dyDescent="0.3"/>
    <row r="11731" x14ac:dyDescent="0.3"/>
    <row r="11732" x14ac:dyDescent="0.3"/>
    <row r="11733" x14ac:dyDescent="0.3"/>
    <row r="11734" x14ac:dyDescent="0.3"/>
    <row r="11735" x14ac:dyDescent="0.3"/>
    <row r="11736" x14ac:dyDescent="0.3"/>
    <row r="11737" x14ac:dyDescent="0.3"/>
    <row r="11738" x14ac:dyDescent="0.3"/>
    <row r="11739" x14ac:dyDescent="0.3"/>
    <row r="11740" x14ac:dyDescent="0.3"/>
    <row r="11741" x14ac:dyDescent="0.3"/>
    <row r="11742" x14ac:dyDescent="0.3"/>
    <row r="11743" x14ac:dyDescent="0.3"/>
    <row r="11744" x14ac:dyDescent="0.3"/>
    <row r="11745" x14ac:dyDescent="0.3"/>
    <row r="11746" x14ac:dyDescent="0.3"/>
    <row r="11747" x14ac:dyDescent="0.3"/>
    <row r="11748" x14ac:dyDescent="0.3"/>
    <row r="11749" x14ac:dyDescent="0.3"/>
    <row r="11750" x14ac:dyDescent="0.3"/>
    <row r="11751" x14ac:dyDescent="0.3"/>
    <row r="11752" x14ac:dyDescent="0.3"/>
    <row r="11753" x14ac:dyDescent="0.3"/>
    <row r="11754" x14ac:dyDescent="0.3"/>
    <row r="11755" x14ac:dyDescent="0.3"/>
    <row r="11756" x14ac:dyDescent="0.3"/>
    <row r="11757" x14ac:dyDescent="0.3"/>
    <row r="11758" x14ac:dyDescent="0.3"/>
    <row r="11759" x14ac:dyDescent="0.3"/>
    <row r="11760" x14ac:dyDescent="0.3"/>
    <row r="11761" x14ac:dyDescent="0.3"/>
    <row r="11762" x14ac:dyDescent="0.3"/>
    <row r="11763" x14ac:dyDescent="0.3"/>
    <row r="11764" x14ac:dyDescent="0.3"/>
    <row r="11765" x14ac:dyDescent="0.3"/>
    <row r="11766" x14ac:dyDescent="0.3"/>
    <row r="11767" x14ac:dyDescent="0.3"/>
    <row r="11768" x14ac:dyDescent="0.3"/>
    <row r="11769" x14ac:dyDescent="0.3"/>
    <row r="11770" x14ac:dyDescent="0.3"/>
    <row r="11771" x14ac:dyDescent="0.3"/>
    <row r="11772" x14ac:dyDescent="0.3"/>
    <row r="11773" x14ac:dyDescent="0.3"/>
    <row r="11774" x14ac:dyDescent="0.3"/>
    <row r="11775" x14ac:dyDescent="0.3"/>
    <row r="11776" x14ac:dyDescent="0.3"/>
    <row r="11777" x14ac:dyDescent="0.3"/>
    <row r="11778" x14ac:dyDescent="0.3"/>
    <row r="11779" x14ac:dyDescent="0.3"/>
    <row r="11780" x14ac:dyDescent="0.3"/>
    <row r="11781" x14ac:dyDescent="0.3"/>
    <row r="11782" x14ac:dyDescent="0.3"/>
    <row r="11783" x14ac:dyDescent="0.3"/>
    <row r="11784" x14ac:dyDescent="0.3"/>
    <row r="11785" x14ac:dyDescent="0.3"/>
    <row r="11786" x14ac:dyDescent="0.3"/>
    <row r="11787" x14ac:dyDescent="0.3"/>
    <row r="11788" x14ac:dyDescent="0.3"/>
    <row r="11789" x14ac:dyDescent="0.3"/>
    <row r="11790" x14ac:dyDescent="0.3"/>
    <row r="11791" x14ac:dyDescent="0.3"/>
    <row r="11792" x14ac:dyDescent="0.3"/>
    <row r="11793" x14ac:dyDescent="0.3"/>
    <row r="11794" x14ac:dyDescent="0.3"/>
    <row r="11795" x14ac:dyDescent="0.3"/>
    <row r="11796" x14ac:dyDescent="0.3"/>
    <row r="11797" x14ac:dyDescent="0.3"/>
    <row r="11798" x14ac:dyDescent="0.3"/>
    <row r="11799" x14ac:dyDescent="0.3"/>
    <row r="11800" x14ac:dyDescent="0.3"/>
    <row r="11801" x14ac:dyDescent="0.3"/>
    <row r="11802" x14ac:dyDescent="0.3"/>
    <row r="11803" x14ac:dyDescent="0.3"/>
    <row r="11804" x14ac:dyDescent="0.3"/>
    <row r="11805" x14ac:dyDescent="0.3"/>
    <row r="11806" x14ac:dyDescent="0.3"/>
    <row r="11807" x14ac:dyDescent="0.3"/>
    <row r="11808" x14ac:dyDescent="0.3"/>
    <row r="11809" x14ac:dyDescent="0.3"/>
    <row r="11810" x14ac:dyDescent="0.3"/>
    <row r="11811" x14ac:dyDescent="0.3"/>
    <row r="11812" x14ac:dyDescent="0.3"/>
    <row r="11813" x14ac:dyDescent="0.3"/>
    <row r="11814" x14ac:dyDescent="0.3"/>
    <row r="11815" x14ac:dyDescent="0.3"/>
    <row r="11816" x14ac:dyDescent="0.3"/>
    <row r="11817" x14ac:dyDescent="0.3"/>
    <row r="11818" x14ac:dyDescent="0.3"/>
    <row r="11819" x14ac:dyDescent="0.3"/>
    <row r="11820" x14ac:dyDescent="0.3"/>
    <row r="11821" x14ac:dyDescent="0.3"/>
    <row r="11822" x14ac:dyDescent="0.3"/>
    <row r="11823" x14ac:dyDescent="0.3"/>
    <row r="11824" x14ac:dyDescent="0.3"/>
    <row r="11825" x14ac:dyDescent="0.3"/>
    <row r="11826" x14ac:dyDescent="0.3"/>
    <row r="11827" x14ac:dyDescent="0.3"/>
    <row r="11828" x14ac:dyDescent="0.3"/>
    <row r="11829" x14ac:dyDescent="0.3"/>
    <row r="11830" x14ac:dyDescent="0.3"/>
    <row r="11831" x14ac:dyDescent="0.3"/>
    <row r="11832" x14ac:dyDescent="0.3"/>
    <row r="11833" x14ac:dyDescent="0.3"/>
    <row r="11834" x14ac:dyDescent="0.3"/>
    <row r="11835" x14ac:dyDescent="0.3"/>
    <row r="11836" x14ac:dyDescent="0.3"/>
    <row r="11837" x14ac:dyDescent="0.3"/>
    <row r="11838" x14ac:dyDescent="0.3"/>
    <row r="11839" x14ac:dyDescent="0.3"/>
    <row r="11840" x14ac:dyDescent="0.3"/>
    <row r="11841" x14ac:dyDescent="0.3"/>
    <row r="11842" x14ac:dyDescent="0.3"/>
    <row r="11843" x14ac:dyDescent="0.3"/>
    <row r="11844" x14ac:dyDescent="0.3"/>
    <row r="11845" x14ac:dyDescent="0.3"/>
    <row r="11846" x14ac:dyDescent="0.3"/>
    <row r="11847" x14ac:dyDescent="0.3"/>
    <row r="11848" x14ac:dyDescent="0.3"/>
    <row r="11849" x14ac:dyDescent="0.3"/>
    <row r="11850" x14ac:dyDescent="0.3"/>
    <row r="11851" x14ac:dyDescent="0.3"/>
    <row r="11852" x14ac:dyDescent="0.3"/>
    <row r="11853" x14ac:dyDescent="0.3"/>
    <row r="11854" x14ac:dyDescent="0.3"/>
    <row r="11855" x14ac:dyDescent="0.3"/>
    <row r="11856" x14ac:dyDescent="0.3"/>
    <row r="11857" x14ac:dyDescent="0.3"/>
    <row r="11858" x14ac:dyDescent="0.3"/>
    <row r="11859" x14ac:dyDescent="0.3"/>
    <row r="11860" x14ac:dyDescent="0.3"/>
    <row r="11861" x14ac:dyDescent="0.3"/>
    <row r="11862" x14ac:dyDescent="0.3"/>
    <row r="11863" x14ac:dyDescent="0.3"/>
    <row r="11864" x14ac:dyDescent="0.3"/>
    <row r="11865" x14ac:dyDescent="0.3"/>
    <row r="11866" x14ac:dyDescent="0.3"/>
    <row r="11867" x14ac:dyDescent="0.3"/>
    <row r="11868" x14ac:dyDescent="0.3"/>
    <row r="11869" x14ac:dyDescent="0.3"/>
    <row r="11870" x14ac:dyDescent="0.3"/>
    <row r="11871" x14ac:dyDescent="0.3"/>
    <row r="11872" x14ac:dyDescent="0.3"/>
    <row r="11873" x14ac:dyDescent="0.3"/>
    <row r="11874" x14ac:dyDescent="0.3"/>
    <row r="11875" x14ac:dyDescent="0.3"/>
    <row r="11876" x14ac:dyDescent="0.3"/>
    <row r="11877" x14ac:dyDescent="0.3"/>
    <row r="11878" x14ac:dyDescent="0.3"/>
    <row r="11879" x14ac:dyDescent="0.3"/>
    <row r="11880" x14ac:dyDescent="0.3"/>
    <row r="11881" x14ac:dyDescent="0.3"/>
    <row r="11882" x14ac:dyDescent="0.3"/>
    <row r="11883" x14ac:dyDescent="0.3"/>
    <row r="11884" x14ac:dyDescent="0.3"/>
    <row r="11885" x14ac:dyDescent="0.3"/>
    <row r="11886" x14ac:dyDescent="0.3"/>
    <row r="11887" x14ac:dyDescent="0.3"/>
    <row r="11888" x14ac:dyDescent="0.3"/>
    <row r="11889" x14ac:dyDescent="0.3"/>
    <row r="11890" x14ac:dyDescent="0.3"/>
    <row r="11891" x14ac:dyDescent="0.3"/>
    <row r="11892" x14ac:dyDescent="0.3"/>
    <row r="11893" x14ac:dyDescent="0.3"/>
    <row r="11894" x14ac:dyDescent="0.3"/>
    <row r="11895" x14ac:dyDescent="0.3"/>
    <row r="11896" x14ac:dyDescent="0.3"/>
    <row r="11897" x14ac:dyDescent="0.3"/>
    <row r="11898" x14ac:dyDescent="0.3"/>
    <row r="11899" x14ac:dyDescent="0.3"/>
    <row r="11900" x14ac:dyDescent="0.3"/>
    <row r="11901" x14ac:dyDescent="0.3"/>
    <row r="11902" x14ac:dyDescent="0.3"/>
    <row r="11903" x14ac:dyDescent="0.3"/>
    <row r="11904" x14ac:dyDescent="0.3"/>
    <row r="11905" x14ac:dyDescent="0.3"/>
    <row r="11906" x14ac:dyDescent="0.3"/>
    <row r="11907" x14ac:dyDescent="0.3"/>
    <row r="11908" x14ac:dyDescent="0.3"/>
    <row r="11909" x14ac:dyDescent="0.3"/>
    <row r="11910" x14ac:dyDescent="0.3"/>
    <row r="11911" x14ac:dyDescent="0.3"/>
    <row r="11912" x14ac:dyDescent="0.3"/>
    <row r="11913" x14ac:dyDescent="0.3"/>
    <row r="11914" x14ac:dyDescent="0.3"/>
    <row r="11915" x14ac:dyDescent="0.3"/>
    <row r="11916" x14ac:dyDescent="0.3"/>
    <row r="11917" x14ac:dyDescent="0.3"/>
    <row r="11918" x14ac:dyDescent="0.3"/>
    <row r="11919" x14ac:dyDescent="0.3"/>
    <row r="11920" x14ac:dyDescent="0.3"/>
    <row r="11921" x14ac:dyDescent="0.3"/>
    <row r="11922" x14ac:dyDescent="0.3"/>
    <row r="11923" x14ac:dyDescent="0.3"/>
    <row r="11924" x14ac:dyDescent="0.3"/>
    <row r="11925" x14ac:dyDescent="0.3"/>
    <row r="11926" x14ac:dyDescent="0.3"/>
    <row r="11927" x14ac:dyDescent="0.3"/>
    <row r="11928" x14ac:dyDescent="0.3"/>
    <row r="11929" x14ac:dyDescent="0.3"/>
    <row r="11930" x14ac:dyDescent="0.3"/>
    <row r="11931" x14ac:dyDescent="0.3"/>
    <row r="11932" x14ac:dyDescent="0.3"/>
    <row r="11933" x14ac:dyDescent="0.3"/>
    <row r="11934" x14ac:dyDescent="0.3"/>
    <row r="11935" x14ac:dyDescent="0.3"/>
    <row r="11936" x14ac:dyDescent="0.3"/>
    <row r="11937" x14ac:dyDescent="0.3"/>
    <row r="11938" x14ac:dyDescent="0.3"/>
    <row r="11939" x14ac:dyDescent="0.3"/>
    <row r="11940" x14ac:dyDescent="0.3"/>
    <row r="11941" x14ac:dyDescent="0.3"/>
    <row r="11942" x14ac:dyDescent="0.3"/>
    <row r="11943" x14ac:dyDescent="0.3"/>
    <row r="11944" x14ac:dyDescent="0.3"/>
    <row r="11945" x14ac:dyDescent="0.3"/>
    <row r="11946" x14ac:dyDescent="0.3"/>
    <row r="11947" x14ac:dyDescent="0.3"/>
    <row r="11948" x14ac:dyDescent="0.3"/>
    <row r="11949" x14ac:dyDescent="0.3"/>
    <row r="11950" x14ac:dyDescent="0.3"/>
    <row r="11951" x14ac:dyDescent="0.3"/>
    <row r="11952" x14ac:dyDescent="0.3"/>
    <row r="11953" x14ac:dyDescent="0.3"/>
    <row r="11954" x14ac:dyDescent="0.3"/>
    <row r="11955" x14ac:dyDescent="0.3"/>
    <row r="11956" x14ac:dyDescent="0.3"/>
    <row r="11957" x14ac:dyDescent="0.3"/>
    <row r="11958" x14ac:dyDescent="0.3"/>
    <row r="11959" x14ac:dyDescent="0.3"/>
    <row r="11960" x14ac:dyDescent="0.3"/>
    <row r="11961" x14ac:dyDescent="0.3"/>
    <row r="11962" x14ac:dyDescent="0.3"/>
    <row r="11963" x14ac:dyDescent="0.3"/>
    <row r="11964" x14ac:dyDescent="0.3"/>
    <row r="11965" x14ac:dyDescent="0.3"/>
    <row r="11966" x14ac:dyDescent="0.3"/>
    <row r="11967" x14ac:dyDescent="0.3"/>
    <row r="11968" x14ac:dyDescent="0.3"/>
    <row r="11969" x14ac:dyDescent="0.3"/>
    <row r="11970" x14ac:dyDescent="0.3"/>
    <row r="11971" x14ac:dyDescent="0.3"/>
    <row r="11972" x14ac:dyDescent="0.3"/>
    <row r="11973" x14ac:dyDescent="0.3"/>
    <row r="11974" x14ac:dyDescent="0.3"/>
    <row r="11975" x14ac:dyDescent="0.3"/>
    <row r="11976" x14ac:dyDescent="0.3"/>
    <row r="11977" x14ac:dyDescent="0.3"/>
    <row r="11978" x14ac:dyDescent="0.3"/>
    <row r="11979" x14ac:dyDescent="0.3"/>
    <row r="11980" x14ac:dyDescent="0.3"/>
    <row r="11981" x14ac:dyDescent="0.3"/>
    <row r="11982" x14ac:dyDescent="0.3"/>
    <row r="11983" x14ac:dyDescent="0.3"/>
    <row r="11984" x14ac:dyDescent="0.3"/>
    <row r="11985" x14ac:dyDescent="0.3"/>
    <row r="11986" x14ac:dyDescent="0.3"/>
    <row r="11987" x14ac:dyDescent="0.3"/>
    <row r="11988" x14ac:dyDescent="0.3"/>
    <row r="11989" x14ac:dyDescent="0.3"/>
    <row r="11990" x14ac:dyDescent="0.3"/>
    <row r="11991" x14ac:dyDescent="0.3"/>
    <row r="11992" x14ac:dyDescent="0.3"/>
    <row r="11993" x14ac:dyDescent="0.3"/>
    <row r="11994" x14ac:dyDescent="0.3"/>
    <row r="11995" x14ac:dyDescent="0.3"/>
    <row r="11996" x14ac:dyDescent="0.3"/>
    <row r="11997" x14ac:dyDescent="0.3"/>
    <row r="11998" x14ac:dyDescent="0.3"/>
    <row r="11999" x14ac:dyDescent="0.3"/>
    <row r="12000" x14ac:dyDescent="0.3"/>
    <row r="12001" x14ac:dyDescent="0.3"/>
    <row r="12002" x14ac:dyDescent="0.3"/>
    <row r="12003" x14ac:dyDescent="0.3"/>
    <row r="12004" x14ac:dyDescent="0.3"/>
    <row r="12005" x14ac:dyDescent="0.3"/>
    <row r="12006" x14ac:dyDescent="0.3"/>
    <row r="12007" x14ac:dyDescent="0.3"/>
    <row r="12008" x14ac:dyDescent="0.3"/>
    <row r="12009" x14ac:dyDescent="0.3"/>
    <row r="12010" x14ac:dyDescent="0.3"/>
    <row r="12011" x14ac:dyDescent="0.3"/>
    <row r="12012" x14ac:dyDescent="0.3"/>
    <row r="12013" x14ac:dyDescent="0.3"/>
    <row r="12014" x14ac:dyDescent="0.3"/>
    <row r="12015" x14ac:dyDescent="0.3"/>
    <row r="12016" x14ac:dyDescent="0.3"/>
    <row r="12017" x14ac:dyDescent="0.3"/>
    <row r="12018" x14ac:dyDescent="0.3"/>
    <row r="12019" x14ac:dyDescent="0.3"/>
    <row r="12020" x14ac:dyDescent="0.3"/>
    <row r="12021" x14ac:dyDescent="0.3"/>
    <row r="12022" x14ac:dyDescent="0.3"/>
    <row r="12023" x14ac:dyDescent="0.3"/>
    <row r="12024" x14ac:dyDescent="0.3"/>
    <row r="12025" x14ac:dyDescent="0.3"/>
    <row r="12026" x14ac:dyDescent="0.3"/>
    <row r="12027" x14ac:dyDescent="0.3"/>
    <row r="12028" x14ac:dyDescent="0.3"/>
    <row r="12029" x14ac:dyDescent="0.3"/>
    <row r="12030" x14ac:dyDescent="0.3"/>
    <row r="12031" x14ac:dyDescent="0.3"/>
    <row r="12032" x14ac:dyDescent="0.3"/>
    <row r="12033" x14ac:dyDescent="0.3"/>
    <row r="12034" x14ac:dyDescent="0.3"/>
    <row r="12035" x14ac:dyDescent="0.3"/>
    <row r="12036" x14ac:dyDescent="0.3"/>
    <row r="12037" x14ac:dyDescent="0.3"/>
    <row r="12038" x14ac:dyDescent="0.3"/>
    <row r="12039" x14ac:dyDescent="0.3"/>
    <row r="12040" x14ac:dyDescent="0.3"/>
    <row r="12041" x14ac:dyDescent="0.3"/>
    <row r="12042" x14ac:dyDescent="0.3"/>
    <row r="12043" x14ac:dyDescent="0.3"/>
    <row r="12044" x14ac:dyDescent="0.3"/>
    <row r="12045" x14ac:dyDescent="0.3"/>
    <row r="12046" x14ac:dyDescent="0.3"/>
    <row r="12047" x14ac:dyDescent="0.3"/>
    <row r="12048" x14ac:dyDescent="0.3"/>
    <row r="12049" x14ac:dyDescent="0.3"/>
    <row r="12050" x14ac:dyDescent="0.3"/>
    <row r="12051" x14ac:dyDescent="0.3"/>
    <row r="12052" x14ac:dyDescent="0.3"/>
    <row r="12053" x14ac:dyDescent="0.3"/>
    <row r="12054" x14ac:dyDescent="0.3"/>
    <row r="12055" x14ac:dyDescent="0.3"/>
    <row r="12056" x14ac:dyDescent="0.3"/>
    <row r="12057" x14ac:dyDescent="0.3"/>
    <row r="12058" x14ac:dyDescent="0.3"/>
    <row r="12059" x14ac:dyDescent="0.3"/>
    <row r="12060" x14ac:dyDescent="0.3"/>
    <row r="12061" x14ac:dyDescent="0.3"/>
    <row r="12062" x14ac:dyDescent="0.3"/>
    <row r="12063" x14ac:dyDescent="0.3"/>
    <row r="12064" x14ac:dyDescent="0.3"/>
    <row r="12065" x14ac:dyDescent="0.3"/>
    <row r="12066" x14ac:dyDescent="0.3"/>
    <row r="12067" x14ac:dyDescent="0.3"/>
    <row r="12068" x14ac:dyDescent="0.3"/>
    <row r="12069" x14ac:dyDescent="0.3"/>
    <row r="12070" x14ac:dyDescent="0.3"/>
    <row r="12071" x14ac:dyDescent="0.3"/>
    <row r="12072" x14ac:dyDescent="0.3"/>
    <row r="12073" x14ac:dyDescent="0.3"/>
    <row r="12074" x14ac:dyDescent="0.3"/>
    <row r="12075" x14ac:dyDescent="0.3"/>
    <row r="12076" x14ac:dyDescent="0.3"/>
    <row r="12077" x14ac:dyDescent="0.3"/>
    <row r="12078" x14ac:dyDescent="0.3"/>
    <row r="12079" x14ac:dyDescent="0.3"/>
    <row r="12080" x14ac:dyDescent="0.3"/>
    <row r="12081" x14ac:dyDescent="0.3"/>
    <row r="12082" x14ac:dyDescent="0.3"/>
    <row r="12083" x14ac:dyDescent="0.3"/>
    <row r="12084" x14ac:dyDescent="0.3"/>
    <row r="12085" x14ac:dyDescent="0.3"/>
    <row r="12086" x14ac:dyDescent="0.3"/>
    <row r="12087" x14ac:dyDescent="0.3"/>
    <row r="12088" x14ac:dyDescent="0.3"/>
    <row r="12089" x14ac:dyDescent="0.3"/>
    <row r="12090" x14ac:dyDescent="0.3"/>
    <row r="12091" x14ac:dyDescent="0.3"/>
    <row r="12092" x14ac:dyDescent="0.3"/>
    <row r="12093" x14ac:dyDescent="0.3"/>
    <row r="12094" x14ac:dyDescent="0.3"/>
    <row r="12095" x14ac:dyDescent="0.3"/>
    <row r="12096" x14ac:dyDescent="0.3"/>
    <row r="12097" x14ac:dyDescent="0.3"/>
    <row r="12098" x14ac:dyDescent="0.3"/>
    <row r="12099" x14ac:dyDescent="0.3"/>
    <row r="12100" x14ac:dyDescent="0.3"/>
    <row r="12101" x14ac:dyDescent="0.3"/>
    <row r="12102" x14ac:dyDescent="0.3"/>
    <row r="12103" x14ac:dyDescent="0.3"/>
    <row r="12104" x14ac:dyDescent="0.3"/>
    <row r="12105" x14ac:dyDescent="0.3"/>
    <row r="12106" x14ac:dyDescent="0.3"/>
    <row r="12107" x14ac:dyDescent="0.3"/>
    <row r="12108" x14ac:dyDescent="0.3"/>
    <row r="12109" x14ac:dyDescent="0.3"/>
    <row r="12110" x14ac:dyDescent="0.3"/>
    <row r="12111" x14ac:dyDescent="0.3"/>
    <row r="12112" x14ac:dyDescent="0.3"/>
    <row r="12113" x14ac:dyDescent="0.3"/>
    <row r="12114" x14ac:dyDescent="0.3"/>
    <row r="12115" x14ac:dyDescent="0.3"/>
    <row r="12116" x14ac:dyDescent="0.3"/>
    <row r="12117" x14ac:dyDescent="0.3"/>
    <row r="12118" x14ac:dyDescent="0.3"/>
    <row r="12119" x14ac:dyDescent="0.3"/>
    <row r="12120" x14ac:dyDescent="0.3"/>
    <row r="12121" x14ac:dyDescent="0.3"/>
    <row r="12122" x14ac:dyDescent="0.3"/>
    <row r="12123" x14ac:dyDescent="0.3"/>
    <row r="12124" x14ac:dyDescent="0.3"/>
    <row r="12125" x14ac:dyDescent="0.3"/>
    <row r="12126" x14ac:dyDescent="0.3"/>
    <row r="12127" x14ac:dyDescent="0.3"/>
    <row r="12128" x14ac:dyDescent="0.3"/>
    <row r="12129" x14ac:dyDescent="0.3"/>
    <row r="12130" x14ac:dyDescent="0.3"/>
    <row r="12131" x14ac:dyDescent="0.3"/>
    <row r="12132" x14ac:dyDescent="0.3"/>
    <row r="12133" x14ac:dyDescent="0.3"/>
    <row r="12134" x14ac:dyDescent="0.3"/>
    <row r="12135" x14ac:dyDescent="0.3"/>
    <row r="12136" x14ac:dyDescent="0.3"/>
    <row r="12137" x14ac:dyDescent="0.3"/>
    <row r="12138" x14ac:dyDescent="0.3"/>
    <row r="12139" x14ac:dyDescent="0.3"/>
    <row r="12140" x14ac:dyDescent="0.3"/>
    <row r="12141" x14ac:dyDescent="0.3"/>
    <row r="12142" x14ac:dyDescent="0.3"/>
    <row r="12143" x14ac:dyDescent="0.3"/>
    <row r="12144" x14ac:dyDescent="0.3"/>
    <row r="12145" x14ac:dyDescent="0.3"/>
    <row r="12146" x14ac:dyDescent="0.3"/>
    <row r="12147" x14ac:dyDescent="0.3"/>
    <row r="12148" x14ac:dyDescent="0.3"/>
    <row r="12149" x14ac:dyDescent="0.3"/>
    <row r="12150" x14ac:dyDescent="0.3"/>
    <row r="12151" x14ac:dyDescent="0.3"/>
    <row r="12152" x14ac:dyDescent="0.3"/>
    <row r="12153" x14ac:dyDescent="0.3"/>
    <row r="12154" x14ac:dyDescent="0.3"/>
    <row r="12155" x14ac:dyDescent="0.3"/>
    <row r="12156" x14ac:dyDescent="0.3"/>
    <row r="12157" x14ac:dyDescent="0.3"/>
    <row r="12158" x14ac:dyDescent="0.3"/>
    <row r="12159" x14ac:dyDescent="0.3"/>
    <row r="12160" x14ac:dyDescent="0.3"/>
    <row r="12161" x14ac:dyDescent="0.3"/>
    <row r="12162" x14ac:dyDescent="0.3"/>
    <row r="12163" x14ac:dyDescent="0.3"/>
    <row r="12164" x14ac:dyDescent="0.3"/>
    <row r="12165" x14ac:dyDescent="0.3"/>
    <row r="12166" x14ac:dyDescent="0.3"/>
    <row r="12167" x14ac:dyDescent="0.3"/>
    <row r="12168" x14ac:dyDescent="0.3"/>
    <row r="12169" x14ac:dyDescent="0.3"/>
    <row r="12170" x14ac:dyDescent="0.3"/>
    <row r="12171" x14ac:dyDescent="0.3"/>
    <row r="12172" x14ac:dyDescent="0.3"/>
    <row r="12173" x14ac:dyDescent="0.3"/>
    <row r="12174" x14ac:dyDescent="0.3"/>
    <row r="12175" x14ac:dyDescent="0.3"/>
    <row r="12176" x14ac:dyDescent="0.3"/>
    <row r="12177" x14ac:dyDescent="0.3"/>
    <row r="12178" x14ac:dyDescent="0.3"/>
    <row r="12179" x14ac:dyDescent="0.3"/>
    <row r="12180" x14ac:dyDescent="0.3"/>
    <row r="12181" x14ac:dyDescent="0.3"/>
    <row r="12182" x14ac:dyDescent="0.3"/>
    <row r="12183" x14ac:dyDescent="0.3"/>
    <row r="12184" x14ac:dyDescent="0.3"/>
    <row r="12185" x14ac:dyDescent="0.3"/>
    <row r="12186" x14ac:dyDescent="0.3"/>
    <row r="12187" x14ac:dyDescent="0.3"/>
    <row r="12188" x14ac:dyDescent="0.3"/>
    <row r="12189" x14ac:dyDescent="0.3"/>
    <row r="12190" x14ac:dyDescent="0.3"/>
    <row r="12191" x14ac:dyDescent="0.3"/>
    <row r="12192" x14ac:dyDescent="0.3"/>
    <row r="12193" x14ac:dyDescent="0.3"/>
    <row r="12194" x14ac:dyDescent="0.3"/>
    <row r="12195" x14ac:dyDescent="0.3"/>
    <row r="12196" x14ac:dyDescent="0.3"/>
    <row r="12197" x14ac:dyDescent="0.3"/>
    <row r="12198" x14ac:dyDescent="0.3"/>
    <row r="12199" x14ac:dyDescent="0.3"/>
    <row r="12200" x14ac:dyDescent="0.3"/>
    <row r="12201" x14ac:dyDescent="0.3"/>
    <row r="12202" x14ac:dyDescent="0.3"/>
    <row r="12203" x14ac:dyDescent="0.3"/>
    <row r="12204" x14ac:dyDescent="0.3"/>
    <row r="12205" x14ac:dyDescent="0.3"/>
    <row r="12206" x14ac:dyDescent="0.3"/>
    <row r="12207" x14ac:dyDescent="0.3"/>
    <row r="12208" x14ac:dyDescent="0.3"/>
    <row r="12209" x14ac:dyDescent="0.3"/>
    <row r="12210" x14ac:dyDescent="0.3"/>
    <row r="12211" x14ac:dyDescent="0.3"/>
    <row r="12212" x14ac:dyDescent="0.3"/>
    <row r="12213" x14ac:dyDescent="0.3"/>
    <row r="12214" x14ac:dyDescent="0.3"/>
    <row r="12215" x14ac:dyDescent="0.3"/>
    <row r="12216" x14ac:dyDescent="0.3"/>
    <row r="12217" x14ac:dyDescent="0.3"/>
    <row r="12218" x14ac:dyDescent="0.3"/>
    <row r="12219" x14ac:dyDescent="0.3"/>
    <row r="12220" x14ac:dyDescent="0.3"/>
    <row r="12221" x14ac:dyDescent="0.3"/>
    <row r="12222" x14ac:dyDescent="0.3"/>
    <row r="12223" x14ac:dyDescent="0.3"/>
    <row r="12224" x14ac:dyDescent="0.3"/>
    <row r="12225" x14ac:dyDescent="0.3"/>
    <row r="12226" x14ac:dyDescent="0.3"/>
    <row r="12227" x14ac:dyDescent="0.3"/>
    <row r="12228" x14ac:dyDescent="0.3"/>
    <row r="12229" x14ac:dyDescent="0.3"/>
    <row r="12230" x14ac:dyDescent="0.3"/>
    <row r="12231" x14ac:dyDescent="0.3"/>
    <row r="12232" x14ac:dyDescent="0.3"/>
    <row r="12233" x14ac:dyDescent="0.3"/>
    <row r="12234" x14ac:dyDescent="0.3"/>
    <row r="12235" x14ac:dyDescent="0.3"/>
    <row r="12236" x14ac:dyDescent="0.3"/>
    <row r="12237" x14ac:dyDescent="0.3"/>
    <row r="12238" x14ac:dyDescent="0.3"/>
    <row r="12239" x14ac:dyDescent="0.3"/>
    <row r="12240" x14ac:dyDescent="0.3"/>
    <row r="12241" x14ac:dyDescent="0.3"/>
    <row r="12242" x14ac:dyDescent="0.3"/>
    <row r="12243" x14ac:dyDescent="0.3"/>
    <row r="12244" x14ac:dyDescent="0.3"/>
    <row r="12245" x14ac:dyDescent="0.3"/>
    <row r="12246" x14ac:dyDescent="0.3"/>
    <row r="12247" x14ac:dyDescent="0.3"/>
    <row r="12248" x14ac:dyDescent="0.3"/>
    <row r="12249" x14ac:dyDescent="0.3"/>
    <row r="12250" x14ac:dyDescent="0.3"/>
    <row r="12251" x14ac:dyDescent="0.3"/>
    <row r="12252" x14ac:dyDescent="0.3"/>
    <row r="12253" x14ac:dyDescent="0.3"/>
    <row r="12254" x14ac:dyDescent="0.3"/>
    <row r="12255" x14ac:dyDescent="0.3"/>
    <row r="12256" x14ac:dyDescent="0.3"/>
    <row r="12257" x14ac:dyDescent="0.3"/>
    <row r="12258" x14ac:dyDescent="0.3"/>
    <row r="12259" x14ac:dyDescent="0.3"/>
    <row r="12260" x14ac:dyDescent="0.3"/>
    <row r="12261" x14ac:dyDescent="0.3"/>
    <row r="12262" x14ac:dyDescent="0.3"/>
    <row r="12263" x14ac:dyDescent="0.3"/>
    <row r="12264" x14ac:dyDescent="0.3"/>
    <row r="12265" x14ac:dyDescent="0.3"/>
    <row r="12266" x14ac:dyDescent="0.3"/>
    <row r="12267" x14ac:dyDescent="0.3"/>
    <row r="12268" x14ac:dyDescent="0.3"/>
    <row r="12269" x14ac:dyDescent="0.3"/>
    <row r="12270" x14ac:dyDescent="0.3"/>
    <row r="12271" x14ac:dyDescent="0.3"/>
    <row r="12272" x14ac:dyDescent="0.3"/>
    <row r="12273" x14ac:dyDescent="0.3"/>
    <row r="12274" x14ac:dyDescent="0.3"/>
    <row r="12275" x14ac:dyDescent="0.3"/>
    <row r="12276" x14ac:dyDescent="0.3"/>
    <row r="12277" x14ac:dyDescent="0.3"/>
    <row r="12278" x14ac:dyDescent="0.3"/>
    <row r="12279" x14ac:dyDescent="0.3"/>
    <row r="12280" x14ac:dyDescent="0.3"/>
    <row r="12281" x14ac:dyDescent="0.3"/>
    <row r="12282" x14ac:dyDescent="0.3"/>
    <row r="12283" x14ac:dyDescent="0.3"/>
    <row r="12284" x14ac:dyDescent="0.3"/>
    <row r="12285" x14ac:dyDescent="0.3"/>
    <row r="12286" x14ac:dyDescent="0.3"/>
    <row r="12287" x14ac:dyDescent="0.3"/>
    <row r="12288" x14ac:dyDescent="0.3"/>
    <row r="12289" x14ac:dyDescent="0.3"/>
    <row r="12290" x14ac:dyDescent="0.3"/>
    <row r="12291" x14ac:dyDescent="0.3"/>
    <row r="12292" x14ac:dyDescent="0.3"/>
    <row r="12293" x14ac:dyDescent="0.3"/>
    <row r="12294" x14ac:dyDescent="0.3"/>
    <row r="12295" x14ac:dyDescent="0.3"/>
    <row r="12296" x14ac:dyDescent="0.3"/>
    <row r="12297" x14ac:dyDescent="0.3"/>
    <row r="12298" x14ac:dyDescent="0.3"/>
    <row r="12299" x14ac:dyDescent="0.3"/>
    <row r="12300" x14ac:dyDescent="0.3"/>
    <row r="12301" x14ac:dyDescent="0.3"/>
    <row r="12302" x14ac:dyDescent="0.3"/>
    <row r="12303" x14ac:dyDescent="0.3"/>
    <row r="12304" x14ac:dyDescent="0.3"/>
    <row r="12305" x14ac:dyDescent="0.3"/>
    <row r="12306" x14ac:dyDescent="0.3"/>
    <row r="12307" x14ac:dyDescent="0.3"/>
    <row r="12308" x14ac:dyDescent="0.3"/>
    <row r="12309" x14ac:dyDescent="0.3"/>
    <row r="12310" x14ac:dyDescent="0.3"/>
    <row r="12311" x14ac:dyDescent="0.3"/>
    <row r="12312" x14ac:dyDescent="0.3"/>
    <row r="12313" x14ac:dyDescent="0.3"/>
    <row r="12314" x14ac:dyDescent="0.3"/>
    <row r="12315" x14ac:dyDescent="0.3"/>
    <row r="12316" x14ac:dyDescent="0.3"/>
    <row r="12317" x14ac:dyDescent="0.3"/>
    <row r="12318" x14ac:dyDescent="0.3"/>
    <row r="12319" x14ac:dyDescent="0.3"/>
    <row r="12320" x14ac:dyDescent="0.3"/>
    <row r="12321" x14ac:dyDescent="0.3"/>
    <row r="12322" x14ac:dyDescent="0.3"/>
    <row r="12323" x14ac:dyDescent="0.3"/>
    <row r="12324" x14ac:dyDescent="0.3"/>
    <row r="12325" x14ac:dyDescent="0.3"/>
    <row r="12326" x14ac:dyDescent="0.3"/>
    <row r="12327" x14ac:dyDescent="0.3"/>
    <row r="12328" x14ac:dyDescent="0.3"/>
    <row r="12329" x14ac:dyDescent="0.3"/>
    <row r="12330" x14ac:dyDescent="0.3"/>
    <row r="12331" x14ac:dyDescent="0.3"/>
    <row r="12332" x14ac:dyDescent="0.3"/>
    <row r="12333" x14ac:dyDescent="0.3"/>
    <row r="12334" x14ac:dyDescent="0.3"/>
    <row r="12335" x14ac:dyDescent="0.3"/>
    <row r="12336" x14ac:dyDescent="0.3"/>
    <row r="12337" x14ac:dyDescent="0.3"/>
    <row r="12338" x14ac:dyDescent="0.3"/>
    <row r="12339" x14ac:dyDescent="0.3"/>
    <row r="12340" x14ac:dyDescent="0.3"/>
    <row r="12341" x14ac:dyDescent="0.3"/>
    <row r="12342" x14ac:dyDescent="0.3"/>
    <row r="12343" x14ac:dyDescent="0.3"/>
    <row r="12344" x14ac:dyDescent="0.3"/>
    <row r="12345" x14ac:dyDescent="0.3"/>
    <row r="12346" x14ac:dyDescent="0.3"/>
    <row r="12347" x14ac:dyDescent="0.3"/>
    <row r="12348" x14ac:dyDescent="0.3"/>
    <row r="12349" x14ac:dyDescent="0.3"/>
    <row r="12350" x14ac:dyDescent="0.3"/>
    <row r="12351" x14ac:dyDescent="0.3"/>
    <row r="12352" x14ac:dyDescent="0.3"/>
    <row r="12353" x14ac:dyDescent="0.3"/>
    <row r="12354" x14ac:dyDescent="0.3"/>
    <row r="12355" x14ac:dyDescent="0.3"/>
    <row r="12356" x14ac:dyDescent="0.3"/>
    <row r="12357" x14ac:dyDescent="0.3"/>
    <row r="12358" x14ac:dyDescent="0.3"/>
    <row r="12359" x14ac:dyDescent="0.3"/>
    <row r="12360" x14ac:dyDescent="0.3"/>
    <row r="12361" x14ac:dyDescent="0.3"/>
    <row r="12362" x14ac:dyDescent="0.3"/>
    <row r="12363" x14ac:dyDescent="0.3"/>
    <row r="12364" x14ac:dyDescent="0.3"/>
    <row r="12365" x14ac:dyDescent="0.3"/>
    <row r="12366" x14ac:dyDescent="0.3"/>
    <row r="12367" x14ac:dyDescent="0.3"/>
    <row r="12368" x14ac:dyDescent="0.3"/>
    <row r="12369" x14ac:dyDescent="0.3"/>
    <row r="12370" x14ac:dyDescent="0.3"/>
    <row r="12371" x14ac:dyDescent="0.3"/>
    <row r="12372" x14ac:dyDescent="0.3"/>
    <row r="12373" x14ac:dyDescent="0.3"/>
    <row r="12374" x14ac:dyDescent="0.3"/>
    <row r="12375" x14ac:dyDescent="0.3"/>
    <row r="12376" x14ac:dyDescent="0.3"/>
    <row r="12377" x14ac:dyDescent="0.3"/>
    <row r="12378" x14ac:dyDescent="0.3"/>
    <row r="12379" x14ac:dyDescent="0.3"/>
    <row r="12380" x14ac:dyDescent="0.3"/>
    <row r="12381" x14ac:dyDescent="0.3"/>
    <row r="12382" x14ac:dyDescent="0.3"/>
    <row r="12383" x14ac:dyDescent="0.3"/>
    <row r="12384" x14ac:dyDescent="0.3"/>
    <row r="12385" x14ac:dyDescent="0.3"/>
    <row r="12386" x14ac:dyDescent="0.3"/>
    <row r="12387" x14ac:dyDescent="0.3"/>
    <row r="12388" x14ac:dyDescent="0.3"/>
    <row r="12389" x14ac:dyDescent="0.3"/>
    <row r="12390" x14ac:dyDescent="0.3"/>
    <row r="12391" x14ac:dyDescent="0.3"/>
    <row r="12392" x14ac:dyDescent="0.3"/>
    <row r="12393" x14ac:dyDescent="0.3"/>
    <row r="12394" x14ac:dyDescent="0.3"/>
    <row r="12395" x14ac:dyDescent="0.3"/>
    <row r="12396" x14ac:dyDescent="0.3"/>
    <row r="12397" x14ac:dyDescent="0.3"/>
    <row r="12398" x14ac:dyDescent="0.3"/>
    <row r="12399" x14ac:dyDescent="0.3"/>
    <row r="12400" x14ac:dyDescent="0.3"/>
    <row r="12401" x14ac:dyDescent="0.3"/>
    <row r="12402" x14ac:dyDescent="0.3"/>
    <row r="12403" x14ac:dyDescent="0.3"/>
    <row r="12404" x14ac:dyDescent="0.3"/>
    <row r="12405" x14ac:dyDescent="0.3"/>
    <row r="12406" x14ac:dyDescent="0.3"/>
    <row r="12407" x14ac:dyDescent="0.3"/>
    <row r="12408" x14ac:dyDescent="0.3"/>
    <row r="12409" x14ac:dyDescent="0.3"/>
    <row r="12410" x14ac:dyDescent="0.3"/>
    <row r="12411" x14ac:dyDescent="0.3"/>
    <row r="12412" x14ac:dyDescent="0.3"/>
    <row r="12413" x14ac:dyDescent="0.3"/>
    <row r="12414" x14ac:dyDescent="0.3"/>
    <row r="12415" x14ac:dyDescent="0.3"/>
    <row r="12416" x14ac:dyDescent="0.3"/>
    <row r="12417" x14ac:dyDescent="0.3"/>
    <row r="12418" x14ac:dyDescent="0.3"/>
    <row r="12419" x14ac:dyDescent="0.3"/>
    <row r="12420" x14ac:dyDescent="0.3"/>
    <row r="12421" x14ac:dyDescent="0.3"/>
    <row r="12422" x14ac:dyDescent="0.3"/>
    <row r="12423" x14ac:dyDescent="0.3"/>
    <row r="12424" x14ac:dyDescent="0.3"/>
    <row r="12425" x14ac:dyDescent="0.3"/>
    <row r="12426" x14ac:dyDescent="0.3"/>
    <row r="12427" x14ac:dyDescent="0.3"/>
    <row r="12428" x14ac:dyDescent="0.3"/>
    <row r="12429" x14ac:dyDescent="0.3"/>
    <row r="12430" x14ac:dyDescent="0.3"/>
    <row r="12431" x14ac:dyDescent="0.3"/>
    <row r="12432" x14ac:dyDescent="0.3"/>
    <row r="12433" x14ac:dyDescent="0.3"/>
    <row r="12434" x14ac:dyDescent="0.3"/>
    <row r="12435" x14ac:dyDescent="0.3"/>
    <row r="12436" x14ac:dyDescent="0.3"/>
    <row r="12437" x14ac:dyDescent="0.3"/>
    <row r="12438" x14ac:dyDescent="0.3"/>
    <row r="12439" x14ac:dyDescent="0.3"/>
    <row r="12440" x14ac:dyDescent="0.3"/>
    <row r="12441" x14ac:dyDescent="0.3"/>
    <row r="12442" x14ac:dyDescent="0.3"/>
    <row r="12443" x14ac:dyDescent="0.3"/>
    <row r="12444" x14ac:dyDescent="0.3"/>
    <row r="12445" x14ac:dyDescent="0.3"/>
    <row r="12446" x14ac:dyDescent="0.3"/>
    <row r="12447" x14ac:dyDescent="0.3"/>
    <row r="12448" x14ac:dyDescent="0.3"/>
    <row r="12449" x14ac:dyDescent="0.3"/>
    <row r="12450" x14ac:dyDescent="0.3"/>
    <row r="12451" x14ac:dyDescent="0.3"/>
    <row r="12452" x14ac:dyDescent="0.3"/>
    <row r="12453" x14ac:dyDescent="0.3"/>
    <row r="12454" x14ac:dyDescent="0.3"/>
    <row r="12455" x14ac:dyDescent="0.3"/>
    <row r="12456" x14ac:dyDescent="0.3"/>
    <row r="12457" x14ac:dyDescent="0.3"/>
    <row r="12458" x14ac:dyDescent="0.3"/>
    <row r="12459" x14ac:dyDescent="0.3"/>
    <row r="12460" x14ac:dyDescent="0.3"/>
    <row r="12461" x14ac:dyDescent="0.3"/>
    <row r="12462" x14ac:dyDescent="0.3"/>
    <row r="12463" x14ac:dyDescent="0.3"/>
    <row r="12464" x14ac:dyDescent="0.3"/>
    <row r="12465" x14ac:dyDescent="0.3"/>
    <row r="12466" x14ac:dyDescent="0.3"/>
    <row r="12467" x14ac:dyDescent="0.3"/>
    <row r="12468" x14ac:dyDescent="0.3"/>
    <row r="12469" x14ac:dyDescent="0.3"/>
    <row r="12470" x14ac:dyDescent="0.3"/>
    <row r="12471" x14ac:dyDescent="0.3"/>
    <row r="12472" x14ac:dyDescent="0.3"/>
    <row r="12473" x14ac:dyDescent="0.3"/>
    <row r="12474" x14ac:dyDescent="0.3"/>
    <row r="12475" x14ac:dyDescent="0.3"/>
    <row r="12476" x14ac:dyDescent="0.3"/>
    <row r="12477" x14ac:dyDescent="0.3"/>
    <row r="12478" x14ac:dyDescent="0.3"/>
    <row r="12479" x14ac:dyDescent="0.3"/>
    <row r="12480" x14ac:dyDescent="0.3"/>
    <row r="12481" x14ac:dyDescent="0.3"/>
    <row r="12482" x14ac:dyDescent="0.3"/>
    <row r="12483" x14ac:dyDescent="0.3"/>
    <row r="12484" x14ac:dyDescent="0.3"/>
    <row r="12485" x14ac:dyDescent="0.3"/>
    <row r="12486" x14ac:dyDescent="0.3"/>
    <row r="12487" x14ac:dyDescent="0.3"/>
    <row r="12488" x14ac:dyDescent="0.3"/>
    <row r="12489" x14ac:dyDescent="0.3"/>
    <row r="12490" x14ac:dyDescent="0.3"/>
    <row r="12491" x14ac:dyDescent="0.3"/>
    <row r="12492" x14ac:dyDescent="0.3"/>
    <row r="12493" x14ac:dyDescent="0.3"/>
    <row r="12494" x14ac:dyDescent="0.3"/>
    <row r="12495" x14ac:dyDescent="0.3"/>
    <row r="12496" x14ac:dyDescent="0.3"/>
    <row r="12497" x14ac:dyDescent="0.3"/>
    <row r="12498" x14ac:dyDescent="0.3"/>
    <row r="12499" x14ac:dyDescent="0.3"/>
    <row r="12500" x14ac:dyDescent="0.3"/>
    <row r="12501" x14ac:dyDescent="0.3"/>
    <row r="12502" x14ac:dyDescent="0.3"/>
    <row r="12503" x14ac:dyDescent="0.3"/>
    <row r="12504" x14ac:dyDescent="0.3"/>
    <row r="12505" x14ac:dyDescent="0.3"/>
    <row r="12506" x14ac:dyDescent="0.3"/>
    <row r="12507" x14ac:dyDescent="0.3"/>
    <row r="12508" x14ac:dyDescent="0.3"/>
    <row r="12509" x14ac:dyDescent="0.3"/>
    <row r="12510" x14ac:dyDescent="0.3"/>
    <row r="12511" x14ac:dyDescent="0.3"/>
    <row r="12512" x14ac:dyDescent="0.3"/>
    <row r="12513" x14ac:dyDescent="0.3"/>
    <row r="12514" x14ac:dyDescent="0.3"/>
    <row r="12515" x14ac:dyDescent="0.3"/>
    <row r="12516" x14ac:dyDescent="0.3"/>
    <row r="12517" x14ac:dyDescent="0.3"/>
    <row r="12518" x14ac:dyDescent="0.3"/>
    <row r="12519" x14ac:dyDescent="0.3"/>
    <row r="12520" x14ac:dyDescent="0.3"/>
    <row r="12521" x14ac:dyDescent="0.3"/>
    <row r="12522" x14ac:dyDescent="0.3"/>
    <row r="12523" x14ac:dyDescent="0.3"/>
    <row r="12524" x14ac:dyDescent="0.3"/>
    <row r="12525" x14ac:dyDescent="0.3"/>
    <row r="12526" x14ac:dyDescent="0.3"/>
    <row r="12527" x14ac:dyDescent="0.3"/>
    <row r="12528" x14ac:dyDescent="0.3"/>
    <row r="12529" x14ac:dyDescent="0.3"/>
    <row r="12530" x14ac:dyDescent="0.3"/>
    <row r="12531" x14ac:dyDescent="0.3"/>
    <row r="12532" x14ac:dyDescent="0.3"/>
    <row r="12533" x14ac:dyDescent="0.3"/>
    <row r="12534" x14ac:dyDescent="0.3"/>
    <row r="12535" x14ac:dyDescent="0.3"/>
    <row r="12536" x14ac:dyDescent="0.3"/>
    <row r="12537" x14ac:dyDescent="0.3"/>
    <row r="12538" x14ac:dyDescent="0.3"/>
    <row r="12539" x14ac:dyDescent="0.3"/>
    <row r="12540" x14ac:dyDescent="0.3"/>
    <row r="12541" x14ac:dyDescent="0.3"/>
    <row r="12542" x14ac:dyDescent="0.3"/>
    <row r="12543" x14ac:dyDescent="0.3"/>
    <row r="12544" x14ac:dyDescent="0.3"/>
    <row r="12545" x14ac:dyDescent="0.3"/>
    <row r="12546" x14ac:dyDescent="0.3"/>
    <row r="12547" x14ac:dyDescent="0.3"/>
    <row r="12548" x14ac:dyDescent="0.3"/>
    <row r="12549" x14ac:dyDescent="0.3"/>
    <row r="12550" x14ac:dyDescent="0.3"/>
    <row r="12551" x14ac:dyDescent="0.3"/>
    <row r="12552" x14ac:dyDescent="0.3"/>
    <row r="12553" x14ac:dyDescent="0.3"/>
    <row r="12554" x14ac:dyDescent="0.3"/>
    <row r="12555" x14ac:dyDescent="0.3"/>
    <row r="12556" x14ac:dyDescent="0.3"/>
    <row r="12557" x14ac:dyDescent="0.3"/>
    <row r="12558" x14ac:dyDescent="0.3"/>
    <row r="12559" x14ac:dyDescent="0.3"/>
    <row r="12560" x14ac:dyDescent="0.3"/>
    <row r="12561" x14ac:dyDescent="0.3"/>
    <row r="12562" x14ac:dyDescent="0.3"/>
    <row r="12563" x14ac:dyDescent="0.3"/>
    <row r="12564" x14ac:dyDescent="0.3"/>
    <row r="12565" x14ac:dyDescent="0.3"/>
    <row r="12566" x14ac:dyDescent="0.3"/>
    <row r="12567" x14ac:dyDescent="0.3"/>
    <row r="12568" x14ac:dyDescent="0.3"/>
    <row r="12569" x14ac:dyDescent="0.3"/>
    <row r="12570" x14ac:dyDescent="0.3"/>
    <row r="12571" x14ac:dyDescent="0.3"/>
    <row r="12572" x14ac:dyDescent="0.3"/>
    <row r="12573" x14ac:dyDescent="0.3"/>
    <row r="12574" x14ac:dyDescent="0.3"/>
    <row r="12575" x14ac:dyDescent="0.3"/>
    <row r="12576" x14ac:dyDescent="0.3"/>
    <row r="12577" x14ac:dyDescent="0.3"/>
    <row r="12578" x14ac:dyDescent="0.3"/>
    <row r="12579" x14ac:dyDescent="0.3"/>
    <row r="12580" x14ac:dyDescent="0.3"/>
    <row r="12581" x14ac:dyDescent="0.3"/>
    <row r="12582" x14ac:dyDescent="0.3"/>
    <row r="12583" x14ac:dyDescent="0.3"/>
    <row r="12584" x14ac:dyDescent="0.3"/>
    <row r="12585" x14ac:dyDescent="0.3"/>
    <row r="12586" x14ac:dyDescent="0.3"/>
    <row r="12587" x14ac:dyDescent="0.3"/>
    <row r="12588" x14ac:dyDescent="0.3"/>
    <row r="12589" x14ac:dyDescent="0.3"/>
    <row r="12590" x14ac:dyDescent="0.3"/>
    <row r="12591" x14ac:dyDescent="0.3"/>
    <row r="12592" x14ac:dyDescent="0.3"/>
    <row r="12593" x14ac:dyDescent="0.3"/>
    <row r="12594" x14ac:dyDescent="0.3"/>
    <row r="12595" x14ac:dyDescent="0.3"/>
    <row r="12596" x14ac:dyDescent="0.3"/>
    <row r="12597" x14ac:dyDescent="0.3"/>
    <row r="12598" x14ac:dyDescent="0.3"/>
    <row r="12599" x14ac:dyDescent="0.3"/>
    <row r="12600" x14ac:dyDescent="0.3"/>
    <row r="12601" x14ac:dyDescent="0.3"/>
    <row r="12602" x14ac:dyDescent="0.3"/>
    <row r="12603" x14ac:dyDescent="0.3"/>
    <row r="12604" x14ac:dyDescent="0.3"/>
    <row r="12605" x14ac:dyDescent="0.3"/>
    <row r="12606" x14ac:dyDescent="0.3"/>
    <row r="12607" x14ac:dyDescent="0.3"/>
    <row r="12608" x14ac:dyDescent="0.3"/>
    <row r="12609" x14ac:dyDescent="0.3"/>
    <row r="12610" x14ac:dyDescent="0.3"/>
    <row r="12611" x14ac:dyDescent="0.3"/>
    <row r="12612" x14ac:dyDescent="0.3"/>
    <row r="12613" x14ac:dyDescent="0.3"/>
    <row r="12614" x14ac:dyDescent="0.3"/>
    <row r="12615" x14ac:dyDescent="0.3"/>
    <row r="12616" x14ac:dyDescent="0.3"/>
    <row r="12617" x14ac:dyDescent="0.3"/>
    <row r="12618" x14ac:dyDescent="0.3"/>
    <row r="12619" x14ac:dyDescent="0.3"/>
    <row r="12620" x14ac:dyDescent="0.3"/>
    <row r="12621" x14ac:dyDescent="0.3"/>
    <row r="12622" x14ac:dyDescent="0.3"/>
    <row r="12623" x14ac:dyDescent="0.3"/>
    <row r="12624" x14ac:dyDescent="0.3"/>
    <row r="12625" x14ac:dyDescent="0.3"/>
    <row r="12626" x14ac:dyDescent="0.3"/>
    <row r="12627" x14ac:dyDescent="0.3"/>
    <row r="12628" x14ac:dyDescent="0.3"/>
    <row r="12629" x14ac:dyDescent="0.3"/>
    <row r="12630" x14ac:dyDescent="0.3"/>
    <row r="12631" x14ac:dyDescent="0.3"/>
    <row r="12632" x14ac:dyDescent="0.3"/>
    <row r="12633" x14ac:dyDescent="0.3"/>
    <row r="12634" x14ac:dyDescent="0.3"/>
    <row r="12635" x14ac:dyDescent="0.3"/>
    <row r="12636" x14ac:dyDescent="0.3"/>
    <row r="12637" x14ac:dyDescent="0.3"/>
    <row r="12638" x14ac:dyDescent="0.3"/>
    <row r="12639" x14ac:dyDescent="0.3"/>
    <row r="12640" x14ac:dyDescent="0.3"/>
    <row r="12641" x14ac:dyDescent="0.3"/>
    <row r="12642" x14ac:dyDescent="0.3"/>
    <row r="12643" x14ac:dyDescent="0.3"/>
    <row r="12644" x14ac:dyDescent="0.3"/>
    <row r="12645" x14ac:dyDescent="0.3"/>
    <row r="12646" x14ac:dyDescent="0.3"/>
    <row r="12647" x14ac:dyDescent="0.3"/>
    <row r="12648" x14ac:dyDescent="0.3"/>
    <row r="12649" x14ac:dyDescent="0.3"/>
    <row r="12650" x14ac:dyDescent="0.3"/>
    <row r="12651" x14ac:dyDescent="0.3"/>
    <row r="12652" x14ac:dyDescent="0.3"/>
    <row r="12653" x14ac:dyDescent="0.3"/>
    <row r="12654" x14ac:dyDescent="0.3"/>
    <row r="12655" x14ac:dyDescent="0.3"/>
    <row r="12656" x14ac:dyDescent="0.3"/>
    <row r="12657" x14ac:dyDescent="0.3"/>
    <row r="12658" x14ac:dyDescent="0.3"/>
    <row r="12659" x14ac:dyDescent="0.3"/>
    <row r="12660" x14ac:dyDescent="0.3"/>
    <row r="12661" x14ac:dyDescent="0.3"/>
    <row r="12662" x14ac:dyDescent="0.3"/>
    <row r="12663" x14ac:dyDescent="0.3"/>
    <row r="12664" x14ac:dyDescent="0.3"/>
    <row r="12665" x14ac:dyDescent="0.3"/>
    <row r="12666" x14ac:dyDescent="0.3"/>
    <row r="12667" x14ac:dyDescent="0.3"/>
    <row r="12668" x14ac:dyDescent="0.3"/>
    <row r="12669" x14ac:dyDescent="0.3"/>
    <row r="12670" x14ac:dyDescent="0.3"/>
    <row r="12671" x14ac:dyDescent="0.3"/>
    <row r="12672" x14ac:dyDescent="0.3"/>
    <row r="12673" x14ac:dyDescent="0.3"/>
    <row r="12674" x14ac:dyDescent="0.3"/>
    <row r="12675" x14ac:dyDescent="0.3"/>
    <row r="12676" x14ac:dyDescent="0.3"/>
    <row r="12677" x14ac:dyDescent="0.3"/>
    <row r="12678" x14ac:dyDescent="0.3"/>
    <row r="12679" x14ac:dyDescent="0.3"/>
    <row r="12680" x14ac:dyDescent="0.3"/>
    <row r="12681" x14ac:dyDescent="0.3"/>
    <row r="12682" x14ac:dyDescent="0.3"/>
    <row r="12683" x14ac:dyDescent="0.3"/>
    <row r="12684" x14ac:dyDescent="0.3"/>
    <row r="12685" x14ac:dyDescent="0.3"/>
    <row r="12686" x14ac:dyDescent="0.3"/>
    <row r="12687" x14ac:dyDescent="0.3"/>
    <row r="12688" x14ac:dyDescent="0.3"/>
    <row r="12689" x14ac:dyDescent="0.3"/>
    <row r="12690" x14ac:dyDescent="0.3"/>
    <row r="12691" x14ac:dyDescent="0.3"/>
    <row r="12692" x14ac:dyDescent="0.3"/>
    <row r="12693" x14ac:dyDescent="0.3"/>
    <row r="12694" x14ac:dyDescent="0.3"/>
    <row r="12695" x14ac:dyDescent="0.3"/>
    <row r="12696" x14ac:dyDescent="0.3"/>
    <row r="12697" x14ac:dyDescent="0.3"/>
    <row r="12698" x14ac:dyDescent="0.3"/>
    <row r="12699" x14ac:dyDescent="0.3"/>
    <row r="12700" x14ac:dyDescent="0.3"/>
    <row r="12701" x14ac:dyDescent="0.3"/>
    <row r="12702" x14ac:dyDescent="0.3"/>
    <row r="12703" x14ac:dyDescent="0.3"/>
    <row r="12704" x14ac:dyDescent="0.3"/>
    <row r="12705" x14ac:dyDescent="0.3"/>
    <row r="12706" x14ac:dyDescent="0.3"/>
    <row r="12707" x14ac:dyDescent="0.3"/>
    <row r="12708" x14ac:dyDescent="0.3"/>
    <row r="12709" x14ac:dyDescent="0.3"/>
    <row r="12710" x14ac:dyDescent="0.3"/>
    <row r="12711" x14ac:dyDescent="0.3"/>
    <row r="12712" x14ac:dyDescent="0.3"/>
    <row r="12713" x14ac:dyDescent="0.3"/>
    <row r="12714" x14ac:dyDescent="0.3"/>
    <row r="12715" x14ac:dyDescent="0.3"/>
    <row r="12716" x14ac:dyDescent="0.3"/>
    <row r="12717" x14ac:dyDescent="0.3"/>
    <row r="12718" x14ac:dyDescent="0.3"/>
    <row r="12719" x14ac:dyDescent="0.3"/>
    <row r="12720" x14ac:dyDescent="0.3"/>
    <row r="12721" x14ac:dyDescent="0.3"/>
    <row r="12722" x14ac:dyDescent="0.3"/>
    <row r="12723" x14ac:dyDescent="0.3"/>
    <row r="12724" x14ac:dyDescent="0.3"/>
    <row r="12725" x14ac:dyDescent="0.3"/>
    <row r="12726" x14ac:dyDescent="0.3"/>
    <row r="12727" x14ac:dyDescent="0.3"/>
    <row r="12728" x14ac:dyDescent="0.3"/>
    <row r="12729" x14ac:dyDescent="0.3"/>
    <row r="12730" x14ac:dyDescent="0.3"/>
    <row r="12731" x14ac:dyDescent="0.3"/>
    <row r="12732" x14ac:dyDescent="0.3"/>
    <row r="12733" x14ac:dyDescent="0.3"/>
    <row r="12734" x14ac:dyDescent="0.3"/>
    <row r="12735" x14ac:dyDescent="0.3"/>
    <row r="12736" x14ac:dyDescent="0.3"/>
    <row r="12737" x14ac:dyDescent="0.3"/>
    <row r="12738" x14ac:dyDescent="0.3"/>
    <row r="12739" x14ac:dyDescent="0.3"/>
    <row r="12740" x14ac:dyDescent="0.3"/>
    <row r="12741" x14ac:dyDescent="0.3"/>
    <row r="12742" x14ac:dyDescent="0.3"/>
    <row r="12743" x14ac:dyDescent="0.3"/>
    <row r="12744" x14ac:dyDescent="0.3"/>
    <row r="12745" x14ac:dyDescent="0.3"/>
    <row r="12746" x14ac:dyDescent="0.3"/>
    <row r="12747" x14ac:dyDescent="0.3"/>
    <row r="12748" x14ac:dyDescent="0.3"/>
    <row r="12749" x14ac:dyDescent="0.3"/>
    <row r="12750" x14ac:dyDescent="0.3"/>
    <row r="12751" x14ac:dyDescent="0.3"/>
    <row r="12752" x14ac:dyDescent="0.3"/>
    <row r="12753" x14ac:dyDescent="0.3"/>
    <row r="12754" x14ac:dyDescent="0.3"/>
    <row r="12755" x14ac:dyDescent="0.3"/>
    <row r="12756" x14ac:dyDescent="0.3"/>
    <row r="12757" x14ac:dyDescent="0.3"/>
    <row r="12758" x14ac:dyDescent="0.3"/>
    <row r="12759" x14ac:dyDescent="0.3"/>
    <row r="12760" x14ac:dyDescent="0.3"/>
    <row r="12761" x14ac:dyDescent="0.3"/>
    <row r="12762" x14ac:dyDescent="0.3"/>
    <row r="12763" x14ac:dyDescent="0.3"/>
    <row r="12764" x14ac:dyDescent="0.3"/>
    <row r="12765" x14ac:dyDescent="0.3"/>
    <row r="12766" x14ac:dyDescent="0.3"/>
    <row r="12767" x14ac:dyDescent="0.3"/>
    <row r="12768" x14ac:dyDescent="0.3"/>
    <row r="12769" x14ac:dyDescent="0.3"/>
    <row r="12770" x14ac:dyDescent="0.3"/>
    <row r="12771" x14ac:dyDescent="0.3"/>
    <row r="12772" x14ac:dyDescent="0.3"/>
    <row r="12773" x14ac:dyDescent="0.3"/>
    <row r="12774" x14ac:dyDescent="0.3"/>
    <row r="12775" x14ac:dyDescent="0.3"/>
    <row r="12776" x14ac:dyDescent="0.3"/>
    <row r="12777" x14ac:dyDescent="0.3"/>
    <row r="12778" x14ac:dyDescent="0.3"/>
    <row r="12779" x14ac:dyDescent="0.3"/>
    <row r="12780" x14ac:dyDescent="0.3"/>
    <row r="12781" x14ac:dyDescent="0.3"/>
    <row r="12782" x14ac:dyDescent="0.3"/>
    <row r="12783" x14ac:dyDescent="0.3"/>
    <row r="12784" x14ac:dyDescent="0.3"/>
    <row r="12785" x14ac:dyDescent="0.3"/>
    <row r="12786" x14ac:dyDescent="0.3"/>
    <row r="12787" x14ac:dyDescent="0.3"/>
    <row r="12788" x14ac:dyDescent="0.3"/>
    <row r="12789" x14ac:dyDescent="0.3"/>
    <row r="12790" x14ac:dyDescent="0.3"/>
    <row r="12791" x14ac:dyDescent="0.3"/>
    <row r="12792" x14ac:dyDescent="0.3"/>
    <row r="12793" x14ac:dyDescent="0.3"/>
    <row r="12794" x14ac:dyDescent="0.3"/>
    <row r="12795" x14ac:dyDescent="0.3"/>
    <row r="12796" x14ac:dyDescent="0.3"/>
    <row r="12797" x14ac:dyDescent="0.3"/>
    <row r="12798" x14ac:dyDescent="0.3"/>
    <row r="12799" x14ac:dyDescent="0.3"/>
    <row r="12800" x14ac:dyDescent="0.3"/>
    <row r="12801" x14ac:dyDescent="0.3"/>
    <row r="12802" x14ac:dyDescent="0.3"/>
    <row r="12803" x14ac:dyDescent="0.3"/>
    <row r="12804" x14ac:dyDescent="0.3"/>
    <row r="12805" x14ac:dyDescent="0.3"/>
    <row r="12806" x14ac:dyDescent="0.3"/>
    <row r="12807" x14ac:dyDescent="0.3"/>
    <row r="12808" x14ac:dyDescent="0.3"/>
    <row r="12809" x14ac:dyDescent="0.3"/>
    <row r="12810" x14ac:dyDescent="0.3"/>
    <row r="12811" x14ac:dyDescent="0.3"/>
    <row r="12812" x14ac:dyDescent="0.3"/>
    <row r="12813" x14ac:dyDescent="0.3"/>
    <row r="12814" x14ac:dyDescent="0.3"/>
    <row r="12815" x14ac:dyDescent="0.3"/>
    <row r="12816" x14ac:dyDescent="0.3"/>
    <row r="12817" x14ac:dyDescent="0.3"/>
    <row r="12818" x14ac:dyDescent="0.3"/>
    <row r="12819" x14ac:dyDescent="0.3"/>
    <row r="12820" x14ac:dyDescent="0.3"/>
    <row r="12821" x14ac:dyDescent="0.3"/>
    <row r="12822" x14ac:dyDescent="0.3"/>
    <row r="12823" x14ac:dyDescent="0.3"/>
    <row r="12824" x14ac:dyDescent="0.3"/>
    <row r="12825" x14ac:dyDescent="0.3"/>
    <row r="12826" x14ac:dyDescent="0.3"/>
    <row r="12827" x14ac:dyDescent="0.3"/>
    <row r="12828" x14ac:dyDescent="0.3"/>
    <row r="12829" x14ac:dyDescent="0.3"/>
    <row r="12830" x14ac:dyDescent="0.3"/>
    <row r="12831" x14ac:dyDescent="0.3"/>
    <row r="12832" x14ac:dyDescent="0.3"/>
    <row r="12833" x14ac:dyDescent="0.3"/>
    <row r="12834" x14ac:dyDescent="0.3"/>
    <row r="12835" x14ac:dyDescent="0.3"/>
    <row r="12836" x14ac:dyDescent="0.3"/>
    <row r="12837" x14ac:dyDescent="0.3"/>
    <row r="12838" x14ac:dyDescent="0.3"/>
    <row r="12839" x14ac:dyDescent="0.3"/>
    <row r="12840" x14ac:dyDescent="0.3"/>
    <row r="12841" x14ac:dyDescent="0.3"/>
    <row r="12842" x14ac:dyDescent="0.3"/>
    <row r="12843" x14ac:dyDescent="0.3"/>
    <row r="12844" x14ac:dyDescent="0.3"/>
    <row r="12845" x14ac:dyDescent="0.3"/>
    <row r="12846" x14ac:dyDescent="0.3"/>
    <row r="12847" x14ac:dyDescent="0.3"/>
    <row r="12848" x14ac:dyDescent="0.3"/>
    <row r="12849" x14ac:dyDescent="0.3"/>
    <row r="12850" x14ac:dyDescent="0.3"/>
    <row r="12851" x14ac:dyDescent="0.3"/>
    <row r="12852" x14ac:dyDescent="0.3"/>
    <row r="12853" x14ac:dyDescent="0.3"/>
    <row r="12854" x14ac:dyDescent="0.3"/>
    <row r="12855" x14ac:dyDescent="0.3"/>
    <row r="12856" x14ac:dyDescent="0.3"/>
    <row r="12857" x14ac:dyDescent="0.3"/>
    <row r="12858" x14ac:dyDescent="0.3"/>
    <row r="12859" x14ac:dyDescent="0.3"/>
    <row r="12860" x14ac:dyDescent="0.3"/>
    <row r="12861" x14ac:dyDescent="0.3"/>
    <row r="12862" x14ac:dyDescent="0.3"/>
    <row r="12863" x14ac:dyDescent="0.3"/>
    <row r="12864" x14ac:dyDescent="0.3"/>
    <row r="12865" x14ac:dyDescent="0.3"/>
    <row r="12866" x14ac:dyDescent="0.3"/>
    <row r="12867" x14ac:dyDescent="0.3"/>
    <row r="12868" x14ac:dyDescent="0.3"/>
    <row r="12869" x14ac:dyDescent="0.3"/>
    <row r="12870" x14ac:dyDescent="0.3"/>
    <row r="12871" x14ac:dyDescent="0.3"/>
    <row r="12872" x14ac:dyDescent="0.3"/>
    <row r="12873" x14ac:dyDescent="0.3"/>
    <row r="12874" x14ac:dyDescent="0.3"/>
    <row r="12875" x14ac:dyDescent="0.3"/>
    <row r="12876" x14ac:dyDescent="0.3"/>
    <row r="12877" x14ac:dyDescent="0.3"/>
    <row r="12878" x14ac:dyDescent="0.3"/>
    <row r="12879" x14ac:dyDescent="0.3"/>
    <row r="12880" x14ac:dyDescent="0.3"/>
    <row r="12881" x14ac:dyDescent="0.3"/>
    <row r="12882" x14ac:dyDescent="0.3"/>
    <row r="12883" x14ac:dyDescent="0.3"/>
    <row r="12884" x14ac:dyDescent="0.3"/>
    <row r="12885" x14ac:dyDescent="0.3"/>
    <row r="12886" x14ac:dyDescent="0.3"/>
    <row r="12887" x14ac:dyDescent="0.3"/>
    <row r="12888" x14ac:dyDescent="0.3"/>
    <row r="12889" x14ac:dyDescent="0.3"/>
    <row r="12890" x14ac:dyDescent="0.3"/>
    <row r="12891" x14ac:dyDescent="0.3"/>
    <row r="12892" x14ac:dyDescent="0.3"/>
    <row r="12893" x14ac:dyDescent="0.3"/>
    <row r="12894" x14ac:dyDescent="0.3"/>
    <row r="12895" x14ac:dyDescent="0.3"/>
    <row r="12896" x14ac:dyDescent="0.3"/>
    <row r="12897" x14ac:dyDescent="0.3"/>
    <row r="12898" x14ac:dyDescent="0.3"/>
    <row r="12899" x14ac:dyDescent="0.3"/>
    <row r="12900" x14ac:dyDescent="0.3"/>
    <row r="12901" x14ac:dyDescent="0.3"/>
    <row r="12902" x14ac:dyDescent="0.3"/>
    <row r="12903" x14ac:dyDescent="0.3"/>
    <row r="12904" x14ac:dyDescent="0.3"/>
    <row r="12905" x14ac:dyDescent="0.3"/>
    <row r="12906" x14ac:dyDescent="0.3"/>
    <row r="12907" x14ac:dyDescent="0.3"/>
    <row r="12908" x14ac:dyDescent="0.3"/>
    <row r="12909" x14ac:dyDescent="0.3"/>
    <row r="12910" x14ac:dyDescent="0.3"/>
    <row r="12911" x14ac:dyDescent="0.3"/>
    <row r="12912" x14ac:dyDescent="0.3"/>
    <row r="12913" x14ac:dyDescent="0.3"/>
    <row r="12914" x14ac:dyDescent="0.3"/>
    <row r="12915" x14ac:dyDescent="0.3"/>
    <row r="12916" x14ac:dyDescent="0.3"/>
    <row r="12917" x14ac:dyDescent="0.3"/>
    <row r="12918" x14ac:dyDescent="0.3"/>
    <row r="12919" x14ac:dyDescent="0.3"/>
    <row r="12920" x14ac:dyDescent="0.3"/>
    <row r="12921" x14ac:dyDescent="0.3"/>
    <row r="12922" x14ac:dyDescent="0.3"/>
    <row r="12923" x14ac:dyDescent="0.3"/>
    <row r="12924" x14ac:dyDescent="0.3"/>
    <row r="12925" x14ac:dyDescent="0.3"/>
    <row r="12926" x14ac:dyDescent="0.3"/>
    <row r="12927" x14ac:dyDescent="0.3"/>
    <row r="12928" x14ac:dyDescent="0.3"/>
    <row r="12929" x14ac:dyDescent="0.3"/>
    <row r="12930" x14ac:dyDescent="0.3"/>
    <row r="12931" x14ac:dyDescent="0.3"/>
    <row r="12932" x14ac:dyDescent="0.3"/>
    <row r="12933" x14ac:dyDescent="0.3"/>
    <row r="12934" x14ac:dyDescent="0.3"/>
    <row r="12935" x14ac:dyDescent="0.3"/>
    <row r="12936" x14ac:dyDescent="0.3"/>
    <row r="12937" x14ac:dyDescent="0.3"/>
    <row r="12938" x14ac:dyDescent="0.3"/>
    <row r="12939" x14ac:dyDescent="0.3"/>
    <row r="12940" x14ac:dyDescent="0.3"/>
    <row r="12941" x14ac:dyDescent="0.3"/>
    <row r="12942" x14ac:dyDescent="0.3"/>
    <row r="12943" x14ac:dyDescent="0.3"/>
    <row r="12944" x14ac:dyDescent="0.3"/>
    <row r="12945" x14ac:dyDescent="0.3"/>
    <row r="12946" x14ac:dyDescent="0.3"/>
    <row r="12947" x14ac:dyDescent="0.3"/>
    <row r="12948" x14ac:dyDescent="0.3"/>
    <row r="12949" x14ac:dyDescent="0.3"/>
    <row r="12950" x14ac:dyDescent="0.3"/>
    <row r="12951" x14ac:dyDescent="0.3"/>
    <row r="12952" x14ac:dyDescent="0.3"/>
    <row r="12953" x14ac:dyDescent="0.3"/>
    <row r="12954" x14ac:dyDescent="0.3"/>
    <row r="12955" x14ac:dyDescent="0.3"/>
    <row r="12956" x14ac:dyDescent="0.3"/>
    <row r="12957" x14ac:dyDescent="0.3"/>
    <row r="12958" x14ac:dyDescent="0.3"/>
    <row r="12959" x14ac:dyDescent="0.3"/>
    <row r="12960" x14ac:dyDescent="0.3"/>
    <row r="12961" x14ac:dyDescent="0.3"/>
    <row r="12962" x14ac:dyDescent="0.3"/>
    <row r="12963" x14ac:dyDescent="0.3"/>
    <row r="12964" x14ac:dyDescent="0.3"/>
    <row r="12965" x14ac:dyDescent="0.3"/>
    <row r="12966" x14ac:dyDescent="0.3"/>
    <row r="12967" x14ac:dyDescent="0.3"/>
    <row r="12968" x14ac:dyDescent="0.3"/>
    <row r="12969" x14ac:dyDescent="0.3"/>
    <row r="12970" x14ac:dyDescent="0.3"/>
    <row r="12971" x14ac:dyDescent="0.3"/>
    <row r="12972" x14ac:dyDescent="0.3"/>
    <row r="12973" x14ac:dyDescent="0.3"/>
    <row r="12974" x14ac:dyDescent="0.3"/>
    <row r="12975" x14ac:dyDescent="0.3"/>
    <row r="12976" x14ac:dyDescent="0.3"/>
    <row r="12977" x14ac:dyDescent="0.3"/>
    <row r="12978" x14ac:dyDescent="0.3"/>
    <row r="12979" x14ac:dyDescent="0.3"/>
    <row r="12980" x14ac:dyDescent="0.3"/>
    <row r="12981" x14ac:dyDescent="0.3"/>
    <row r="12982" x14ac:dyDescent="0.3"/>
    <row r="12983" x14ac:dyDescent="0.3"/>
    <row r="12984" x14ac:dyDescent="0.3"/>
    <row r="12985" x14ac:dyDescent="0.3"/>
    <row r="12986" x14ac:dyDescent="0.3"/>
    <row r="12987" x14ac:dyDescent="0.3"/>
    <row r="12988" x14ac:dyDescent="0.3"/>
    <row r="12989" x14ac:dyDescent="0.3"/>
    <row r="12990" x14ac:dyDescent="0.3"/>
    <row r="12991" x14ac:dyDescent="0.3"/>
    <row r="12992" x14ac:dyDescent="0.3"/>
    <row r="12993" x14ac:dyDescent="0.3"/>
    <row r="12994" x14ac:dyDescent="0.3"/>
    <row r="12995" x14ac:dyDescent="0.3"/>
    <row r="12996" x14ac:dyDescent="0.3"/>
    <row r="12997" x14ac:dyDescent="0.3"/>
    <row r="12998" x14ac:dyDescent="0.3"/>
    <row r="12999" x14ac:dyDescent="0.3"/>
    <row r="13000" x14ac:dyDescent="0.3"/>
    <row r="13001" x14ac:dyDescent="0.3"/>
    <row r="13002" x14ac:dyDescent="0.3"/>
    <row r="13003" x14ac:dyDescent="0.3"/>
    <row r="13004" x14ac:dyDescent="0.3"/>
    <row r="13005" x14ac:dyDescent="0.3"/>
    <row r="13006" x14ac:dyDescent="0.3"/>
    <row r="13007" x14ac:dyDescent="0.3"/>
    <row r="13008" x14ac:dyDescent="0.3"/>
    <row r="13009" x14ac:dyDescent="0.3"/>
    <row r="13010" x14ac:dyDescent="0.3"/>
    <row r="13011" x14ac:dyDescent="0.3"/>
    <row r="13012" x14ac:dyDescent="0.3"/>
    <row r="13013" x14ac:dyDescent="0.3"/>
    <row r="13014" x14ac:dyDescent="0.3"/>
    <row r="13015" x14ac:dyDescent="0.3"/>
    <row r="13016" x14ac:dyDescent="0.3"/>
    <row r="13017" x14ac:dyDescent="0.3"/>
    <row r="13018" x14ac:dyDescent="0.3"/>
    <row r="13019" x14ac:dyDescent="0.3"/>
    <row r="13020" x14ac:dyDescent="0.3"/>
    <row r="13021" x14ac:dyDescent="0.3"/>
    <row r="13022" x14ac:dyDescent="0.3"/>
    <row r="13023" x14ac:dyDescent="0.3"/>
    <row r="13024" x14ac:dyDescent="0.3"/>
    <row r="13025" x14ac:dyDescent="0.3"/>
    <row r="13026" x14ac:dyDescent="0.3"/>
    <row r="13027" x14ac:dyDescent="0.3"/>
    <row r="13028" x14ac:dyDescent="0.3"/>
    <row r="13029" x14ac:dyDescent="0.3"/>
    <row r="13030" x14ac:dyDescent="0.3"/>
    <row r="13031" x14ac:dyDescent="0.3"/>
    <row r="13032" x14ac:dyDescent="0.3"/>
    <row r="13033" x14ac:dyDescent="0.3"/>
    <row r="13034" x14ac:dyDescent="0.3"/>
    <row r="13035" x14ac:dyDescent="0.3"/>
    <row r="13036" x14ac:dyDescent="0.3"/>
    <row r="13037" x14ac:dyDescent="0.3"/>
    <row r="13038" x14ac:dyDescent="0.3"/>
    <row r="13039" x14ac:dyDescent="0.3"/>
    <row r="13040" x14ac:dyDescent="0.3"/>
    <row r="13041" x14ac:dyDescent="0.3"/>
    <row r="13042" x14ac:dyDescent="0.3"/>
    <row r="13043" x14ac:dyDescent="0.3"/>
    <row r="13044" x14ac:dyDescent="0.3"/>
    <row r="13045" x14ac:dyDescent="0.3"/>
    <row r="13046" x14ac:dyDescent="0.3"/>
    <row r="13047" x14ac:dyDescent="0.3"/>
    <row r="13048" x14ac:dyDescent="0.3"/>
    <row r="13049" x14ac:dyDescent="0.3"/>
    <row r="13050" x14ac:dyDescent="0.3"/>
    <row r="13051" x14ac:dyDescent="0.3"/>
    <row r="13052" x14ac:dyDescent="0.3"/>
    <row r="13053" x14ac:dyDescent="0.3"/>
    <row r="13054" x14ac:dyDescent="0.3"/>
    <row r="13055" x14ac:dyDescent="0.3"/>
    <row r="13056" x14ac:dyDescent="0.3"/>
    <row r="13057" x14ac:dyDescent="0.3"/>
    <row r="13058" x14ac:dyDescent="0.3"/>
    <row r="13059" x14ac:dyDescent="0.3"/>
    <row r="13060" x14ac:dyDescent="0.3"/>
    <row r="13061" x14ac:dyDescent="0.3"/>
    <row r="13062" x14ac:dyDescent="0.3"/>
    <row r="13063" x14ac:dyDescent="0.3"/>
    <row r="13064" x14ac:dyDescent="0.3"/>
    <row r="13065" x14ac:dyDescent="0.3"/>
    <row r="13066" x14ac:dyDescent="0.3"/>
    <row r="13067" x14ac:dyDescent="0.3"/>
    <row r="13068" x14ac:dyDescent="0.3"/>
    <row r="13069" x14ac:dyDescent="0.3"/>
    <row r="13070" x14ac:dyDescent="0.3"/>
    <row r="13071" x14ac:dyDescent="0.3"/>
    <row r="13072" x14ac:dyDescent="0.3"/>
    <row r="13073" x14ac:dyDescent="0.3"/>
    <row r="13074" x14ac:dyDescent="0.3"/>
    <row r="13075" x14ac:dyDescent="0.3"/>
    <row r="13076" x14ac:dyDescent="0.3"/>
    <row r="13077" x14ac:dyDescent="0.3"/>
    <row r="13078" x14ac:dyDescent="0.3"/>
    <row r="13079" x14ac:dyDescent="0.3"/>
    <row r="13080" x14ac:dyDescent="0.3"/>
    <row r="13081" x14ac:dyDescent="0.3"/>
    <row r="13082" x14ac:dyDescent="0.3"/>
    <row r="13083" x14ac:dyDescent="0.3"/>
    <row r="13084" x14ac:dyDescent="0.3"/>
    <row r="13085" x14ac:dyDescent="0.3"/>
    <row r="13086" x14ac:dyDescent="0.3"/>
    <row r="13087" x14ac:dyDescent="0.3"/>
    <row r="13088" x14ac:dyDescent="0.3"/>
    <row r="13089" x14ac:dyDescent="0.3"/>
    <row r="13090" x14ac:dyDescent="0.3"/>
    <row r="13091" x14ac:dyDescent="0.3"/>
    <row r="13092" x14ac:dyDescent="0.3"/>
    <row r="13093" x14ac:dyDescent="0.3"/>
    <row r="13094" x14ac:dyDescent="0.3"/>
    <row r="13095" x14ac:dyDescent="0.3"/>
    <row r="13096" x14ac:dyDescent="0.3"/>
    <row r="13097" x14ac:dyDescent="0.3"/>
    <row r="13098" x14ac:dyDescent="0.3"/>
    <row r="13099" x14ac:dyDescent="0.3"/>
    <row r="13100" x14ac:dyDescent="0.3"/>
    <row r="13101" x14ac:dyDescent="0.3"/>
    <row r="13102" x14ac:dyDescent="0.3"/>
    <row r="13103" x14ac:dyDescent="0.3"/>
    <row r="13104" x14ac:dyDescent="0.3"/>
    <row r="13105" x14ac:dyDescent="0.3"/>
    <row r="13106" x14ac:dyDescent="0.3"/>
    <row r="13107" x14ac:dyDescent="0.3"/>
    <row r="13108" x14ac:dyDescent="0.3"/>
    <row r="13109" x14ac:dyDescent="0.3"/>
    <row r="13110" x14ac:dyDescent="0.3"/>
    <row r="13111" x14ac:dyDescent="0.3"/>
    <row r="13112" x14ac:dyDescent="0.3"/>
    <row r="13113" x14ac:dyDescent="0.3"/>
    <row r="13114" x14ac:dyDescent="0.3"/>
    <row r="13115" x14ac:dyDescent="0.3"/>
    <row r="13116" x14ac:dyDescent="0.3"/>
    <row r="13117" x14ac:dyDescent="0.3"/>
    <row r="13118" x14ac:dyDescent="0.3"/>
    <row r="13119" x14ac:dyDescent="0.3"/>
    <row r="13120" x14ac:dyDescent="0.3"/>
    <row r="13121" x14ac:dyDescent="0.3"/>
    <row r="13122" x14ac:dyDescent="0.3"/>
    <row r="13123" x14ac:dyDescent="0.3"/>
    <row r="13124" x14ac:dyDescent="0.3"/>
    <row r="13125" x14ac:dyDescent="0.3"/>
    <row r="13126" x14ac:dyDescent="0.3"/>
    <row r="13127" x14ac:dyDescent="0.3"/>
    <row r="13128" x14ac:dyDescent="0.3"/>
    <row r="13129" x14ac:dyDescent="0.3"/>
    <row r="13130" x14ac:dyDescent="0.3"/>
    <row r="13131" x14ac:dyDescent="0.3"/>
    <row r="13132" x14ac:dyDescent="0.3"/>
    <row r="13133" x14ac:dyDescent="0.3"/>
    <row r="13134" x14ac:dyDescent="0.3"/>
    <row r="13135" x14ac:dyDescent="0.3"/>
    <row r="13136" x14ac:dyDescent="0.3"/>
    <row r="13137" x14ac:dyDescent="0.3"/>
    <row r="13138" x14ac:dyDescent="0.3"/>
    <row r="13139" x14ac:dyDescent="0.3"/>
    <row r="13140" x14ac:dyDescent="0.3"/>
    <row r="13141" x14ac:dyDescent="0.3"/>
    <row r="13142" x14ac:dyDescent="0.3"/>
    <row r="13143" x14ac:dyDescent="0.3"/>
    <row r="13144" x14ac:dyDescent="0.3"/>
    <row r="13145" x14ac:dyDescent="0.3"/>
    <row r="13146" x14ac:dyDescent="0.3"/>
    <row r="13147" x14ac:dyDescent="0.3"/>
    <row r="13148" x14ac:dyDescent="0.3"/>
    <row r="13149" x14ac:dyDescent="0.3"/>
    <row r="13150" x14ac:dyDescent="0.3"/>
    <row r="13151" x14ac:dyDescent="0.3"/>
    <row r="13152" x14ac:dyDescent="0.3"/>
    <row r="13153" x14ac:dyDescent="0.3"/>
    <row r="13154" x14ac:dyDescent="0.3"/>
    <row r="13155" x14ac:dyDescent="0.3"/>
    <row r="13156" x14ac:dyDescent="0.3"/>
    <row r="13157" x14ac:dyDescent="0.3"/>
    <row r="13158" x14ac:dyDescent="0.3"/>
    <row r="13159" x14ac:dyDescent="0.3"/>
    <row r="13160" x14ac:dyDescent="0.3"/>
    <row r="13161" x14ac:dyDescent="0.3"/>
    <row r="13162" x14ac:dyDescent="0.3"/>
    <row r="13163" x14ac:dyDescent="0.3"/>
    <row r="13164" x14ac:dyDescent="0.3"/>
    <row r="13165" x14ac:dyDescent="0.3"/>
    <row r="13166" x14ac:dyDescent="0.3"/>
    <row r="13167" x14ac:dyDescent="0.3"/>
    <row r="13168" x14ac:dyDescent="0.3"/>
    <row r="13169" x14ac:dyDescent="0.3"/>
    <row r="13170" x14ac:dyDescent="0.3"/>
    <row r="13171" x14ac:dyDescent="0.3"/>
    <row r="13172" x14ac:dyDescent="0.3"/>
    <row r="13173" x14ac:dyDescent="0.3"/>
    <row r="13174" x14ac:dyDescent="0.3"/>
    <row r="13175" x14ac:dyDescent="0.3"/>
    <row r="13176" x14ac:dyDescent="0.3"/>
    <row r="13177" x14ac:dyDescent="0.3"/>
    <row r="13178" x14ac:dyDescent="0.3"/>
    <row r="13179" x14ac:dyDescent="0.3"/>
    <row r="13180" x14ac:dyDescent="0.3"/>
    <row r="13181" x14ac:dyDescent="0.3"/>
    <row r="13182" x14ac:dyDescent="0.3"/>
    <row r="13183" x14ac:dyDescent="0.3"/>
    <row r="13184" x14ac:dyDescent="0.3"/>
    <row r="13185" x14ac:dyDescent="0.3"/>
    <row r="13186" x14ac:dyDescent="0.3"/>
    <row r="13187" x14ac:dyDescent="0.3"/>
    <row r="13188" x14ac:dyDescent="0.3"/>
    <row r="13189" x14ac:dyDescent="0.3"/>
    <row r="13190" x14ac:dyDescent="0.3"/>
    <row r="13191" x14ac:dyDescent="0.3"/>
    <row r="13192" x14ac:dyDescent="0.3"/>
    <row r="13193" x14ac:dyDescent="0.3"/>
    <row r="13194" x14ac:dyDescent="0.3"/>
    <row r="13195" x14ac:dyDescent="0.3"/>
    <row r="13196" x14ac:dyDescent="0.3"/>
    <row r="13197" x14ac:dyDescent="0.3"/>
    <row r="13198" x14ac:dyDescent="0.3"/>
    <row r="13199" x14ac:dyDescent="0.3"/>
    <row r="13200" x14ac:dyDescent="0.3"/>
    <row r="13201" x14ac:dyDescent="0.3"/>
    <row r="13202" x14ac:dyDescent="0.3"/>
    <row r="13203" x14ac:dyDescent="0.3"/>
    <row r="13204" x14ac:dyDescent="0.3"/>
    <row r="13205" x14ac:dyDescent="0.3"/>
    <row r="13206" x14ac:dyDescent="0.3"/>
    <row r="13207" x14ac:dyDescent="0.3"/>
    <row r="13208" x14ac:dyDescent="0.3"/>
    <row r="13209" x14ac:dyDescent="0.3"/>
    <row r="13210" x14ac:dyDescent="0.3"/>
    <row r="13211" x14ac:dyDescent="0.3"/>
    <row r="13212" x14ac:dyDescent="0.3"/>
    <row r="13213" x14ac:dyDescent="0.3"/>
    <row r="13214" x14ac:dyDescent="0.3"/>
    <row r="13215" x14ac:dyDescent="0.3"/>
    <row r="13216" x14ac:dyDescent="0.3"/>
    <row r="13217" x14ac:dyDescent="0.3"/>
    <row r="13218" x14ac:dyDescent="0.3"/>
    <row r="13219" x14ac:dyDescent="0.3"/>
    <row r="13220" x14ac:dyDescent="0.3"/>
    <row r="13221" x14ac:dyDescent="0.3"/>
    <row r="13222" x14ac:dyDescent="0.3"/>
    <row r="13223" x14ac:dyDescent="0.3"/>
    <row r="13224" x14ac:dyDescent="0.3"/>
    <row r="13225" x14ac:dyDescent="0.3"/>
    <row r="13226" x14ac:dyDescent="0.3"/>
    <row r="13227" x14ac:dyDescent="0.3"/>
    <row r="13228" x14ac:dyDescent="0.3"/>
    <row r="13229" x14ac:dyDescent="0.3"/>
    <row r="13230" x14ac:dyDescent="0.3"/>
    <row r="13231" x14ac:dyDescent="0.3"/>
    <row r="13232" x14ac:dyDescent="0.3"/>
    <row r="13233" x14ac:dyDescent="0.3"/>
    <row r="13234" x14ac:dyDescent="0.3"/>
    <row r="13235" x14ac:dyDescent="0.3"/>
    <row r="13236" x14ac:dyDescent="0.3"/>
    <row r="13237" x14ac:dyDescent="0.3"/>
    <row r="13238" x14ac:dyDescent="0.3"/>
    <row r="13239" x14ac:dyDescent="0.3"/>
    <row r="13240" x14ac:dyDescent="0.3"/>
    <row r="13241" x14ac:dyDescent="0.3"/>
    <row r="13242" x14ac:dyDescent="0.3"/>
    <row r="13243" x14ac:dyDescent="0.3"/>
    <row r="13244" x14ac:dyDescent="0.3"/>
    <row r="13245" x14ac:dyDescent="0.3"/>
    <row r="13246" x14ac:dyDescent="0.3"/>
    <row r="13247" x14ac:dyDescent="0.3"/>
    <row r="13248" x14ac:dyDescent="0.3"/>
    <row r="13249" x14ac:dyDescent="0.3"/>
    <row r="13250" x14ac:dyDescent="0.3"/>
    <row r="13251" x14ac:dyDescent="0.3"/>
    <row r="13252" x14ac:dyDescent="0.3"/>
    <row r="13253" x14ac:dyDescent="0.3"/>
    <row r="13254" x14ac:dyDescent="0.3"/>
    <row r="13255" x14ac:dyDescent="0.3"/>
    <row r="13256" x14ac:dyDescent="0.3"/>
    <row r="13257" x14ac:dyDescent="0.3"/>
    <row r="13258" x14ac:dyDescent="0.3"/>
    <row r="13259" x14ac:dyDescent="0.3"/>
    <row r="13260" x14ac:dyDescent="0.3"/>
    <row r="13261" x14ac:dyDescent="0.3"/>
    <row r="13262" x14ac:dyDescent="0.3"/>
    <row r="13263" x14ac:dyDescent="0.3"/>
    <row r="13264" x14ac:dyDescent="0.3"/>
    <row r="13265" x14ac:dyDescent="0.3"/>
    <row r="13266" x14ac:dyDescent="0.3"/>
    <row r="13267" x14ac:dyDescent="0.3"/>
    <row r="13268" x14ac:dyDescent="0.3"/>
    <row r="13269" x14ac:dyDescent="0.3"/>
    <row r="13270" x14ac:dyDescent="0.3"/>
    <row r="13271" x14ac:dyDescent="0.3"/>
    <row r="13272" x14ac:dyDescent="0.3"/>
    <row r="13273" x14ac:dyDescent="0.3"/>
    <row r="13274" x14ac:dyDescent="0.3"/>
    <row r="13275" x14ac:dyDescent="0.3"/>
    <row r="13276" x14ac:dyDescent="0.3"/>
    <row r="13277" x14ac:dyDescent="0.3"/>
    <row r="13278" x14ac:dyDescent="0.3"/>
    <row r="13279" x14ac:dyDescent="0.3"/>
    <row r="13280" x14ac:dyDescent="0.3"/>
    <row r="13281" x14ac:dyDescent="0.3"/>
    <row r="13282" x14ac:dyDescent="0.3"/>
    <row r="13283" x14ac:dyDescent="0.3"/>
    <row r="13284" x14ac:dyDescent="0.3"/>
    <row r="13285" x14ac:dyDescent="0.3"/>
    <row r="13286" x14ac:dyDescent="0.3"/>
    <row r="13287" x14ac:dyDescent="0.3"/>
    <row r="13288" x14ac:dyDescent="0.3"/>
    <row r="13289" x14ac:dyDescent="0.3"/>
    <row r="13290" x14ac:dyDescent="0.3"/>
    <row r="13291" x14ac:dyDescent="0.3"/>
    <row r="13292" x14ac:dyDescent="0.3"/>
    <row r="13293" x14ac:dyDescent="0.3"/>
    <row r="13294" x14ac:dyDescent="0.3"/>
    <row r="13295" x14ac:dyDescent="0.3"/>
    <row r="13296" x14ac:dyDescent="0.3"/>
    <row r="13297" x14ac:dyDescent="0.3"/>
    <row r="13298" x14ac:dyDescent="0.3"/>
    <row r="13299" x14ac:dyDescent="0.3"/>
    <row r="13300" x14ac:dyDescent="0.3"/>
    <row r="13301" x14ac:dyDescent="0.3"/>
    <row r="13302" x14ac:dyDescent="0.3"/>
    <row r="13303" x14ac:dyDescent="0.3"/>
    <row r="13304" x14ac:dyDescent="0.3"/>
    <row r="13305" x14ac:dyDescent="0.3"/>
    <row r="13306" x14ac:dyDescent="0.3"/>
    <row r="13307" x14ac:dyDescent="0.3"/>
    <row r="13308" x14ac:dyDescent="0.3"/>
    <row r="13309" x14ac:dyDescent="0.3"/>
    <row r="13310" x14ac:dyDescent="0.3"/>
    <row r="13311" x14ac:dyDescent="0.3"/>
    <row r="13312" x14ac:dyDescent="0.3"/>
    <row r="13313" x14ac:dyDescent="0.3"/>
    <row r="13314" x14ac:dyDescent="0.3"/>
    <row r="13315" x14ac:dyDescent="0.3"/>
    <row r="13316" x14ac:dyDescent="0.3"/>
    <row r="13317" x14ac:dyDescent="0.3"/>
    <row r="13318" x14ac:dyDescent="0.3"/>
    <row r="13319" x14ac:dyDescent="0.3"/>
    <row r="13320" x14ac:dyDescent="0.3"/>
    <row r="13321" x14ac:dyDescent="0.3"/>
    <row r="13322" x14ac:dyDescent="0.3"/>
    <row r="13323" x14ac:dyDescent="0.3"/>
    <row r="13324" x14ac:dyDescent="0.3"/>
    <row r="13325" x14ac:dyDescent="0.3"/>
    <row r="13326" x14ac:dyDescent="0.3"/>
    <row r="13327" x14ac:dyDescent="0.3"/>
    <row r="13328" x14ac:dyDescent="0.3"/>
    <row r="13329" x14ac:dyDescent="0.3"/>
    <row r="13330" x14ac:dyDescent="0.3"/>
    <row r="13331" x14ac:dyDescent="0.3"/>
    <row r="13332" x14ac:dyDescent="0.3"/>
    <row r="13333" x14ac:dyDescent="0.3"/>
    <row r="13334" x14ac:dyDescent="0.3"/>
    <row r="13335" x14ac:dyDescent="0.3"/>
    <row r="13336" x14ac:dyDescent="0.3"/>
    <row r="13337" x14ac:dyDescent="0.3"/>
    <row r="13338" x14ac:dyDescent="0.3"/>
    <row r="13339" x14ac:dyDescent="0.3"/>
    <row r="13340" x14ac:dyDescent="0.3"/>
    <row r="13341" x14ac:dyDescent="0.3"/>
    <row r="13342" x14ac:dyDescent="0.3"/>
    <row r="13343" x14ac:dyDescent="0.3"/>
    <row r="13344" x14ac:dyDescent="0.3"/>
    <row r="13345" x14ac:dyDescent="0.3"/>
    <row r="13346" x14ac:dyDescent="0.3"/>
    <row r="13347" x14ac:dyDescent="0.3"/>
    <row r="13348" x14ac:dyDescent="0.3"/>
    <row r="13349" x14ac:dyDescent="0.3"/>
    <row r="13350" x14ac:dyDescent="0.3"/>
    <row r="13351" x14ac:dyDescent="0.3"/>
    <row r="13352" x14ac:dyDescent="0.3"/>
    <row r="13353" x14ac:dyDescent="0.3"/>
    <row r="13354" x14ac:dyDescent="0.3"/>
    <row r="13355" x14ac:dyDescent="0.3"/>
    <row r="13356" x14ac:dyDescent="0.3"/>
    <row r="13357" x14ac:dyDescent="0.3"/>
    <row r="13358" x14ac:dyDescent="0.3"/>
    <row r="13359" x14ac:dyDescent="0.3"/>
    <row r="13360" x14ac:dyDescent="0.3"/>
    <row r="13361" x14ac:dyDescent="0.3"/>
    <row r="13362" x14ac:dyDescent="0.3"/>
    <row r="13363" x14ac:dyDescent="0.3"/>
    <row r="13364" x14ac:dyDescent="0.3"/>
    <row r="13365" x14ac:dyDescent="0.3"/>
    <row r="13366" x14ac:dyDescent="0.3"/>
    <row r="13367" x14ac:dyDescent="0.3"/>
    <row r="13368" x14ac:dyDescent="0.3"/>
    <row r="13369" x14ac:dyDescent="0.3"/>
    <row r="13370" x14ac:dyDescent="0.3"/>
    <row r="13371" x14ac:dyDescent="0.3"/>
    <row r="13372" x14ac:dyDescent="0.3"/>
    <row r="13373" x14ac:dyDescent="0.3"/>
    <row r="13374" x14ac:dyDescent="0.3"/>
    <row r="13375" x14ac:dyDescent="0.3"/>
    <row r="13376" x14ac:dyDescent="0.3"/>
    <row r="13377" x14ac:dyDescent="0.3"/>
    <row r="13378" x14ac:dyDescent="0.3"/>
    <row r="13379" x14ac:dyDescent="0.3"/>
    <row r="13380" x14ac:dyDescent="0.3"/>
    <row r="13381" x14ac:dyDescent="0.3"/>
    <row r="13382" x14ac:dyDescent="0.3"/>
    <row r="13383" x14ac:dyDescent="0.3"/>
    <row r="13384" x14ac:dyDescent="0.3"/>
    <row r="13385" x14ac:dyDescent="0.3"/>
    <row r="13386" x14ac:dyDescent="0.3"/>
    <row r="13387" x14ac:dyDescent="0.3"/>
    <row r="13388" x14ac:dyDescent="0.3"/>
    <row r="13389" x14ac:dyDescent="0.3"/>
    <row r="13390" x14ac:dyDescent="0.3"/>
    <row r="13391" x14ac:dyDescent="0.3"/>
    <row r="13392" x14ac:dyDescent="0.3"/>
    <row r="13393" x14ac:dyDescent="0.3"/>
    <row r="13394" x14ac:dyDescent="0.3"/>
    <row r="13395" x14ac:dyDescent="0.3"/>
    <row r="13396" x14ac:dyDescent="0.3"/>
    <row r="13397" x14ac:dyDescent="0.3"/>
    <row r="13398" x14ac:dyDescent="0.3"/>
    <row r="13399" x14ac:dyDescent="0.3"/>
    <row r="13400" x14ac:dyDescent="0.3"/>
    <row r="13401" x14ac:dyDescent="0.3"/>
    <row r="13402" x14ac:dyDescent="0.3"/>
    <row r="13403" x14ac:dyDescent="0.3"/>
    <row r="13404" x14ac:dyDescent="0.3"/>
    <row r="13405" x14ac:dyDescent="0.3"/>
    <row r="13406" x14ac:dyDescent="0.3"/>
    <row r="13407" x14ac:dyDescent="0.3"/>
    <row r="13408" x14ac:dyDescent="0.3"/>
    <row r="13409" x14ac:dyDescent="0.3"/>
    <row r="13410" x14ac:dyDescent="0.3"/>
    <row r="13411" x14ac:dyDescent="0.3"/>
    <row r="13412" x14ac:dyDescent="0.3"/>
    <row r="13413" x14ac:dyDescent="0.3"/>
    <row r="13414" x14ac:dyDescent="0.3"/>
    <row r="13415" x14ac:dyDescent="0.3"/>
    <row r="13416" x14ac:dyDescent="0.3"/>
    <row r="13417" x14ac:dyDescent="0.3"/>
    <row r="13418" x14ac:dyDescent="0.3"/>
    <row r="13419" x14ac:dyDescent="0.3"/>
    <row r="13420" x14ac:dyDescent="0.3"/>
    <row r="13421" x14ac:dyDescent="0.3"/>
    <row r="13422" x14ac:dyDescent="0.3"/>
    <row r="13423" x14ac:dyDescent="0.3"/>
    <row r="13424" x14ac:dyDescent="0.3"/>
    <row r="13425" x14ac:dyDescent="0.3"/>
    <row r="13426" x14ac:dyDescent="0.3"/>
    <row r="13427" x14ac:dyDescent="0.3"/>
    <row r="13428" x14ac:dyDescent="0.3"/>
    <row r="13429" x14ac:dyDescent="0.3"/>
    <row r="13430" x14ac:dyDescent="0.3"/>
    <row r="13431" x14ac:dyDescent="0.3"/>
    <row r="13432" x14ac:dyDescent="0.3"/>
    <row r="13433" x14ac:dyDescent="0.3"/>
    <row r="13434" x14ac:dyDescent="0.3"/>
    <row r="13435" x14ac:dyDescent="0.3"/>
    <row r="13436" x14ac:dyDescent="0.3"/>
    <row r="13437" x14ac:dyDescent="0.3"/>
    <row r="13438" x14ac:dyDescent="0.3"/>
    <row r="13439" x14ac:dyDescent="0.3"/>
    <row r="13440" x14ac:dyDescent="0.3"/>
    <row r="13441" x14ac:dyDescent="0.3"/>
    <row r="13442" x14ac:dyDescent="0.3"/>
    <row r="13443" x14ac:dyDescent="0.3"/>
    <row r="13444" x14ac:dyDescent="0.3"/>
    <row r="13445" x14ac:dyDescent="0.3"/>
    <row r="13446" x14ac:dyDescent="0.3"/>
    <row r="13447" x14ac:dyDescent="0.3"/>
    <row r="13448" x14ac:dyDescent="0.3"/>
    <row r="13449" x14ac:dyDescent="0.3"/>
    <row r="13450" x14ac:dyDescent="0.3"/>
    <row r="13451" x14ac:dyDescent="0.3"/>
    <row r="13452" x14ac:dyDescent="0.3"/>
    <row r="13453" x14ac:dyDescent="0.3"/>
    <row r="13454" x14ac:dyDescent="0.3"/>
    <row r="13455" x14ac:dyDescent="0.3"/>
    <row r="13456" x14ac:dyDescent="0.3"/>
    <row r="13457" x14ac:dyDescent="0.3"/>
    <row r="13458" x14ac:dyDescent="0.3"/>
    <row r="13459" x14ac:dyDescent="0.3"/>
    <row r="13460" x14ac:dyDescent="0.3"/>
    <row r="13461" x14ac:dyDescent="0.3"/>
    <row r="13462" x14ac:dyDescent="0.3"/>
    <row r="13463" x14ac:dyDescent="0.3"/>
    <row r="13464" x14ac:dyDescent="0.3"/>
    <row r="13465" x14ac:dyDescent="0.3"/>
    <row r="13466" x14ac:dyDescent="0.3"/>
    <row r="13467" x14ac:dyDescent="0.3"/>
    <row r="13468" x14ac:dyDescent="0.3"/>
    <row r="13469" x14ac:dyDescent="0.3"/>
    <row r="13470" x14ac:dyDescent="0.3"/>
    <row r="13471" x14ac:dyDescent="0.3"/>
    <row r="13472" x14ac:dyDescent="0.3"/>
    <row r="13473" x14ac:dyDescent="0.3"/>
    <row r="13474" x14ac:dyDescent="0.3"/>
    <row r="13475" x14ac:dyDescent="0.3"/>
    <row r="13476" x14ac:dyDescent="0.3"/>
    <row r="13477" x14ac:dyDescent="0.3"/>
    <row r="13478" x14ac:dyDescent="0.3"/>
    <row r="13479" x14ac:dyDescent="0.3"/>
    <row r="13480" x14ac:dyDescent="0.3"/>
    <row r="13481" x14ac:dyDescent="0.3"/>
    <row r="13482" x14ac:dyDescent="0.3"/>
    <row r="13483" x14ac:dyDescent="0.3"/>
    <row r="13484" x14ac:dyDescent="0.3"/>
    <row r="13485" x14ac:dyDescent="0.3"/>
    <row r="13486" x14ac:dyDescent="0.3"/>
    <row r="13487" x14ac:dyDescent="0.3"/>
    <row r="13488" x14ac:dyDescent="0.3"/>
    <row r="13489" x14ac:dyDescent="0.3"/>
    <row r="13490" x14ac:dyDescent="0.3"/>
    <row r="13491" x14ac:dyDescent="0.3"/>
    <row r="13492" x14ac:dyDescent="0.3"/>
    <row r="13493" x14ac:dyDescent="0.3"/>
    <row r="13494" x14ac:dyDescent="0.3"/>
    <row r="13495" x14ac:dyDescent="0.3"/>
    <row r="13496" x14ac:dyDescent="0.3"/>
    <row r="13497" x14ac:dyDescent="0.3"/>
    <row r="13498" x14ac:dyDescent="0.3"/>
    <row r="13499" x14ac:dyDescent="0.3"/>
    <row r="13500" x14ac:dyDescent="0.3"/>
    <row r="13501" x14ac:dyDescent="0.3"/>
    <row r="13502" x14ac:dyDescent="0.3"/>
    <row r="13503" x14ac:dyDescent="0.3"/>
    <row r="13504" x14ac:dyDescent="0.3"/>
    <row r="13505" x14ac:dyDescent="0.3"/>
    <row r="13506" x14ac:dyDescent="0.3"/>
    <row r="13507" x14ac:dyDescent="0.3"/>
    <row r="13508" x14ac:dyDescent="0.3"/>
    <row r="13509" x14ac:dyDescent="0.3"/>
    <row r="13510" x14ac:dyDescent="0.3"/>
    <row r="13511" x14ac:dyDescent="0.3"/>
    <row r="13512" x14ac:dyDescent="0.3"/>
    <row r="13513" x14ac:dyDescent="0.3"/>
    <row r="13514" x14ac:dyDescent="0.3"/>
    <row r="13515" x14ac:dyDescent="0.3"/>
    <row r="13516" x14ac:dyDescent="0.3"/>
    <row r="13517" x14ac:dyDescent="0.3"/>
    <row r="13518" x14ac:dyDescent="0.3"/>
    <row r="13519" x14ac:dyDescent="0.3"/>
    <row r="13520" x14ac:dyDescent="0.3"/>
    <row r="13521" x14ac:dyDescent="0.3"/>
    <row r="13522" x14ac:dyDescent="0.3"/>
    <row r="13523" x14ac:dyDescent="0.3"/>
    <row r="13524" x14ac:dyDescent="0.3"/>
    <row r="13525" x14ac:dyDescent="0.3"/>
    <row r="13526" x14ac:dyDescent="0.3"/>
    <row r="13527" x14ac:dyDescent="0.3"/>
    <row r="13528" x14ac:dyDescent="0.3"/>
    <row r="13529" x14ac:dyDescent="0.3"/>
    <row r="13530" x14ac:dyDescent="0.3"/>
    <row r="13531" x14ac:dyDescent="0.3"/>
    <row r="13532" x14ac:dyDescent="0.3"/>
    <row r="13533" x14ac:dyDescent="0.3"/>
    <row r="13534" x14ac:dyDescent="0.3"/>
    <row r="13535" x14ac:dyDescent="0.3"/>
    <row r="13536" x14ac:dyDescent="0.3"/>
    <row r="13537" x14ac:dyDescent="0.3"/>
    <row r="13538" x14ac:dyDescent="0.3"/>
    <row r="13539" x14ac:dyDescent="0.3"/>
    <row r="13540" x14ac:dyDescent="0.3"/>
    <row r="13541" x14ac:dyDescent="0.3"/>
    <row r="13542" x14ac:dyDescent="0.3"/>
    <row r="13543" x14ac:dyDescent="0.3"/>
    <row r="13544" x14ac:dyDescent="0.3"/>
    <row r="13545" x14ac:dyDescent="0.3"/>
    <row r="13546" x14ac:dyDescent="0.3"/>
    <row r="13547" x14ac:dyDescent="0.3"/>
    <row r="13548" x14ac:dyDescent="0.3"/>
    <row r="13549" x14ac:dyDescent="0.3"/>
    <row r="13550" x14ac:dyDescent="0.3"/>
    <row r="13551" x14ac:dyDescent="0.3"/>
    <row r="13552" x14ac:dyDescent="0.3"/>
    <row r="13553" x14ac:dyDescent="0.3"/>
    <row r="13554" x14ac:dyDescent="0.3"/>
    <row r="13555" x14ac:dyDescent="0.3"/>
    <row r="13556" x14ac:dyDescent="0.3"/>
    <row r="13557" x14ac:dyDescent="0.3"/>
    <row r="13558" x14ac:dyDescent="0.3"/>
    <row r="13559" x14ac:dyDescent="0.3"/>
    <row r="13560" x14ac:dyDescent="0.3"/>
    <row r="13561" x14ac:dyDescent="0.3"/>
    <row r="13562" x14ac:dyDescent="0.3"/>
    <row r="13563" x14ac:dyDescent="0.3"/>
    <row r="13564" x14ac:dyDescent="0.3"/>
    <row r="13565" x14ac:dyDescent="0.3"/>
    <row r="13566" x14ac:dyDescent="0.3"/>
    <row r="13567" x14ac:dyDescent="0.3"/>
    <row r="13568" x14ac:dyDescent="0.3"/>
    <row r="13569" x14ac:dyDescent="0.3"/>
    <row r="13570" x14ac:dyDescent="0.3"/>
    <row r="13571" x14ac:dyDescent="0.3"/>
    <row r="13572" x14ac:dyDescent="0.3"/>
    <row r="13573" x14ac:dyDescent="0.3"/>
    <row r="13574" x14ac:dyDescent="0.3"/>
    <row r="13575" x14ac:dyDescent="0.3"/>
    <row r="13576" x14ac:dyDescent="0.3"/>
    <row r="13577" x14ac:dyDescent="0.3"/>
    <row r="13578" x14ac:dyDescent="0.3"/>
    <row r="13579" x14ac:dyDescent="0.3"/>
    <row r="13580" x14ac:dyDescent="0.3"/>
    <row r="13581" x14ac:dyDescent="0.3"/>
    <row r="13582" x14ac:dyDescent="0.3"/>
    <row r="13583" x14ac:dyDescent="0.3"/>
    <row r="13584" x14ac:dyDescent="0.3"/>
    <row r="13585" x14ac:dyDescent="0.3"/>
    <row r="13586" x14ac:dyDescent="0.3"/>
    <row r="13587" x14ac:dyDescent="0.3"/>
    <row r="13588" x14ac:dyDescent="0.3"/>
    <row r="13589" x14ac:dyDescent="0.3"/>
    <row r="13590" x14ac:dyDescent="0.3"/>
    <row r="13591" x14ac:dyDescent="0.3"/>
    <row r="13592" x14ac:dyDescent="0.3"/>
    <row r="13593" x14ac:dyDescent="0.3"/>
    <row r="13594" x14ac:dyDescent="0.3"/>
    <row r="13595" x14ac:dyDescent="0.3"/>
    <row r="13596" x14ac:dyDescent="0.3"/>
    <row r="13597" x14ac:dyDescent="0.3"/>
    <row r="13598" x14ac:dyDescent="0.3"/>
    <row r="13599" x14ac:dyDescent="0.3"/>
    <row r="13600" x14ac:dyDescent="0.3"/>
    <row r="13601" x14ac:dyDescent="0.3"/>
    <row r="13602" x14ac:dyDescent="0.3"/>
    <row r="13603" x14ac:dyDescent="0.3"/>
    <row r="13604" x14ac:dyDescent="0.3"/>
    <row r="13605" x14ac:dyDescent="0.3"/>
    <row r="13606" x14ac:dyDescent="0.3"/>
    <row r="13607" x14ac:dyDescent="0.3"/>
    <row r="13608" x14ac:dyDescent="0.3"/>
    <row r="13609" x14ac:dyDescent="0.3"/>
    <row r="13610" x14ac:dyDescent="0.3"/>
    <row r="13611" x14ac:dyDescent="0.3"/>
    <row r="13612" x14ac:dyDescent="0.3"/>
    <row r="13613" x14ac:dyDescent="0.3"/>
    <row r="13614" x14ac:dyDescent="0.3"/>
    <row r="13615" x14ac:dyDescent="0.3"/>
    <row r="13616" x14ac:dyDescent="0.3"/>
    <row r="13617" x14ac:dyDescent="0.3"/>
    <row r="13618" x14ac:dyDescent="0.3"/>
    <row r="13619" x14ac:dyDescent="0.3"/>
    <row r="13620" x14ac:dyDescent="0.3"/>
    <row r="13621" x14ac:dyDescent="0.3"/>
    <row r="13622" x14ac:dyDescent="0.3"/>
    <row r="13623" x14ac:dyDescent="0.3"/>
    <row r="13624" x14ac:dyDescent="0.3"/>
    <row r="13625" x14ac:dyDescent="0.3"/>
    <row r="13626" x14ac:dyDescent="0.3"/>
    <row r="13627" x14ac:dyDescent="0.3"/>
    <row r="13628" x14ac:dyDescent="0.3"/>
    <row r="13629" x14ac:dyDescent="0.3"/>
    <row r="13630" x14ac:dyDescent="0.3"/>
    <row r="13631" x14ac:dyDescent="0.3"/>
    <row r="13632" x14ac:dyDescent="0.3"/>
    <row r="13633" x14ac:dyDescent="0.3"/>
    <row r="13634" x14ac:dyDescent="0.3"/>
    <row r="13635" x14ac:dyDescent="0.3"/>
    <row r="13636" x14ac:dyDescent="0.3"/>
    <row r="13637" x14ac:dyDescent="0.3"/>
    <row r="13638" x14ac:dyDescent="0.3"/>
    <row r="13639" x14ac:dyDescent="0.3"/>
    <row r="13640" x14ac:dyDescent="0.3"/>
    <row r="13641" x14ac:dyDescent="0.3"/>
    <row r="13642" x14ac:dyDescent="0.3"/>
    <row r="13643" x14ac:dyDescent="0.3"/>
    <row r="13644" x14ac:dyDescent="0.3"/>
    <row r="13645" x14ac:dyDescent="0.3"/>
    <row r="13646" x14ac:dyDescent="0.3"/>
    <row r="13647" x14ac:dyDescent="0.3"/>
    <row r="13648" x14ac:dyDescent="0.3"/>
    <row r="13649" x14ac:dyDescent="0.3"/>
    <row r="13650" x14ac:dyDescent="0.3"/>
    <row r="13651" x14ac:dyDescent="0.3"/>
    <row r="13652" x14ac:dyDescent="0.3"/>
    <row r="13653" x14ac:dyDescent="0.3"/>
    <row r="13654" x14ac:dyDescent="0.3"/>
    <row r="13655" x14ac:dyDescent="0.3"/>
    <row r="13656" x14ac:dyDescent="0.3"/>
    <row r="13657" x14ac:dyDescent="0.3"/>
    <row r="13658" x14ac:dyDescent="0.3"/>
    <row r="13659" x14ac:dyDescent="0.3"/>
    <row r="13660" x14ac:dyDescent="0.3"/>
    <row r="13661" x14ac:dyDescent="0.3"/>
    <row r="13662" x14ac:dyDescent="0.3"/>
    <row r="13663" x14ac:dyDescent="0.3"/>
    <row r="13664" x14ac:dyDescent="0.3"/>
    <row r="13665" x14ac:dyDescent="0.3"/>
    <row r="13666" x14ac:dyDescent="0.3"/>
    <row r="13667" x14ac:dyDescent="0.3"/>
    <row r="13668" x14ac:dyDescent="0.3"/>
    <row r="13669" x14ac:dyDescent="0.3"/>
    <row r="13670" x14ac:dyDescent="0.3"/>
    <row r="13671" x14ac:dyDescent="0.3"/>
    <row r="13672" x14ac:dyDescent="0.3"/>
    <row r="13673" x14ac:dyDescent="0.3"/>
    <row r="13674" x14ac:dyDescent="0.3"/>
    <row r="13675" x14ac:dyDescent="0.3"/>
    <row r="13676" x14ac:dyDescent="0.3"/>
    <row r="13677" x14ac:dyDescent="0.3"/>
    <row r="13678" x14ac:dyDescent="0.3"/>
    <row r="13679" x14ac:dyDescent="0.3"/>
    <row r="13680" x14ac:dyDescent="0.3"/>
    <row r="13681" x14ac:dyDescent="0.3"/>
    <row r="13682" x14ac:dyDescent="0.3"/>
    <row r="13683" x14ac:dyDescent="0.3"/>
    <row r="13684" x14ac:dyDescent="0.3"/>
    <row r="13685" x14ac:dyDescent="0.3"/>
    <row r="13686" x14ac:dyDescent="0.3"/>
    <row r="13687" x14ac:dyDescent="0.3"/>
    <row r="13688" x14ac:dyDescent="0.3"/>
    <row r="13689" x14ac:dyDescent="0.3"/>
    <row r="13690" x14ac:dyDescent="0.3"/>
    <row r="13691" x14ac:dyDescent="0.3"/>
    <row r="13692" x14ac:dyDescent="0.3"/>
    <row r="13693" x14ac:dyDescent="0.3"/>
    <row r="13694" x14ac:dyDescent="0.3"/>
    <row r="13695" x14ac:dyDescent="0.3"/>
    <row r="13696" x14ac:dyDescent="0.3"/>
    <row r="13697" x14ac:dyDescent="0.3"/>
    <row r="13698" x14ac:dyDescent="0.3"/>
    <row r="13699" x14ac:dyDescent="0.3"/>
    <row r="13700" x14ac:dyDescent="0.3"/>
    <row r="13701" x14ac:dyDescent="0.3"/>
    <row r="13702" x14ac:dyDescent="0.3"/>
    <row r="13703" x14ac:dyDescent="0.3"/>
    <row r="13704" x14ac:dyDescent="0.3"/>
    <row r="13705" x14ac:dyDescent="0.3"/>
    <row r="13706" x14ac:dyDescent="0.3"/>
    <row r="13707" x14ac:dyDescent="0.3"/>
    <row r="13708" x14ac:dyDescent="0.3"/>
    <row r="13709" x14ac:dyDescent="0.3"/>
    <row r="13710" x14ac:dyDescent="0.3"/>
    <row r="13711" x14ac:dyDescent="0.3"/>
    <row r="13712" x14ac:dyDescent="0.3"/>
    <row r="13713" x14ac:dyDescent="0.3"/>
    <row r="13714" x14ac:dyDescent="0.3"/>
    <row r="13715" x14ac:dyDescent="0.3"/>
    <row r="13716" x14ac:dyDescent="0.3"/>
    <row r="13717" x14ac:dyDescent="0.3"/>
    <row r="13718" x14ac:dyDescent="0.3"/>
    <row r="13719" x14ac:dyDescent="0.3"/>
    <row r="13720" x14ac:dyDescent="0.3"/>
    <row r="13721" x14ac:dyDescent="0.3"/>
    <row r="13722" x14ac:dyDescent="0.3"/>
    <row r="13723" x14ac:dyDescent="0.3"/>
    <row r="13724" x14ac:dyDescent="0.3"/>
    <row r="13725" x14ac:dyDescent="0.3"/>
    <row r="13726" x14ac:dyDescent="0.3"/>
    <row r="13727" x14ac:dyDescent="0.3"/>
    <row r="13728" x14ac:dyDescent="0.3"/>
    <row r="13729" x14ac:dyDescent="0.3"/>
    <row r="13730" x14ac:dyDescent="0.3"/>
    <row r="13731" x14ac:dyDescent="0.3"/>
    <row r="13732" x14ac:dyDescent="0.3"/>
    <row r="13733" x14ac:dyDescent="0.3"/>
    <row r="13734" x14ac:dyDescent="0.3"/>
    <row r="13735" x14ac:dyDescent="0.3"/>
    <row r="13736" x14ac:dyDescent="0.3"/>
    <row r="13737" x14ac:dyDescent="0.3"/>
    <row r="13738" x14ac:dyDescent="0.3"/>
    <row r="13739" x14ac:dyDescent="0.3"/>
    <row r="13740" x14ac:dyDescent="0.3"/>
    <row r="13741" x14ac:dyDescent="0.3"/>
    <row r="13742" x14ac:dyDescent="0.3"/>
    <row r="13743" x14ac:dyDescent="0.3"/>
    <row r="13744" x14ac:dyDescent="0.3"/>
    <row r="13745" x14ac:dyDescent="0.3"/>
    <row r="13746" x14ac:dyDescent="0.3"/>
    <row r="13747" x14ac:dyDescent="0.3"/>
    <row r="13748" x14ac:dyDescent="0.3"/>
    <row r="13749" x14ac:dyDescent="0.3"/>
    <row r="13750" x14ac:dyDescent="0.3"/>
    <row r="13751" x14ac:dyDescent="0.3"/>
    <row r="13752" x14ac:dyDescent="0.3"/>
    <row r="13753" x14ac:dyDescent="0.3"/>
    <row r="13754" x14ac:dyDescent="0.3"/>
    <row r="13755" x14ac:dyDescent="0.3"/>
    <row r="13756" x14ac:dyDescent="0.3"/>
    <row r="13757" x14ac:dyDescent="0.3"/>
    <row r="13758" x14ac:dyDescent="0.3"/>
    <row r="13759" x14ac:dyDescent="0.3"/>
    <row r="13760" x14ac:dyDescent="0.3"/>
    <row r="13761" x14ac:dyDescent="0.3"/>
    <row r="13762" x14ac:dyDescent="0.3"/>
    <row r="13763" x14ac:dyDescent="0.3"/>
    <row r="13764" x14ac:dyDescent="0.3"/>
    <row r="13765" x14ac:dyDescent="0.3"/>
    <row r="13766" x14ac:dyDescent="0.3"/>
    <row r="13767" x14ac:dyDescent="0.3"/>
    <row r="13768" x14ac:dyDescent="0.3"/>
    <row r="13769" x14ac:dyDescent="0.3"/>
    <row r="13770" x14ac:dyDescent="0.3"/>
    <row r="13771" x14ac:dyDescent="0.3"/>
    <row r="13772" x14ac:dyDescent="0.3"/>
    <row r="13773" x14ac:dyDescent="0.3"/>
    <row r="13774" x14ac:dyDescent="0.3"/>
    <row r="13775" x14ac:dyDescent="0.3"/>
    <row r="13776" x14ac:dyDescent="0.3"/>
    <row r="13777" x14ac:dyDescent="0.3"/>
    <row r="13778" x14ac:dyDescent="0.3"/>
    <row r="13779" x14ac:dyDescent="0.3"/>
    <row r="13780" x14ac:dyDescent="0.3"/>
    <row r="13781" x14ac:dyDescent="0.3"/>
    <row r="13782" x14ac:dyDescent="0.3"/>
    <row r="13783" x14ac:dyDescent="0.3"/>
    <row r="13784" x14ac:dyDescent="0.3"/>
    <row r="13785" x14ac:dyDescent="0.3"/>
    <row r="13786" x14ac:dyDescent="0.3"/>
    <row r="13787" x14ac:dyDescent="0.3"/>
    <row r="13788" x14ac:dyDescent="0.3"/>
    <row r="13789" x14ac:dyDescent="0.3"/>
    <row r="13790" x14ac:dyDescent="0.3"/>
    <row r="13791" x14ac:dyDescent="0.3"/>
    <row r="13792" x14ac:dyDescent="0.3"/>
    <row r="13793" x14ac:dyDescent="0.3"/>
    <row r="13794" x14ac:dyDescent="0.3"/>
    <row r="13795" x14ac:dyDescent="0.3"/>
    <row r="13796" x14ac:dyDescent="0.3"/>
    <row r="13797" x14ac:dyDescent="0.3"/>
    <row r="13798" x14ac:dyDescent="0.3"/>
    <row r="13799" x14ac:dyDescent="0.3"/>
    <row r="13800" x14ac:dyDescent="0.3"/>
    <row r="13801" x14ac:dyDescent="0.3"/>
    <row r="13802" x14ac:dyDescent="0.3"/>
    <row r="13803" x14ac:dyDescent="0.3"/>
    <row r="13804" x14ac:dyDescent="0.3"/>
    <row r="13805" x14ac:dyDescent="0.3"/>
    <row r="13806" x14ac:dyDescent="0.3"/>
    <row r="13807" x14ac:dyDescent="0.3"/>
    <row r="13808" x14ac:dyDescent="0.3"/>
    <row r="13809" x14ac:dyDescent="0.3"/>
    <row r="13810" x14ac:dyDescent="0.3"/>
    <row r="13811" x14ac:dyDescent="0.3"/>
    <row r="13812" x14ac:dyDescent="0.3"/>
    <row r="13813" x14ac:dyDescent="0.3"/>
    <row r="13814" x14ac:dyDescent="0.3"/>
    <row r="13815" x14ac:dyDescent="0.3"/>
    <row r="13816" x14ac:dyDescent="0.3"/>
    <row r="13817" x14ac:dyDescent="0.3"/>
    <row r="13818" x14ac:dyDescent="0.3"/>
    <row r="13819" x14ac:dyDescent="0.3"/>
    <row r="13820" x14ac:dyDescent="0.3"/>
    <row r="13821" x14ac:dyDescent="0.3"/>
    <row r="13822" x14ac:dyDescent="0.3"/>
    <row r="13823" x14ac:dyDescent="0.3"/>
    <row r="13824" x14ac:dyDescent="0.3"/>
    <row r="13825" x14ac:dyDescent="0.3"/>
    <row r="13826" x14ac:dyDescent="0.3"/>
    <row r="13827" x14ac:dyDescent="0.3"/>
    <row r="13828" x14ac:dyDescent="0.3"/>
    <row r="13829" x14ac:dyDescent="0.3"/>
    <row r="13830" x14ac:dyDescent="0.3"/>
    <row r="13831" x14ac:dyDescent="0.3"/>
    <row r="13832" x14ac:dyDescent="0.3"/>
    <row r="13833" x14ac:dyDescent="0.3"/>
    <row r="13834" x14ac:dyDescent="0.3"/>
    <row r="13835" x14ac:dyDescent="0.3"/>
    <row r="13836" x14ac:dyDescent="0.3"/>
    <row r="13837" x14ac:dyDescent="0.3"/>
    <row r="13838" x14ac:dyDescent="0.3"/>
    <row r="13839" x14ac:dyDescent="0.3"/>
    <row r="13840" x14ac:dyDescent="0.3"/>
    <row r="13841" x14ac:dyDescent="0.3"/>
    <row r="13842" x14ac:dyDescent="0.3"/>
    <row r="13843" x14ac:dyDescent="0.3"/>
    <row r="13844" x14ac:dyDescent="0.3"/>
    <row r="13845" x14ac:dyDescent="0.3"/>
    <row r="13846" x14ac:dyDescent="0.3"/>
    <row r="13847" x14ac:dyDescent="0.3"/>
    <row r="13848" x14ac:dyDescent="0.3"/>
    <row r="13849" x14ac:dyDescent="0.3"/>
    <row r="13850" x14ac:dyDescent="0.3"/>
    <row r="13851" x14ac:dyDescent="0.3"/>
    <row r="13852" x14ac:dyDescent="0.3"/>
    <row r="13853" x14ac:dyDescent="0.3"/>
    <row r="13854" x14ac:dyDescent="0.3"/>
    <row r="13855" x14ac:dyDescent="0.3"/>
    <row r="13856" x14ac:dyDescent="0.3"/>
    <row r="13857" x14ac:dyDescent="0.3"/>
    <row r="13858" x14ac:dyDescent="0.3"/>
    <row r="13859" x14ac:dyDescent="0.3"/>
    <row r="13860" x14ac:dyDescent="0.3"/>
    <row r="13861" x14ac:dyDescent="0.3"/>
    <row r="13862" x14ac:dyDescent="0.3"/>
    <row r="13863" x14ac:dyDescent="0.3"/>
    <row r="13864" x14ac:dyDescent="0.3"/>
    <row r="13865" x14ac:dyDescent="0.3"/>
    <row r="13866" x14ac:dyDescent="0.3"/>
    <row r="13867" x14ac:dyDescent="0.3"/>
    <row r="13868" x14ac:dyDescent="0.3"/>
    <row r="13869" x14ac:dyDescent="0.3"/>
    <row r="13870" x14ac:dyDescent="0.3"/>
    <row r="13871" x14ac:dyDescent="0.3"/>
    <row r="13872" x14ac:dyDescent="0.3"/>
    <row r="13873" x14ac:dyDescent="0.3"/>
    <row r="13874" x14ac:dyDescent="0.3"/>
    <row r="13875" x14ac:dyDescent="0.3"/>
    <row r="13876" x14ac:dyDescent="0.3"/>
    <row r="13877" x14ac:dyDescent="0.3"/>
    <row r="13878" x14ac:dyDescent="0.3"/>
    <row r="13879" x14ac:dyDescent="0.3"/>
    <row r="13880" x14ac:dyDescent="0.3"/>
    <row r="13881" x14ac:dyDescent="0.3"/>
    <row r="13882" x14ac:dyDescent="0.3"/>
    <row r="13883" x14ac:dyDescent="0.3"/>
    <row r="13884" x14ac:dyDescent="0.3"/>
    <row r="13885" x14ac:dyDescent="0.3"/>
    <row r="13886" x14ac:dyDescent="0.3"/>
    <row r="13887" x14ac:dyDescent="0.3"/>
    <row r="13888" x14ac:dyDescent="0.3"/>
    <row r="13889" x14ac:dyDescent="0.3"/>
    <row r="13890" x14ac:dyDescent="0.3"/>
    <row r="13891" x14ac:dyDescent="0.3"/>
    <row r="13892" x14ac:dyDescent="0.3"/>
    <row r="13893" x14ac:dyDescent="0.3"/>
    <row r="13894" x14ac:dyDescent="0.3"/>
    <row r="13895" x14ac:dyDescent="0.3"/>
    <row r="13896" x14ac:dyDescent="0.3"/>
    <row r="13897" x14ac:dyDescent="0.3"/>
    <row r="13898" x14ac:dyDescent="0.3"/>
    <row r="13899" x14ac:dyDescent="0.3"/>
    <row r="13900" x14ac:dyDescent="0.3"/>
    <row r="13901" x14ac:dyDescent="0.3"/>
    <row r="13902" x14ac:dyDescent="0.3"/>
    <row r="13903" x14ac:dyDescent="0.3"/>
    <row r="13904" x14ac:dyDescent="0.3"/>
    <row r="13905" x14ac:dyDescent="0.3"/>
    <row r="13906" x14ac:dyDescent="0.3"/>
    <row r="13907" x14ac:dyDescent="0.3"/>
    <row r="13908" x14ac:dyDescent="0.3"/>
    <row r="13909" x14ac:dyDescent="0.3"/>
    <row r="13910" x14ac:dyDescent="0.3"/>
    <row r="13911" x14ac:dyDescent="0.3"/>
    <row r="13912" x14ac:dyDescent="0.3"/>
    <row r="13913" x14ac:dyDescent="0.3"/>
    <row r="13914" x14ac:dyDescent="0.3"/>
    <row r="13915" x14ac:dyDescent="0.3"/>
    <row r="13916" x14ac:dyDescent="0.3"/>
    <row r="13917" x14ac:dyDescent="0.3"/>
    <row r="13918" x14ac:dyDescent="0.3"/>
    <row r="13919" x14ac:dyDescent="0.3"/>
    <row r="13920" x14ac:dyDescent="0.3"/>
    <row r="13921" x14ac:dyDescent="0.3"/>
    <row r="13922" x14ac:dyDescent="0.3"/>
    <row r="13923" x14ac:dyDescent="0.3"/>
    <row r="13924" x14ac:dyDescent="0.3"/>
    <row r="13925" x14ac:dyDescent="0.3"/>
    <row r="13926" x14ac:dyDescent="0.3"/>
    <row r="13927" x14ac:dyDescent="0.3"/>
    <row r="13928" x14ac:dyDescent="0.3"/>
    <row r="13929" x14ac:dyDescent="0.3"/>
    <row r="13930" x14ac:dyDescent="0.3"/>
    <row r="13931" x14ac:dyDescent="0.3"/>
    <row r="13932" x14ac:dyDescent="0.3"/>
    <row r="13933" x14ac:dyDescent="0.3"/>
    <row r="13934" x14ac:dyDescent="0.3"/>
    <row r="13935" x14ac:dyDescent="0.3"/>
    <row r="13936" x14ac:dyDescent="0.3"/>
    <row r="13937" x14ac:dyDescent="0.3"/>
    <row r="13938" x14ac:dyDescent="0.3"/>
    <row r="13939" x14ac:dyDescent="0.3"/>
    <row r="13940" x14ac:dyDescent="0.3"/>
    <row r="13941" x14ac:dyDescent="0.3"/>
    <row r="13942" x14ac:dyDescent="0.3"/>
    <row r="13943" x14ac:dyDescent="0.3"/>
    <row r="13944" x14ac:dyDescent="0.3"/>
    <row r="13945" x14ac:dyDescent="0.3"/>
    <row r="13946" x14ac:dyDescent="0.3"/>
    <row r="13947" x14ac:dyDescent="0.3"/>
    <row r="13948" x14ac:dyDescent="0.3"/>
    <row r="13949" x14ac:dyDescent="0.3"/>
    <row r="13950" x14ac:dyDescent="0.3"/>
    <row r="13951" x14ac:dyDescent="0.3"/>
    <row r="13952" x14ac:dyDescent="0.3"/>
    <row r="13953" x14ac:dyDescent="0.3"/>
    <row r="13954" x14ac:dyDescent="0.3"/>
    <row r="13955" x14ac:dyDescent="0.3"/>
    <row r="13956" x14ac:dyDescent="0.3"/>
    <row r="13957" x14ac:dyDescent="0.3"/>
    <row r="13958" x14ac:dyDescent="0.3"/>
    <row r="13959" x14ac:dyDescent="0.3"/>
    <row r="13960" x14ac:dyDescent="0.3"/>
    <row r="13961" x14ac:dyDescent="0.3"/>
    <row r="13962" x14ac:dyDescent="0.3"/>
    <row r="13963" x14ac:dyDescent="0.3"/>
    <row r="13964" x14ac:dyDescent="0.3"/>
    <row r="13965" x14ac:dyDescent="0.3"/>
    <row r="13966" x14ac:dyDescent="0.3"/>
    <row r="13967" x14ac:dyDescent="0.3"/>
    <row r="13968" x14ac:dyDescent="0.3"/>
    <row r="13969" x14ac:dyDescent="0.3"/>
    <row r="13970" x14ac:dyDescent="0.3"/>
    <row r="13971" x14ac:dyDescent="0.3"/>
    <row r="13972" x14ac:dyDescent="0.3"/>
    <row r="13973" x14ac:dyDescent="0.3"/>
    <row r="13974" x14ac:dyDescent="0.3"/>
    <row r="13975" x14ac:dyDescent="0.3"/>
    <row r="13976" x14ac:dyDescent="0.3"/>
    <row r="13977" x14ac:dyDescent="0.3"/>
    <row r="13978" x14ac:dyDescent="0.3"/>
    <row r="13979" x14ac:dyDescent="0.3"/>
    <row r="13980" x14ac:dyDescent="0.3"/>
    <row r="13981" x14ac:dyDescent="0.3"/>
    <row r="13982" x14ac:dyDescent="0.3"/>
    <row r="13983" x14ac:dyDescent="0.3"/>
    <row r="13984" x14ac:dyDescent="0.3"/>
    <row r="13985" x14ac:dyDescent="0.3"/>
    <row r="13986" x14ac:dyDescent="0.3"/>
    <row r="13987" x14ac:dyDescent="0.3"/>
    <row r="13988" x14ac:dyDescent="0.3"/>
    <row r="13989" x14ac:dyDescent="0.3"/>
    <row r="13990" x14ac:dyDescent="0.3"/>
    <row r="13991" x14ac:dyDescent="0.3"/>
    <row r="13992" x14ac:dyDescent="0.3"/>
    <row r="13993" x14ac:dyDescent="0.3"/>
    <row r="13994" x14ac:dyDescent="0.3"/>
    <row r="13995" x14ac:dyDescent="0.3"/>
    <row r="13996" x14ac:dyDescent="0.3"/>
    <row r="13997" x14ac:dyDescent="0.3"/>
    <row r="13998" x14ac:dyDescent="0.3"/>
    <row r="13999" x14ac:dyDescent="0.3"/>
    <row r="14000" x14ac:dyDescent="0.3"/>
    <row r="14001" x14ac:dyDescent="0.3"/>
    <row r="14002" x14ac:dyDescent="0.3"/>
    <row r="14003" x14ac:dyDescent="0.3"/>
    <row r="14004" x14ac:dyDescent="0.3"/>
    <row r="14005" x14ac:dyDescent="0.3"/>
    <row r="14006" x14ac:dyDescent="0.3"/>
    <row r="14007" x14ac:dyDescent="0.3"/>
    <row r="14008" x14ac:dyDescent="0.3"/>
    <row r="14009" x14ac:dyDescent="0.3"/>
    <row r="14010" x14ac:dyDescent="0.3"/>
    <row r="14011" x14ac:dyDescent="0.3"/>
    <row r="14012" x14ac:dyDescent="0.3"/>
    <row r="14013" x14ac:dyDescent="0.3"/>
    <row r="14014" x14ac:dyDescent="0.3"/>
    <row r="14015" x14ac:dyDescent="0.3"/>
    <row r="14016" x14ac:dyDescent="0.3"/>
    <row r="14017" x14ac:dyDescent="0.3"/>
    <row r="14018" x14ac:dyDescent="0.3"/>
    <row r="14019" x14ac:dyDescent="0.3"/>
    <row r="14020" x14ac:dyDescent="0.3"/>
    <row r="14021" x14ac:dyDescent="0.3"/>
    <row r="14022" x14ac:dyDescent="0.3"/>
    <row r="14023" x14ac:dyDescent="0.3"/>
    <row r="14024" x14ac:dyDescent="0.3"/>
    <row r="14025" x14ac:dyDescent="0.3"/>
    <row r="14026" x14ac:dyDescent="0.3"/>
    <row r="14027" x14ac:dyDescent="0.3"/>
    <row r="14028" x14ac:dyDescent="0.3"/>
    <row r="14029" x14ac:dyDescent="0.3"/>
    <row r="14030" x14ac:dyDescent="0.3"/>
    <row r="14031" x14ac:dyDescent="0.3"/>
    <row r="14032" x14ac:dyDescent="0.3"/>
    <row r="14033" x14ac:dyDescent="0.3"/>
    <row r="14034" x14ac:dyDescent="0.3"/>
    <row r="14035" x14ac:dyDescent="0.3"/>
    <row r="14036" x14ac:dyDescent="0.3"/>
    <row r="14037" x14ac:dyDescent="0.3"/>
    <row r="14038" x14ac:dyDescent="0.3"/>
    <row r="14039" x14ac:dyDescent="0.3"/>
    <row r="14040" x14ac:dyDescent="0.3"/>
    <row r="14041" x14ac:dyDescent="0.3"/>
    <row r="14042" x14ac:dyDescent="0.3"/>
    <row r="14043" x14ac:dyDescent="0.3"/>
    <row r="14044" x14ac:dyDescent="0.3"/>
    <row r="14045" x14ac:dyDescent="0.3"/>
    <row r="14046" x14ac:dyDescent="0.3"/>
    <row r="14047" x14ac:dyDescent="0.3"/>
    <row r="14048" x14ac:dyDescent="0.3"/>
    <row r="14049" x14ac:dyDescent="0.3"/>
    <row r="14050" x14ac:dyDescent="0.3"/>
    <row r="14051" x14ac:dyDescent="0.3"/>
    <row r="14052" x14ac:dyDescent="0.3"/>
    <row r="14053" x14ac:dyDescent="0.3"/>
    <row r="14054" x14ac:dyDescent="0.3"/>
    <row r="14055" x14ac:dyDescent="0.3"/>
    <row r="14056" x14ac:dyDescent="0.3"/>
    <row r="14057" x14ac:dyDescent="0.3"/>
    <row r="14058" x14ac:dyDescent="0.3"/>
    <row r="14059" x14ac:dyDescent="0.3"/>
    <row r="14060" x14ac:dyDescent="0.3"/>
    <row r="14061" x14ac:dyDescent="0.3"/>
    <row r="14062" x14ac:dyDescent="0.3"/>
    <row r="14063" x14ac:dyDescent="0.3"/>
    <row r="14064" x14ac:dyDescent="0.3"/>
    <row r="14065" x14ac:dyDescent="0.3"/>
    <row r="14066" x14ac:dyDescent="0.3"/>
    <row r="14067" x14ac:dyDescent="0.3"/>
    <row r="14068" x14ac:dyDescent="0.3"/>
    <row r="14069" x14ac:dyDescent="0.3"/>
    <row r="14070" x14ac:dyDescent="0.3"/>
    <row r="14071" x14ac:dyDescent="0.3"/>
    <row r="14072" x14ac:dyDescent="0.3"/>
    <row r="14073" x14ac:dyDescent="0.3"/>
    <row r="14074" x14ac:dyDescent="0.3"/>
    <row r="14075" x14ac:dyDescent="0.3"/>
    <row r="14076" x14ac:dyDescent="0.3"/>
    <row r="14077" x14ac:dyDescent="0.3"/>
    <row r="14078" x14ac:dyDescent="0.3"/>
    <row r="14079" x14ac:dyDescent="0.3"/>
    <row r="14080" x14ac:dyDescent="0.3"/>
    <row r="14081" x14ac:dyDescent="0.3"/>
    <row r="14082" x14ac:dyDescent="0.3"/>
    <row r="14083" x14ac:dyDescent="0.3"/>
    <row r="14084" x14ac:dyDescent="0.3"/>
    <row r="14085" x14ac:dyDescent="0.3"/>
    <row r="14086" x14ac:dyDescent="0.3"/>
    <row r="14087" x14ac:dyDescent="0.3"/>
    <row r="14088" x14ac:dyDescent="0.3"/>
    <row r="14089" x14ac:dyDescent="0.3"/>
    <row r="14090" x14ac:dyDescent="0.3"/>
    <row r="14091" x14ac:dyDescent="0.3"/>
    <row r="14092" x14ac:dyDescent="0.3"/>
    <row r="14093" x14ac:dyDescent="0.3"/>
    <row r="14094" x14ac:dyDescent="0.3"/>
    <row r="14095" x14ac:dyDescent="0.3"/>
    <row r="14096" x14ac:dyDescent="0.3"/>
    <row r="14097" x14ac:dyDescent="0.3"/>
    <row r="14098" x14ac:dyDescent="0.3"/>
    <row r="14099" x14ac:dyDescent="0.3"/>
    <row r="14100" x14ac:dyDescent="0.3"/>
    <row r="14101" x14ac:dyDescent="0.3"/>
    <row r="14102" x14ac:dyDescent="0.3"/>
    <row r="14103" x14ac:dyDescent="0.3"/>
    <row r="14104" x14ac:dyDescent="0.3"/>
    <row r="14105" x14ac:dyDescent="0.3"/>
    <row r="14106" x14ac:dyDescent="0.3"/>
    <row r="14107" x14ac:dyDescent="0.3"/>
    <row r="14108" x14ac:dyDescent="0.3"/>
    <row r="14109" x14ac:dyDescent="0.3"/>
    <row r="14110" x14ac:dyDescent="0.3"/>
    <row r="14111" x14ac:dyDescent="0.3"/>
    <row r="14112" x14ac:dyDescent="0.3"/>
    <row r="14113" x14ac:dyDescent="0.3"/>
    <row r="14114" x14ac:dyDescent="0.3"/>
    <row r="14115" x14ac:dyDescent="0.3"/>
    <row r="14116" x14ac:dyDescent="0.3"/>
    <row r="14117" x14ac:dyDescent="0.3"/>
    <row r="14118" x14ac:dyDescent="0.3"/>
    <row r="14119" x14ac:dyDescent="0.3"/>
    <row r="14120" x14ac:dyDescent="0.3"/>
    <row r="14121" x14ac:dyDescent="0.3"/>
    <row r="14122" x14ac:dyDescent="0.3"/>
    <row r="14123" x14ac:dyDescent="0.3"/>
    <row r="14124" x14ac:dyDescent="0.3"/>
    <row r="14125" x14ac:dyDescent="0.3"/>
    <row r="14126" x14ac:dyDescent="0.3"/>
    <row r="14127" x14ac:dyDescent="0.3"/>
    <row r="14128" x14ac:dyDescent="0.3"/>
    <row r="14129" x14ac:dyDescent="0.3"/>
    <row r="14130" x14ac:dyDescent="0.3"/>
    <row r="14131" x14ac:dyDescent="0.3"/>
    <row r="14132" x14ac:dyDescent="0.3"/>
    <row r="14133" x14ac:dyDescent="0.3"/>
    <row r="14134" x14ac:dyDescent="0.3"/>
    <row r="14135" x14ac:dyDescent="0.3"/>
    <row r="14136" x14ac:dyDescent="0.3"/>
    <row r="14137" x14ac:dyDescent="0.3"/>
    <row r="14138" x14ac:dyDescent="0.3"/>
    <row r="14139" x14ac:dyDescent="0.3"/>
    <row r="14140" x14ac:dyDescent="0.3"/>
    <row r="14141" x14ac:dyDescent="0.3"/>
    <row r="14142" x14ac:dyDescent="0.3"/>
    <row r="14143" x14ac:dyDescent="0.3"/>
    <row r="14144" x14ac:dyDescent="0.3"/>
    <row r="14145" x14ac:dyDescent="0.3"/>
    <row r="14146" x14ac:dyDescent="0.3"/>
    <row r="14147" x14ac:dyDescent="0.3"/>
    <row r="14148" x14ac:dyDescent="0.3"/>
    <row r="14149" x14ac:dyDescent="0.3"/>
    <row r="14150" x14ac:dyDescent="0.3"/>
    <row r="14151" x14ac:dyDescent="0.3"/>
    <row r="14152" x14ac:dyDescent="0.3"/>
    <row r="14153" x14ac:dyDescent="0.3"/>
    <row r="14154" x14ac:dyDescent="0.3"/>
    <row r="14155" x14ac:dyDescent="0.3"/>
    <row r="14156" x14ac:dyDescent="0.3"/>
    <row r="14157" x14ac:dyDescent="0.3"/>
    <row r="14158" x14ac:dyDescent="0.3"/>
    <row r="14159" x14ac:dyDescent="0.3"/>
    <row r="14160" x14ac:dyDescent="0.3"/>
    <row r="14161" x14ac:dyDescent="0.3"/>
    <row r="14162" x14ac:dyDescent="0.3"/>
    <row r="14163" x14ac:dyDescent="0.3"/>
    <row r="14164" x14ac:dyDescent="0.3"/>
    <row r="14165" x14ac:dyDescent="0.3"/>
    <row r="14166" x14ac:dyDescent="0.3"/>
    <row r="14167" x14ac:dyDescent="0.3"/>
    <row r="14168" x14ac:dyDescent="0.3"/>
    <row r="14169" x14ac:dyDescent="0.3"/>
    <row r="14170" x14ac:dyDescent="0.3"/>
    <row r="14171" x14ac:dyDescent="0.3"/>
    <row r="14172" x14ac:dyDescent="0.3"/>
    <row r="14173" x14ac:dyDescent="0.3"/>
    <row r="14174" x14ac:dyDescent="0.3"/>
    <row r="14175" x14ac:dyDescent="0.3"/>
    <row r="14176" x14ac:dyDescent="0.3"/>
    <row r="14177" x14ac:dyDescent="0.3"/>
    <row r="14178" x14ac:dyDescent="0.3"/>
    <row r="14179" x14ac:dyDescent="0.3"/>
    <row r="14180" x14ac:dyDescent="0.3"/>
    <row r="14181" x14ac:dyDescent="0.3"/>
    <row r="14182" x14ac:dyDescent="0.3"/>
    <row r="14183" x14ac:dyDescent="0.3"/>
    <row r="14184" x14ac:dyDescent="0.3"/>
    <row r="14185" x14ac:dyDescent="0.3"/>
    <row r="14186" x14ac:dyDescent="0.3"/>
    <row r="14187" x14ac:dyDescent="0.3"/>
    <row r="14188" x14ac:dyDescent="0.3"/>
    <row r="14189" x14ac:dyDescent="0.3"/>
    <row r="14190" x14ac:dyDescent="0.3"/>
    <row r="14191" x14ac:dyDescent="0.3"/>
    <row r="14192" x14ac:dyDescent="0.3"/>
    <row r="14193" x14ac:dyDescent="0.3"/>
    <row r="14194" x14ac:dyDescent="0.3"/>
    <row r="14195" x14ac:dyDescent="0.3"/>
    <row r="14196" x14ac:dyDescent="0.3"/>
    <row r="14197" x14ac:dyDescent="0.3"/>
    <row r="14198" x14ac:dyDescent="0.3"/>
    <row r="14199" x14ac:dyDescent="0.3"/>
    <row r="14200" x14ac:dyDescent="0.3"/>
    <row r="14201" x14ac:dyDescent="0.3"/>
    <row r="14202" x14ac:dyDescent="0.3"/>
    <row r="14203" x14ac:dyDescent="0.3"/>
    <row r="14204" x14ac:dyDescent="0.3"/>
    <row r="14205" x14ac:dyDescent="0.3"/>
    <row r="14206" x14ac:dyDescent="0.3"/>
    <row r="14207" x14ac:dyDescent="0.3"/>
    <row r="14208" x14ac:dyDescent="0.3"/>
    <row r="14209" x14ac:dyDescent="0.3"/>
    <row r="14210" x14ac:dyDescent="0.3"/>
    <row r="14211" x14ac:dyDescent="0.3"/>
    <row r="14212" x14ac:dyDescent="0.3"/>
    <row r="14213" x14ac:dyDescent="0.3"/>
    <row r="14214" x14ac:dyDescent="0.3"/>
    <row r="14215" x14ac:dyDescent="0.3"/>
    <row r="14216" x14ac:dyDescent="0.3"/>
    <row r="14217" x14ac:dyDescent="0.3"/>
    <row r="14218" x14ac:dyDescent="0.3"/>
    <row r="14219" x14ac:dyDescent="0.3"/>
    <row r="14220" x14ac:dyDescent="0.3"/>
    <row r="14221" x14ac:dyDescent="0.3"/>
    <row r="14222" x14ac:dyDescent="0.3"/>
    <row r="14223" x14ac:dyDescent="0.3"/>
    <row r="14224" x14ac:dyDescent="0.3"/>
    <row r="14225" x14ac:dyDescent="0.3"/>
    <row r="14226" x14ac:dyDescent="0.3"/>
    <row r="14227" x14ac:dyDescent="0.3"/>
    <row r="14228" x14ac:dyDescent="0.3"/>
    <row r="14229" x14ac:dyDescent="0.3"/>
    <row r="14230" x14ac:dyDescent="0.3"/>
    <row r="14231" x14ac:dyDescent="0.3"/>
    <row r="14232" x14ac:dyDescent="0.3"/>
    <row r="14233" x14ac:dyDescent="0.3"/>
    <row r="14234" x14ac:dyDescent="0.3"/>
    <row r="14235" x14ac:dyDescent="0.3"/>
    <row r="14236" x14ac:dyDescent="0.3"/>
    <row r="14237" x14ac:dyDescent="0.3"/>
    <row r="14238" x14ac:dyDescent="0.3"/>
    <row r="14239" x14ac:dyDescent="0.3"/>
    <row r="14240" x14ac:dyDescent="0.3"/>
    <row r="14241" x14ac:dyDescent="0.3"/>
    <row r="14242" x14ac:dyDescent="0.3"/>
    <row r="14243" x14ac:dyDescent="0.3"/>
    <row r="14244" x14ac:dyDescent="0.3"/>
    <row r="14245" x14ac:dyDescent="0.3"/>
    <row r="14246" x14ac:dyDescent="0.3"/>
    <row r="14247" x14ac:dyDescent="0.3"/>
    <row r="14248" x14ac:dyDescent="0.3"/>
    <row r="14249" x14ac:dyDescent="0.3"/>
    <row r="14250" x14ac:dyDescent="0.3"/>
    <row r="14251" x14ac:dyDescent="0.3"/>
    <row r="14252" x14ac:dyDescent="0.3"/>
    <row r="14253" x14ac:dyDescent="0.3"/>
    <row r="14254" x14ac:dyDescent="0.3"/>
    <row r="14255" x14ac:dyDescent="0.3"/>
    <row r="14256" x14ac:dyDescent="0.3"/>
    <row r="14257" x14ac:dyDescent="0.3"/>
    <row r="14258" x14ac:dyDescent="0.3"/>
    <row r="14259" x14ac:dyDescent="0.3"/>
    <row r="14260" x14ac:dyDescent="0.3"/>
    <row r="14261" x14ac:dyDescent="0.3"/>
    <row r="14262" x14ac:dyDescent="0.3"/>
    <row r="14263" x14ac:dyDescent="0.3"/>
    <row r="14264" x14ac:dyDescent="0.3"/>
    <row r="14265" x14ac:dyDescent="0.3"/>
    <row r="14266" x14ac:dyDescent="0.3"/>
    <row r="14267" x14ac:dyDescent="0.3"/>
    <row r="14268" x14ac:dyDescent="0.3"/>
    <row r="14269" x14ac:dyDescent="0.3"/>
    <row r="14270" x14ac:dyDescent="0.3"/>
    <row r="14271" x14ac:dyDescent="0.3"/>
    <row r="14272" x14ac:dyDescent="0.3"/>
    <row r="14273" x14ac:dyDescent="0.3"/>
    <row r="14274" x14ac:dyDescent="0.3"/>
    <row r="14275" x14ac:dyDescent="0.3"/>
    <row r="14276" x14ac:dyDescent="0.3"/>
    <row r="14277" x14ac:dyDescent="0.3"/>
    <row r="14278" x14ac:dyDescent="0.3"/>
    <row r="14279" x14ac:dyDescent="0.3"/>
    <row r="14280" x14ac:dyDescent="0.3"/>
    <row r="14281" x14ac:dyDescent="0.3"/>
    <row r="14282" x14ac:dyDescent="0.3"/>
    <row r="14283" x14ac:dyDescent="0.3"/>
    <row r="14284" x14ac:dyDescent="0.3"/>
    <row r="14285" x14ac:dyDescent="0.3"/>
    <row r="14286" x14ac:dyDescent="0.3"/>
    <row r="14287" x14ac:dyDescent="0.3"/>
    <row r="14288" x14ac:dyDescent="0.3"/>
    <row r="14289" x14ac:dyDescent="0.3"/>
    <row r="14290" x14ac:dyDescent="0.3"/>
    <row r="14291" x14ac:dyDescent="0.3"/>
    <row r="14292" x14ac:dyDescent="0.3"/>
    <row r="14293" x14ac:dyDescent="0.3"/>
    <row r="14294" x14ac:dyDescent="0.3"/>
    <row r="14295" x14ac:dyDescent="0.3"/>
    <row r="14296" x14ac:dyDescent="0.3"/>
    <row r="14297" x14ac:dyDescent="0.3"/>
    <row r="14298" x14ac:dyDescent="0.3"/>
    <row r="14299" x14ac:dyDescent="0.3"/>
    <row r="14300" x14ac:dyDescent="0.3"/>
    <row r="14301" x14ac:dyDescent="0.3"/>
    <row r="14302" x14ac:dyDescent="0.3"/>
    <row r="14303" x14ac:dyDescent="0.3"/>
    <row r="14304" x14ac:dyDescent="0.3"/>
    <row r="14305" x14ac:dyDescent="0.3"/>
    <row r="14306" x14ac:dyDescent="0.3"/>
    <row r="14307" x14ac:dyDescent="0.3"/>
    <row r="14308" x14ac:dyDescent="0.3"/>
    <row r="14309" x14ac:dyDescent="0.3"/>
    <row r="14310" x14ac:dyDescent="0.3"/>
    <row r="14311" x14ac:dyDescent="0.3"/>
    <row r="14312" x14ac:dyDescent="0.3"/>
    <row r="14313" x14ac:dyDescent="0.3"/>
    <row r="14314" x14ac:dyDescent="0.3"/>
    <row r="14315" x14ac:dyDescent="0.3"/>
    <row r="14316" x14ac:dyDescent="0.3"/>
    <row r="14317" x14ac:dyDescent="0.3"/>
    <row r="14318" x14ac:dyDescent="0.3"/>
    <row r="14319" x14ac:dyDescent="0.3"/>
    <row r="14320" x14ac:dyDescent="0.3"/>
    <row r="14321" x14ac:dyDescent="0.3"/>
    <row r="14322" x14ac:dyDescent="0.3"/>
    <row r="14323" x14ac:dyDescent="0.3"/>
    <row r="14324" x14ac:dyDescent="0.3"/>
    <row r="14325" x14ac:dyDescent="0.3"/>
    <row r="14326" x14ac:dyDescent="0.3"/>
    <row r="14327" x14ac:dyDescent="0.3"/>
    <row r="14328" x14ac:dyDescent="0.3"/>
    <row r="14329" x14ac:dyDescent="0.3"/>
    <row r="14330" x14ac:dyDescent="0.3"/>
    <row r="14331" x14ac:dyDescent="0.3"/>
    <row r="14332" x14ac:dyDescent="0.3"/>
    <row r="14333" x14ac:dyDescent="0.3"/>
    <row r="14334" x14ac:dyDescent="0.3"/>
    <row r="14335" x14ac:dyDescent="0.3"/>
    <row r="14336" x14ac:dyDescent="0.3"/>
    <row r="14337" x14ac:dyDescent="0.3"/>
    <row r="14338" x14ac:dyDescent="0.3"/>
    <row r="14339" x14ac:dyDescent="0.3"/>
    <row r="14340" x14ac:dyDescent="0.3"/>
    <row r="14341" x14ac:dyDescent="0.3"/>
    <row r="14342" x14ac:dyDescent="0.3"/>
    <row r="14343" x14ac:dyDescent="0.3"/>
    <row r="14344" x14ac:dyDescent="0.3"/>
    <row r="14345" x14ac:dyDescent="0.3"/>
    <row r="14346" x14ac:dyDescent="0.3"/>
    <row r="14347" x14ac:dyDescent="0.3"/>
    <row r="14348" x14ac:dyDescent="0.3"/>
    <row r="14349" x14ac:dyDescent="0.3"/>
    <row r="14350" x14ac:dyDescent="0.3"/>
    <row r="14351" x14ac:dyDescent="0.3"/>
    <row r="14352" x14ac:dyDescent="0.3"/>
    <row r="14353" x14ac:dyDescent="0.3"/>
    <row r="14354" x14ac:dyDescent="0.3"/>
    <row r="14355" x14ac:dyDescent="0.3"/>
    <row r="14356" x14ac:dyDescent="0.3"/>
    <row r="14357" x14ac:dyDescent="0.3"/>
    <row r="14358" x14ac:dyDescent="0.3"/>
    <row r="14359" x14ac:dyDescent="0.3"/>
    <row r="14360" x14ac:dyDescent="0.3"/>
    <row r="14361" x14ac:dyDescent="0.3"/>
    <row r="14362" x14ac:dyDescent="0.3"/>
    <row r="14363" x14ac:dyDescent="0.3"/>
    <row r="14364" x14ac:dyDescent="0.3"/>
    <row r="14365" x14ac:dyDescent="0.3"/>
    <row r="14366" x14ac:dyDescent="0.3"/>
    <row r="14367" x14ac:dyDescent="0.3"/>
    <row r="14368" x14ac:dyDescent="0.3"/>
    <row r="14369" x14ac:dyDescent="0.3"/>
    <row r="14370" x14ac:dyDescent="0.3"/>
    <row r="14371" x14ac:dyDescent="0.3"/>
    <row r="14372" x14ac:dyDescent="0.3"/>
    <row r="14373" x14ac:dyDescent="0.3"/>
    <row r="14374" x14ac:dyDescent="0.3"/>
    <row r="14375" x14ac:dyDescent="0.3"/>
    <row r="14376" x14ac:dyDescent="0.3"/>
    <row r="14377" x14ac:dyDescent="0.3"/>
    <row r="14378" x14ac:dyDescent="0.3"/>
    <row r="14379" x14ac:dyDescent="0.3"/>
    <row r="14380" x14ac:dyDescent="0.3"/>
    <row r="14381" x14ac:dyDescent="0.3"/>
    <row r="14382" x14ac:dyDescent="0.3"/>
    <row r="14383" x14ac:dyDescent="0.3"/>
    <row r="14384" x14ac:dyDescent="0.3"/>
    <row r="14385" x14ac:dyDescent="0.3"/>
    <row r="14386" x14ac:dyDescent="0.3"/>
    <row r="14387" x14ac:dyDescent="0.3"/>
    <row r="14388" x14ac:dyDescent="0.3"/>
    <row r="14389" x14ac:dyDescent="0.3"/>
    <row r="14390" x14ac:dyDescent="0.3"/>
    <row r="14391" x14ac:dyDescent="0.3"/>
    <row r="14392" x14ac:dyDescent="0.3"/>
    <row r="14393" x14ac:dyDescent="0.3"/>
    <row r="14394" x14ac:dyDescent="0.3"/>
    <row r="14395" x14ac:dyDescent="0.3"/>
    <row r="14396" x14ac:dyDescent="0.3"/>
    <row r="14397" x14ac:dyDescent="0.3"/>
    <row r="14398" x14ac:dyDescent="0.3"/>
    <row r="14399" x14ac:dyDescent="0.3"/>
    <row r="14400" x14ac:dyDescent="0.3"/>
    <row r="14401" x14ac:dyDescent="0.3"/>
    <row r="14402" x14ac:dyDescent="0.3"/>
  </sheetData>
  <pageMargins left="0.511811024" right="0.511811024" top="0.78740157499999996" bottom="0.78740157499999996" header="0.31496062000000002" footer="0.31496062000000002"/>
  <ignoredErrors>
    <ignoredError sqref="E2:F2 F3:F60 D24:E61 D3:E23" calculatedColumn="1"/>
  </ignoredErrors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5ADBF-5CD3-4E9D-B85F-191B40AFF377}">
  <sheetPr codeName="Planilha4">
    <tabColor rgb="FF0000FF"/>
  </sheetPr>
  <dimension ref="A2:BK87"/>
  <sheetViews>
    <sheetView showGridLines="0" topLeftCell="A46" workbookViewId="0">
      <selection activeCell="H80" sqref="H80"/>
    </sheetView>
  </sheetViews>
  <sheetFormatPr defaultColWidth="21.25" defaultRowHeight="16.5" outlineLevelCol="1" x14ac:dyDescent="0.3"/>
  <cols>
    <col min="4" max="9" width="21.25" customWidth="1" outlineLevel="1"/>
    <col min="10" max="10" width="24.75" customWidth="1" outlineLevel="1"/>
    <col min="11" max="13" width="21.25" customWidth="1" outlineLevel="1"/>
    <col min="16" max="16" width="12" customWidth="1"/>
    <col min="17" max="18" width="21.25" customWidth="1"/>
    <col min="19" max="28" width="21.25" customWidth="1" outlineLevel="1"/>
    <col min="29" max="30" width="21.25" customWidth="1"/>
    <col min="32" max="33" width="21.25" customWidth="1"/>
    <col min="34" max="43" width="21.25" customWidth="1" outlineLevel="1"/>
    <col min="44" max="45" width="21.25" customWidth="1"/>
    <col min="47" max="48" width="21.25" customWidth="1"/>
    <col min="49" max="57" width="21.25" customWidth="1" outlineLevel="1"/>
    <col min="58" max="58" width="21.375" customWidth="1" outlineLevel="1"/>
    <col min="59" max="59" width="12.75" bestFit="1" customWidth="1"/>
  </cols>
  <sheetData>
    <row r="2" spans="1:63" x14ac:dyDescent="0.3">
      <c r="B2" s="20" t="s">
        <v>198</v>
      </c>
      <c r="C2" s="27"/>
      <c r="Q2" s="303" t="s">
        <v>68</v>
      </c>
      <c r="R2" s="304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F2" s="303" t="s">
        <v>134</v>
      </c>
      <c r="AG2" s="304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U2" s="303" t="s">
        <v>171</v>
      </c>
      <c r="AV2" s="304"/>
      <c r="AW2" s="27"/>
      <c r="AX2" s="27"/>
      <c r="AY2" s="27"/>
      <c r="AZ2" s="19"/>
      <c r="BA2" s="19"/>
      <c r="BB2" s="19"/>
      <c r="BC2" s="19"/>
      <c r="BD2" s="19"/>
      <c r="BE2" s="19"/>
      <c r="BF2" s="19"/>
    </row>
    <row r="3" spans="1:63" x14ac:dyDescent="0.3">
      <c r="Q3" s="20" t="s">
        <v>83</v>
      </c>
      <c r="R3" s="125">
        <v>1</v>
      </c>
      <c r="T3" s="19"/>
      <c r="U3" s="171"/>
      <c r="V3" s="166"/>
      <c r="W3" s="166"/>
      <c r="X3" s="19"/>
      <c r="Y3" s="19"/>
      <c r="Z3" s="19"/>
      <c r="AA3" s="19"/>
      <c r="AB3" s="19"/>
      <c r="AC3" s="19"/>
      <c r="AD3" s="19"/>
      <c r="AF3" s="20" t="s">
        <v>83</v>
      </c>
      <c r="AG3" s="125">
        <v>1</v>
      </c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U3" s="27"/>
      <c r="AV3" s="182"/>
      <c r="AW3" s="182"/>
      <c r="AX3" s="182"/>
      <c r="AY3" s="182"/>
      <c r="AZ3" s="19"/>
      <c r="BA3" s="19"/>
      <c r="BB3" s="19"/>
      <c r="BC3" s="19"/>
      <c r="BD3" s="19"/>
      <c r="BE3" s="19"/>
      <c r="BF3" s="19"/>
    </row>
    <row r="4" spans="1:63" x14ac:dyDescent="0.3">
      <c r="Q4" s="20" t="s">
        <v>107</v>
      </c>
      <c r="R4" s="289">
        <f>Inputs!E11</f>
        <v>0.02</v>
      </c>
      <c r="T4" s="19"/>
      <c r="U4" s="19"/>
      <c r="V4" s="111"/>
      <c r="W4" s="19"/>
      <c r="X4" s="19"/>
      <c r="Y4" s="19"/>
      <c r="Z4" s="19"/>
      <c r="AA4" s="19"/>
      <c r="AB4" s="19"/>
      <c r="AC4" s="19"/>
      <c r="AD4" s="19"/>
      <c r="AF4" s="20" t="s">
        <v>107</v>
      </c>
      <c r="AG4" s="289">
        <f>Inputs!E12</f>
        <v>0.03</v>
      </c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U4" s="27"/>
      <c r="AV4" s="32"/>
      <c r="AW4" s="32"/>
      <c r="AX4" s="32"/>
      <c r="AY4" s="32"/>
      <c r="AZ4" s="19"/>
      <c r="BA4" s="19"/>
      <c r="BB4" s="19"/>
      <c r="BC4" s="19"/>
      <c r="BD4" s="19"/>
      <c r="BE4" s="19"/>
      <c r="BF4" s="19"/>
    </row>
    <row r="5" spans="1:63" x14ac:dyDescent="0.3">
      <c r="Q5" s="20" t="s">
        <v>144</v>
      </c>
      <c r="R5" s="126">
        <f>(1+R4)^(1/12)-1</f>
        <v>1.6515813019202241E-3</v>
      </c>
      <c r="S5" s="32"/>
      <c r="T5" s="167"/>
      <c r="U5" s="19"/>
      <c r="V5" s="111"/>
      <c r="W5" s="167"/>
      <c r="X5" s="19"/>
      <c r="Y5" s="19"/>
      <c r="Z5" s="19"/>
      <c r="AA5" s="19"/>
      <c r="AB5" s="19"/>
      <c r="AC5" s="19"/>
      <c r="AD5" s="19"/>
      <c r="AF5" s="20" t="s">
        <v>144</v>
      </c>
      <c r="AG5" s="126">
        <f>(1+AG4)^(1/12)-1</f>
        <v>2.4662697723036864E-3</v>
      </c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U5" s="27"/>
      <c r="AV5" s="183"/>
      <c r="AW5" s="183"/>
      <c r="AX5" s="183"/>
      <c r="AY5" s="183"/>
      <c r="AZ5" s="19"/>
      <c r="BA5" s="19"/>
      <c r="BB5" s="19"/>
      <c r="BC5" s="19"/>
      <c r="BD5" s="19"/>
      <c r="BE5" s="19"/>
      <c r="BF5" s="19"/>
    </row>
    <row r="6" spans="1:63" x14ac:dyDescent="0.3">
      <c r="Q6" s="20" t="s">
        <v>150</v>
      </c>
      <c r="R6" s="168">
        <f>(1+R4)^(1/252)-1</f>
        <v>7.8584941984649603E-5</v>
      </c>
      <c r="T6" s="19"/>
      <c r="U6" s="19"/>
      <c r="V6" s="169"/>
      <c r="W6" s="167"/>
      <c r="X6" s="170"/>
      <c r="Y6" s="170"/>
      <c r="Z6" s="169"/>
      <c r="AA6" s="19"/>
      <c r="AB6" s="19"/>
      <c r="AC6" s="19"/>
      <c r="AD6" s="19"/>
      <c r="AF6" s="20" t="s">
        <v>150</v>
      </c>
      <c r="AG6" s="126">
        <f>(1+AG5)^(1/22)-1</f>
        <v>1.1197142833840878E-4</v>
      </c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U6" s="27"/>
      <c r="AV6" s="32"/>
      <c r="AW6" s="32"/>
      <c r="AX6" s="32"/>
      <c r="AY6" s="32"/>
      <c r="AZ6" s="19"/>
      <c r="BA6" s="19"/>
      <c r="BB6" s="19"/>
      <c r="BC6" s="19"/>
      <c r="BD6" s="19"/>
      <c r="BE6" s="19"/>
      <c r="BF6" s="19"/>
    </row>
    <row r="7" spans="1:63" x14ac:dyDescent="0.3">
      <c r="Q7" s="27"/>
      <c r="R7" s="109"/>
      <c r="T7" s="19"/>
      <c r="U7" s="19"/>
      <c r="V7" s="169"/>
      <c r="W7" s="167"/>
      <c r="X7" s="170"/>
      <c r="Y7" s="170"/>
      <c r="Z7" s="169"/>
      <c r="AA7" s="19"/>
      <c r="AB7" s="19"/>
      <c r="AC7" s="19"/>
      <c r="AD7" s="19"/>
      <c r="AF7" s="27"/>
      <c r="AG7" s="32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U7" s="27"/>
      <c r="AV7" s="32"/>
      <c r="AW7" s="32"/>
      <c r="AX7" s="32"/>
      <c r="AY7" s="32"/>
      <c r="AZ7" s="19"/>
      <c r="BA7" s="19"/>
      <c r="BB7" s="19"/>
      <c r="BC7" s="19"/>
      <c r="BD7" s="19"/>
      <c r="BE7" s="19"/>
      <c r="BF7" s="19"/>
    </row>
    <row r="8" spans="1:63" x14ac:dyDescent="0.3">
      <c r="B8" s="131" t="s">
        <v>153</v>
      </c>
      <c r="C8" s="32"/>
      <c r="D8" s="165"/>
      <c r="E8" s="180" t="s">
        <v>152</v>
      </c>
      <c r="Q8" s="131" t="s">
        <v>153</v>
      </c>
      <c r="R8" s="110" t="s">
        <v>154</v>
      </c>
      <c r="S8" s="278" t="s">
        <v>197</v>
      </c>
      <c r="T8" s="180" t="s">
        <v>152</v>
      </c>
      <c r="U8" s="178"/>
      <c r="V8" s="179"/>
      <c r="W8" s="19"/>
      <c r="X8" s="19"/>
      <c r="AB8" s="19"/>
      <c r="AC8" s="44"/>
      <c r="AD8" s="44"/>
      <c r="AF8" s="131" t="s">
        <v>153</v>
      </c>
      <c r="AG8" s="110" t="s">
        <v>154</v>
      </c>
      <c r="AH8" s="110" t="s">
        <v>197</v>
      </c>
      <c r="AI8" s="180" t="s">
        <v>152</v>
      </c>
      <c r="AJ8" s="181"/>
      <c r="AK8" s="19"/>
      <c r="AL8" s="19"/>
      <c r="AM8" s="19"/>
      <c r="AQ8" s="19"/>
      <c r="AR8" s="44"/>
      <c r="AS8" s="44"/>
      <c r="AU8" s="131" t="s">
        <v>153</v>
      </c>
      <c r="AV8" s="110" t="s">
        <v>154</v>
      </c>
      <c r="AW8" s="278" t="s">
        <v>197</v>
      </c>
      <c r="AX8" s="180" t="s">
        <v>152</v>
      </c>
      <c r="AY8" s="32"/>
      <c r="AZ8" s="19"/>
      <c r="BA8" s="19"/>
      <c r="BB8" s="19"/>
      <c r="BC8" s="19"/>
      <c r="BD8" s="19"/>
      <c r="BE8" s="19"/>
      <c r="BF8" s="44"/>
      <c r="BG8" s="112"/>
    </row>
    <row r="9" spans="1:63" x14ac:dyDescent="0.3">
      <c r="B9" s="31">
        <f>Inputs!$B$3</f>
        <v>46253</v>
      </c>
      <c r="C9" s="19"/>
      <c r="D9" s="19"/>
      <c r="E9" s="27">
        <v>1000</v>
      </c>
      <c r="Q9" s="31">
        <f>Inputs!$B$3</f>
        <v>46253</v>
      </c>
      <c r="R9" s="279">
        <f>_xlfn.XLOOKUP(Q9,Inputs!$B$20:$B$31,Inputs!$E$20:$E$31)</f>
        <v>2500000</v>
      </c>
      <c r="S9" s="279">
        <f>R9/T9</f>
        <v>2500</v>
      </c>
      <c r="T9" s="279">
        <v>1000</v>
      </c>
      <c r="U9" s="111"/>
      <c r="V9" s="169"/>
      <c r="W9" s="19"/>
      <c r="X9" s="19"/>
      <c r="AB9" s="19"/>
      <c r="AC9" s="19"/>
      <c r="AD9" s="19"/>
      <c r="AF9" s="31">
        <f>Inputs!G20</f>
        <v>46253</v>
      </c>
      <c r="AG9" s="280">
        <f>_xlfn.XLOOKUP(AF9,Inputs!G20:G31,Inputs!J20:J31)</f>
        <v>2500000</v>
      </c>
      <c r="AH9" s="200">
        <f>AG9/AI9</f>
        <v>2500</v>
      </c>
      <c r="AI9" s="200">
        <v>1000</v>
      </c>
      <c r="AJ9" s="19"/>
      <c r="AK9" s="19"/>
      <c r="AL9" s="19"/>
      <c r="AM9" s="19"/>
      <c r="AQ9" s="19"/>
      <c r="AR9" s="19"/>
      <c r="AS9" s="19"/>
      <c r="AU9" s="31">
        <f>Inputs!L20</f>
        <v>46253</v>
      </c>
      <c r="AV9" s="280">
        <f>_xlfn.XLOOKUP(AU9,Inputs!L20:L31,Inputs!O20:O31)</f>
        <v>5000000</v>
      </c>
      <c r="AW9" s="27">
        <f>AV9/AX9</f>
        <v>5000</v>
      </c>
      <c r="AX9" s="27">
        <v>1000</v>
      </c>
      <c r="AY9" s="19"/>
      <c r="AZ9" s="19"/>
      <c r="BA9" s="19"/>
      <c r="BB9" s="19"/>
      <c r="BC9" s="19"/>
      <c r="BD9" s="19"/>
      <c r="BE9" s="19"/>
      <c r="BF9" s="19"/>
    </row>
    <row r="10" spans="1:63" x14ac:dyDescent="0.3">
      <c r="B10" s="20" t="s">
        <v>90</v>
      </c>
      <c r="C10" s="20" t="s">
        <v>69</v>
      </c>
      <c r="D10" s="20" t="s">
        <v>110</v>
      </c>
      <c r="E10" s="20" t="s">
        <v>94</v>
      </c>
      <c r="F10" s="20" t="s">
        <v>99</v>
      </c>
      <c r="G10" s="20" t="s">
        <v>88</v>
      </c>
      <c r="H10" s="20" t="s">
        <v>95</v>
      </c>
      <c r="I10" s="20" t="s">
        <v>96</v>
      </c>
      <c r="J10" s="20" t="s">
        <v>109</v>
      </c>
      <c r="K10" s="20" t="s">
        <v>97</v>
      </c>
      <c r="L10" s="20" t="s">
        <v>98</v>
      </c>
      <c r="M10" s="20" t="s">
        <v>93</v>
      </c>
      <c r="N10" s="20" t="s">
        <v>140</v>
      </c>
      <c r="O10" s="27"/>
      <c r="P10" s="27"/>
      <c r="Q10" s="20" t="s">
        <v>90</v>
      </c>
      <c r="R10" s="20" t="s">
        <v>69</v>
      </c>
      <c r="S10" s="20" t="s">
        <v>110</v>
      </c>
      <c r="T10" s="20" t="s">
        <v>94</v>
      </c>
      <c r="U10" s="20" t="s">
        <v>99</v>
      </c>
      <c r="V10" s="20" t="s">
        <v>88</v>
      </c>
      <c r="W10" s="244" t="s">
        <v>95</v>
      </c>
      <c r="X10" s="20" t="s">
        <v>96</v>
      </c>
      <c r="Y10" s="20" t="s">
        <v>109</v>
      </c>
      <c r="Z10" s="244" t="s">
        <v>97</v>
      </c>
      <c r="AA10" s="20" t="s">
        <v>98</v>
      </c>
      <c r="AB10" s="20" t="s">
        <v>93</v>
      </c>
      <c r="AC10" s="20" t="s">
        <v>140</v>
      </c>
      <c r="AD10" s="27"/>
      <c r="AF10" s="20" t="s">
        <v>70</v>
      </c>
      <c r="AG10" s="20" t="s">
        <v>69</v>
      </c>
      <c r="AH10" s="20" t="s">
        <v>110</v>
      </c>
      <c r="AI10" s="20" t="s">
        <v>94</v>
      </c>
      <c r="AJ10" s="20" t="s">
        <v>99</v>
      </c>
      <c r="AK10" s="20" t="s">
        <v>88</v>
      </c>
      <c r="AL10" s="244" t="s">
        <v>95</v>
      </c>
      <c r="AM10" s="20" t="s">
        <v>96</v>
      </c>
      <c r="AN10" s="185" t="s">
        <v>109</v>
      </c>
      <c r="AO10" s="244" t="s">
        <v>97</v>
      </c>
      <c r="AP10" s="229" t="s">
        <v>98</v>
      </c>
      <c r="AQ10" s="20" t="s">
        <v>93</v>
      </c>
      <c r="AR10" s="20" t="s">
        <v>140</v>
      </c>
      <c r="AS10" s="27"/>
      <c r="AU10" s="20" t="s">
        <v>70</v>
      </c>
      <c r="AV10" s="20" t="s">
        <v>69</v>
      </c>
      <c r="AW10" s="20" t="s">
        <v>110</v>
      </c>
      <c r="AX10" s="20" t="s">
        <v>94</v>
      </c>
      <c r="AY10" s="20" t="s">
        <v>99</v>
      </c>
      <c r="AZ10" s="20" t="s">
        <v>88</v>
      </c>
      <c r="BA10" s="244" t="s">
        <v>95</v>
      </c>
      <c r="BB10" s="20" t="s">
        <v>96</v>
      </c>
      <c r="BC10" s="20" t="s">
        <v>109</v>
      </c>
      <c r="BD10" s="244" t="s">
        <v>97</v>
      </c>
      <c r="BE10" s="20" t="s">
        <v>98</v>
      </c>
      <c r="BF10" s="20" t="s">
        <v>93</v>
      </c>
      <c r="BG10" s="20" t="s">
        <v>140</v>
      </c>
    </row>
    <row r="11" spans="1:63" x14ac:dyDescent="0.3">
      <c r="B11" s="172">
        <f>EOMONTH(WORKDAY(B9,1),0)</f>
        <v>46265</v>
      </c>
      <c r="C11" s="173">
        <f>R11+AG11+AV11</f>
        <v>10000000</v>
      </c>
      <c r="D11" s="173">
        <f>S11+AH11+AW11</f>
        <v>10000</v>
      </c>
      <c r="E11" s="175">
        <f>E9</f>
        <v>1000</v>
      </c>
      <c r="F11" s="174">
        <v>0</v>
      </c>
      <c r="G11" s="175">
        <f>E11*_xlfn.XLOOKUP(B11,Caixa!$D$3:$BK$3,Caixa!$D$54:$BK$54,0,0)</f>
        <v>1.4647969954770801</v>
      </c>
      <c r="H11" s="175">
        <v>0</v>
      </c>
      <c r="I11" s="175">
        <f>G11+F11</f>
        <v>1.4647969954770801</v>
      </c>
      <c r="J11" s="175">
        <f>E11</f>
        <v>1000</v>
      </c>
      <c r="K11" s="175"/>
      <c r="L11" s="175">
        <f t="shared" ref="L11" si="0">J11-K11</f>
        <v>1000</v>
      </c>
      <c r="M11" s="175">
        <f t="shared" ref="M11" si="1">L11+I11</f>
        <v>1001.4647969954771</v>
      </c>
      <c r="N11" s="176">
        <f>M11*D11</f>
        <v>10014647.96995477</v>
      </c>
      <c r="O11" s="177"/>
      <c r="Q11" s="172">
        <f>EOMONTH(WORKDAY(Q9,1),0)</f>
        <v>46265</v>
      </c>
      <c r="R11" s="173">
        <f>SUMIFS(Inputs!$E$20:$E$31,Inputs!$B$20:$B$31,"&lt;="&amp;Q11)</f>
        <v>2500000</v>
      </c>
      <c r="S11" s="38">
        <f>R11/T11</f>
        <v>2500</v>
      </c>
      <c r="T11" s="174">
        <f>T9</f>
        <v>1000</v>
      </c>
      <c r="U11" s="174">
        <v>0</v>
      </c>
      <c r="V11" s="174">
        <f>T11*(((1+_xlfn.XLOOKUP(Q11,'Curva DI'!$A$2:$A$352,'Curva DI'!$H$2:$H$352,0,-1))*(1+$R$4))^(NETWORKDAYS(Q9,Q11)/252)-1)</f>
        <v>5.3729938997502114</v>
      </c>
      <c r="W11" s="234"/>
      <c r="X11" s="174">
        <f>U11+V11-W11</f>
        <v>5.3729938997502114</v>
      </c>
      <c r="Y11" s="174">
        <f>T11</f>
        <v>1000</v>
      </c>
      <c r="Z11" s="234"/>
      <c r="AA11" s="174">
        <f t="shared" ref="AA11:AA70" si="2">Y11-Z11</f>
        <v>1000</v>
      </c>
      <c r="AB11" s="174">
        <f t="shared" ref="AB11:AB58" si="3">AA11+X11</f>
        <v>1005.3729938997502</v>
      </c>
      <c r="AC11" s="39">
        <f t="shared" ref="AC11:AC42" si="4">AB11*S11</f>
        <v>2513432.4847493754</v>
      </c>
      <c r="AD11" s="21"/>
      <c r="AF11" s="172">
        <f>EOMONTH(WORKDAY(AF9,1),0)</f>
        <v>46265</v>
      </c>
      <c r="AG11" s="173">
        <f>SUMIFS(Inputs!$J$20:$J$31,Inputs!$G$20:$G$31,"&lt;="&amp;AF11)</f>
        <v>2500000</v>
      </c>
      <c r="AH11" s="38">
        <f>AG11/AI11</f>
        <v>2500</v>
      </c>
      <c r="AI11" s="174">
        <f>AI9</f>
        <v>1000</v>
      </c>
      <c r="AJ11" s="174">
        <v>0</v>
      </c>
      <c r="AK11" s="174">
        <f>AI11*(((1+_xlfn.XLOOKUP(AF11,'Curva DI'!$A$2:$A$352,'Curva DI'!$H$2:$H$352,0,-1))*(1+$AG$4))^(NETWORKDAYS(AF9,AF11)/252)-1)</f>
        <v>5.7233618940468745</v>
      </c>
      <c r="AL11" s="234"/>
      <c r="AM11" s="174">
        <f>AJ11+AK11-AL11</f>
        <v>5.7233618940468745</v>
      </c>
      <c r="AN11" s="174">
        <f>AI11</f>
        <v>1000</v>
      </c>
      <c r="AO11" s="234"/>
      <c r="AP11" s="174">
        <f t="shared" ref="AP11:AP70" si="5">AN11-AO11</f>
        <v>1000</v>
      </c>
      <c r="AQ11" s="174">
        <f t="shared" ref="AQ11:AQ70" si="6">AP11+AM11</f>
        <v>1005.7233618940469</v>
      </c>
      <c r="AR11" s="39">
        <f>AQ11*AH11</f>
        <v>2514308.4047351172</v>
      </c>
      <c r="AS11" s="21"/>
      <c r="AU11" s="172">
        <f>EOMONTH(WORKDAY(Inputs!L20,1),0)</f>
        <v>46265</v>
      </c>
      <c r="AV11" s="173">
        <f>SUMIFS(Inputs!$O$20:$O$31,Inputs!$L$20:$L$31,"&lt;="&amp;AU11)</f>
        <v>5000000</v>
      </c>
      <c r="AW11" s="38">
        <f>AV11/AX11</f>
        <v>5000</v>
      </c>
      <c r="AX11" s="174">
        <v>1000</v>
      </c>
      <c r="AY11" s="174">
        <v>0</v>
      </c>
      <c r="AZ11" s="174">
        <f>AX11*_xlfn.XLOOKUP(AU11,Caixa!$D$3:$BK$3,Caixa!$D$55:$BK$55,0,0)</f>
        <v>-2.6185839059443827</v>
      </c>
      <c r="BA11" s="230"/>
      <c r="BB11" s="174">
        <f>AY11+AZ11-BA11</f>
        <v>-2.6185839059443827</v>
      </c>
      <c r="BC11" s="174">
        <f>AX11</f>
        <v>1000</v>
      </c>
      <c r="BD11" s="230"/>
      <c r="BE11" s="174">
        <f t="shared" ref="BE11" si="7">BC11-BD11</f>
        <v>1000</v>
      </c>
      <c r="BF11" s="174">
        <f t="shared" ref="BF11" si="8">BE11+BB11</f>
        <v>997.38141609405557</v>
      </c>
      <c r="BG11" s="39">
        <f>BF11*AW11</f>
        <v>4986907.0804702779</v>
      </c>
      <c r="BH11" s="271"/>
      <c r="BI11" s="112"/>
      <c r="BK11" s="112"/>
    </row>
    <row r="12" spans="1:63" x14ac:dyDescent="0.3">
      <c r="A12" s="165"/>
      <c r="B12" s="115">
        <f t="shared" ref="B12:B70" si="9">EOMONTH(WORKDAY(B11,1),0)</f>
        <v>46295</v>
      </c>
      <c r="C12" s="298">
        <f t="shared" ref="C12:C70" si="10">R12+AG12+AV12</f>
        <v>0</v>
      </c>
      <c r="D12" s="298">
        <f t="shared" ref="D12:D70" si="11">S12+AH12+AW12</f>
        <v>10000</v>
      </c>
      <c r="E12" s="150">
        <f t="shared" ref="E12:E70" si="12">M11</f>
        <v>1001.4647969954771</v>
      </c>
      <c r="F12" s="299">
        <f>I11</f>
        <v>1.4647969954770801</v>
      </c>
      <c r="G12" s="150">
        <f>E12*_xlfn.XLOOKUP(B12,Caixa!$D$3:$BK$3,Caixa!$D$54:$BK$54,0,0)</f>
        <v>1.0668921134518725</v>
      </c>
      <c r="H12" s="150">
        <v>0</v>
      </c>
      <c r="I12" s="150">
        <f t="shared" ref="I12:I70" si="13">G12+F12</f>
        <v>2.5316891089289526</v>
      </c>
      <c r="J12" s="150">
        <f t="shared" ref="J12:J70" si="14">J11-K11</f>
        <v>1000</v>
      </c>
      <c r="K12" s="150"/>
      <c r="L12" s="150">
        <f t="shared" ref="L12:L70" si="15">J12-K12</f>
        <v>1000</v>
      </c>
      <c r="M12" s="150">
        <f t="shared" ref="M12:M70" si="16">L12+I12</f>
        <v>1002.531689108929</v>
      </c>
      <c r="N12" s="152">
        <f t="shared" ref="N12:N70" si="17">M12*D12</f>
        <v>10025316.89108929</v>
      </c>
      <c r="O12" s="150"/>
      <c r="Q12" s="115">
        <f>EOMONTH(WORKDAY(Q11,1),0)</f>
        <v>46295</v>
      </c>
      <c r="R12" s="298">
        <f>SUMIFS(Inputs!$E$20:$E$31,Inputs!$B$20:$B$31,"&lt;="&amp;Q12,Inputs!$B$20:$B$31,"&gt;"&amp;Q11)</f>
        <v>0</v>
      </c>
      <c r="S12" s="21">
        <f t="shared" ref="S12:S23" si="18">R12/T12+S11</f>
        <v>2500</v>
      </c>
      <c r="T12" s="299">
        <f t="shared" ref="T12:T58" si="19">AB11</f>
        <v>1005.3729938997502</v>
      </c>
      <c r="U12" s="299">
        <f>X11</f>
        <v>5.3729938997502114</v>
      </c>
      <c r="V12" s="299">
        <f>T12*(((1+_xlfn.XLOOKUP(Q12,'Curva DI'!$A$2:$A$352,'Curva DI'!$H$2:$H$352,0,-1))*(1+R$4))^(NETWORKDAYS(Q11,Q12)/252)-1)</f>
        <v>13.772636532264189</v>
      </c>
      <c r="W12" s="235"/>
      <c r="X12" s="299">
        <f>U12+V12-W12</f>
        <v>19.1456304320144</v>
      </c>
      <c r="Y12" s="299">
        <f t="shared" ref="Y12:Y58" si="20">Y11-Z11</f>
        <v>1000</v>
      </c>
      <c r="Z12" s="235"/>
      <c r="AA12" s="299">
        <f t="shared" si="2"/>
        <v>1000</v>
      </c>
      <c r="AB12" s="299">
        <f t="shared" si="3"/>
        <v>1019.1456304320144</v>
      </c>
      <c r="AC12" s="40">
        <f t="shared" si="4"/>
        <v>2547864.0760800359</v>
      </c>
      <c r="AD12" s="21"/>
      <c r="AF12" s="115">
        <f t="shared" ref="AF12:AF70" si="21">EOMONTH(WORKDAY(AF11,1),0)</f>
        <v>46295</v>
      </c>
      <c r="AG12" s="298">
        <f>SUMIFS(Inputs!$J$20:$J$31,Inputs!$G$20:$G$31,"&lt;="&amp;AF12,Inputs!$G$20:$G$31,"&gt;"&amp;AF11)</f>
        <v>0</v>
      </c>
      <c r="AH12" s="21">
        <f>AG12/AI12+AH11</f>
        <v>2500</v>
      </c>
      <c r="AI12" s="299">
        <f t="shared" ref="AI12:AI70" si="22">AQ11</f>
        <v>1005.7233618940469</v>
      </c>
      <c r="AJ12" s="299">
        <f>AM11</f>
        <v>5.7233618940468745</v>
      </c>
      <c r="AK12" s="299">
        <f>AI12*(((1+_xlfn.XLOOKUP(AF12,'Curva DI'!$A$2:$A$352,'Curva DI'!$H$2:$H$352,0,-1))*(1+AG$4))^(NETWORKDAYS(AF11,AF12)/252)-1)</f>
        <v>14.685649449127403</v>
      </c>
      <c r="AL12" s="235"/>
      <c r="AM12" s="299">
        <f>AJ12+AK12-AL12</f>
        <v>20.409011343174278</v>
      </c>
      <c r="AN12" s="299">
        <f t="shared" ref="AN12:AN70" si="23">AN11-AO11</f>
        <v>1000</v>
      </c>
      <c r="AO12" s="235"/>
      <c r="AP12" s="299">
        <f t="shared" si="5"/>
        <v>1000</v>
      </c>
      <c r="AQ12" s="299">
        <f t="shared" si="6"/>
        <v>1020.4090113431743</v>
      </c>
      <c r="AR12" s="40">
        <f t="shared" ref="AR12:AR13" si="24">AQ12*AH12</f>
        <v>2551022.5283579356</v>
      </c>
      <c r="AS12" s="21"/>
      <c r="AU12" s="115">
        <f t="shared" ref="AU12:AU70" si="25">EOMONTH(WORKDAY(AU11,1),0)</f>
        <v>46295</v>
      </c>
      <c r="AV12" s="298">
        <f>SUMIFS(Inputs!$O$20:$O$31,Inputs!$L$20:$L$31,"&lt;="&amp;AU12,Inputs!$L$20:$L$31,"&gt;"&amp;AU11)</f>
        <v>0</v>
      </c>
      <c r="AW12" s="21">
        <f>AV12/AX12+AW11</f>
        <v>5000</v>
      </c>
      <c r="AX12" s="299">
        <f t="shared" ref="AX12:AX70" si="26">BF11</f>
        <v>997.38141609405557</v>
      </c>
      <c r="AY12" s="299">
        <f t="shared" ref="AY12:AY70" si="27">BB11</f>
        <v>-2.6185839059443827</v>
      </c>
      <c r="AZ12" s="299">
        <f>AX12*_xlfn.XLOOKUP(AU12,Caixa!$D$3:$BK$3,Caixa!$D$55:$BK$55,0,0)</f>
        <v>-12.095358763792222</v>
      </c>
      <c r="BA12" s="231"/>
      <c r="BB12" s="299">
        <f t="shared" ref="BB12:BB70" si="28">AY12+AZ12-BA12</f>
        <v>-14.713942669736603</v>
      </c>
      <c r="BC12" s="299">
        <f t="shared" ref="BC12:BC70" si="29">BC11-BD11</f>
        <v>1000</v>
      </c>
      <c r="BD12" s="231"/>
      <c r="BE12" s="299">
        <f t="shared" ref="BE12:BE70" si="30">BC12-BD12</f>
        <v>1000</v>
      </c>
      <c r="BF12" s="299">
        <f t="shared" ref="BF12:BF70" si="31">BE12+BB12</f>
        <v>985.28605733026336</v>
      </c>
      <c r="BG12" s="40">
        <f t="shared" ref="BG12:BG70" si="32">BF12*AW12</f>
        <v>4926430.286651317</v>
      </c>
      <c r="BH12" s="271"/>
    </row>
    <row r="13" spans="1:63" x14ac:dyDescent="0.3">
      <c r="A13" s="165"/>
      <c r="B13" s="115">
        <f t="shared" si="9"/>
        <v>46326</v>
      </c>
      <c r="C13" s="298">
        <f t="shared" si="10"/>
        <v>0</v>
      </c>
      <c r="D13" s="298">
        <f t="shared" si="11"/>
        <v>10000</v>
      </c>
      <c r="E13" s="150">
        <f t="shared" si="12"/>
        <v>1002.531689108929</v>
      </c>
      <c r="F13" s="299">
        <f t="shared" ref="F13:F70" si="33">I12</f>
        <v>2.5316891089289526</v>
      </c>
      <c r="G13" s="150">
        <f>E13*_xlfn.XLOOKUP(B13,Caixa!$D$3:$BK$3,Caixa!$D$54:$BK$54,0,0)</f>
        <v>-2.38862580807008</v>
      </c>
      <c r="H13" s="150">
        <v>0</v>
      </c>
      <c r="I13" s="150">
        <f t="shared" si="13"/>
        <v>0.14306330085887264</v>
      </c>
      <c r="J13" s="150">
        <f t="shared" si="14"/>
        <v>1000</v>
      </c>
      <c r="K13" s="150"/>
      <c r="L13" s="150">
        <f t="shared" si="15"/>
        <v>1000</v>
      </c>
      <c r="M13" s="150">
        <f t="shared" si="16"/>
        <v>1000.1430633008589</v>
      </c>
      <c r="N13" s="152">
        <f t="shared" si="17"/>
        <v>10001430.633008588</v>
      </c>
      <c r="O13" s="150"/>
      <c r="Q13" s="115">
        <f>EOMONTH(WORKDAY(Q12,1),0)</f>
        <v>46326</v>
      </c>
      <c r="R13" s="298">
        <f>SUMIFS(Inputs!$E$20:$E$31,Inputs!$B$20:$B$31,"&lt;="&amp;Q13,Inputs!$B$20:$B$31,"&gt;"&amp;Q12)</f>
        <v>0</v>
      </c>
      <c r="S13" s="21">
        <f t="shared" si="18"/>
        <v>2500</v>
      </c>
      <c r="T13" s="299">
        <f t="shared" si="19"/>
        <v>1019.1456304320144</v>
      </c>
      <c r="U13" s="299">
        <f>X12</f>
        <v>19.1456304320144</v>
      </c>
      <c r="V13" s="299">
        <f>T13*(((1+_xlfn.XLOOKUP(Q13,'Curva DI'!$A$2:$A$352,'Curva DI'!$H$2:$H$352,0,-1))*(1+R$4))^(NETWORKDAYS(Q12,Q13)/252)-1)</f>
        <v>13.928160138177576</v>
      </c>
      <c r="W13" s="235"/>
      <c r="X13" s="299">
        <f t="shared" ref="X13:X58" si="34">U13+V13-W13</f>
        <v>33.073790570191974</v>
      </c>
      <c r="Y13" s="299">
        <f t="shared" si="20"/>
        <v>1000</v>
      </c>
      <c r="Z13" s="235"/>
      <c r="AA13" s="299">
        <f t="shared" si="2"/>
        <v>1000</v>
      </c>
      <c r="AB13" s="299">
        <f t="shared" si="3"/>
        <v>1033.0737905701919</v>
      </c>
      <c r="AC13" s="40">
        <f t="shared" si="4"/>
        <v>2582684.4764254796</v>
      </c>
      <c r="AD13" s="21"/>
      <c r="AF13" s="115">
        <f t="shared" si="21"/>
        <v>46326</v>
      </c>
      <c r="AG13" s="298">
        <f>SUMIFS(Inputs!$J$20:$J$31,Inputs!$G$20:$G$31,"&lt;="&amp;AF13,Inputs!$G$20:$G$31,"&gt;"&amp;AF12)</f>
        <v>0</v>
      </c>
      <c r="AH13" s="21">
        <f t="shared" ref="AH13:AH70" si="35">AG13/AI13+AH12</f>
        <v>2500</v>
      </c>
      <c r="AI13" s="299">
        <f t="shared" si="22"/>
        <v>1020.4090113431743</v>
      </c>
      <c r="AJ13" s="299">
        <f>AM12</f>
        <v>20.409011343174278</v>
      </c>
      <c r="AK13" s="299">
        <f>AI13*(((1+_xlfn.XLOOKUP(AF13,'Curva DI'!$A$2:$A$352,'Curva DI'!$H$2:$H$352,0,-1))*(1+AG$4))^(NETWORKDAYS(AF12,AF13)/252)-1)</f>
        <v>14.866871588359112</v>
      </c>
      <c r="AL13" s="235"/>
      <c r="AM13" s="299">
        <f t="shared" ref="AM13:AM70" si="36">AJ13+AK13-AL13</f>
        <v>35.275882931533388</v>
      </c>
      <c r="AN13" s="299">
        <f t="shared" si="23"/>
        <v>1000</v>
      </c>
      <c r="AO13" s="235"/>
      <c r="AP13" s="299">
        <f t="shared" si="5"/>
        <v>1000</v>
      </c>
      <c r="AQ13" s="299">
        <f t="shared" si="6"/>
        <v>1035.2758829315335</v>
      </c>
      <c r="AR13" s="40">
        <f t="shared" si="24"/>
        <v>2588189.7073288336</v>
      </c>
      <c r="AS13" s="21"/>
      <c r="AU13" s="115">
        <f t="shared" si="25"/>
        <v>46326</v>
      </c>
      <c r="AV13" s="298">
        <f>SUMIFS(Inputs!$O$20:$O$31,Inputs!$L$20:$L$31,"&lt;="&amp;AU13,Inputs!$L$20:$L$31,"&gt;"&amp;AU12)</f>
        <v>0</v>
      </c>
      <c r="AW13" s="21">
        <f t="shared" ref="AW13:AW70" si="37">AV13/AX13+AW12</f>
        <v>5000</v>
      </c>
      <c r="AX13" s="299">
        <f t="shared" si="26"/>
        <v>985.28605733026336</v>
      </c>
      <c r="AY13" s="299">
        <f t="shared" si="27"/>
        <v>-14.713942669736603</v>
      </c>
      <c r="AZ13" s="299">
        <f>AX13*_xlfn.XLOOKUP(AU13,Caixa!$D$3:$BK$3,Caixa!$D$55:$BK$55,0,0)</f>
        <v>-19.174767479408487</v>
      </c>
      <c r="BA13" s="231"/>
      <c r="BB13" s="299">
        <f t="shared" si="28"/>
        <v>-33.888710149145091</v>
      </c>
      <c r="BC13" s="299">
        <f t="shared" si="29"/>
        <v>1000</v>
      </c>
      <c r="BD13" s="231"/>
      <c r="BE13" s="299">
        <f t="shared" si="30"/>
        <v>1000</v>
      </c>
      <c r="BF13" s="299">
        <f t="shared" si="31"/>
        <v>966.11128985085486</v>
      </c>
      <c r="BG13" s="40">
        <f t="shared" si="32"/>
        <v>4830556.4492542744</v>
      </c>
      <c r="BH13" s="271"/>
    </row>
    <row r="14" spans="1:63" x14ac:dyDescent="0.3">
      <c r="A14" s="165"/>
      <c r="B14" s="115">
        <f t="shared" si="9"/>
        <v>46356</v>
      </c>
      <c r="C14" s="298">
        <f t="shared" si="10"/>
        <v>0</v>
      </c>
      <c r="D14" s="298">
        <f t="shared" si="11"/>
        <v>10000</v>
      </c>
      <c r="E14" s="150">
        <f t="shared" si="12"/>
        <v>1000.1430633008589</v>
      </c>
      <c r="F14" s="299">
        <f t="shared" si="33"/>
        <v>0.14306330085887264</v>
      </c>
      <c r="G14" s="150">
        <f>E14*_xlfn.XLOOKUP(B14,Caixa!$D$3:$BK$3,Caixa!$D$54:$BK$54,0,0)</f>
        <v>25.222214506175444</v>
      </c>
      <c r="H14" s="150">
        <v>0</v>
      </c>
      <c r="I14" s="150">
        <f t="shared" si="13"/>
        <v>25.365277807034317</v>
      </c>
      <c r="J14" s="150">
        <f t="shared" si="14"/>
        <v>1000</v>
      </c>
      <c r="K14" s="150"/>
      <c r="L14" s="150">
        <f t="shared" si="15"/>
        <v>1000</v>
      </c>
      <c r="M14" s="150">
        <f t="shared" si="16"/>
        <v>1025.3652778070343</v>
      </c>
      <c r="N14" s="152">
        <f t="shared" si="17"/>
        <v>10253652.778070344</v>
      </c>
      <c r="O14" s="150"/>
      <c r="Q14" s="115">
        <f t="shared" ref="Q14:Q70" si="38">EOMONTH(WORKDAY(Q13,1),0)</f>
        <v>46356</v>
      </c>
      <c r="R14" s="298">
        <f>SUMIFS(Inputs!$E$20:$E$31,Inputs!$B$20:$B$31,"&lt;="&amp;Q14,Inputs!$B$20:$B$31,"&gt;"&amp;Q13)</f>
        <v>0</v>
      </c>
      <c r="S14" s="21">
        <f t="shared" si="18"/>
        <v>2500</v>
      </c>
      <c r="T14" s="299">
        <f t="shared" si="19"/>
        <v>1033.0737905701919</v>
      </c>
      <c r="U14" s="299">
        <f t="shared" ref="U14:U58" si="39">X13</f>
        <v>33.073790570191974</v>
      </c>
      <c r="V14" s="299">
        <f>T14*(((1+_xlfn.XLOOKUP(Q14,'Curva DI'!$A$2:$A$352,'Curva DI'!$H$2:$H$352,0,-1))*(1+R$4))^(NETWORKDAYS(Q13,Q14)/252)-1)</f>
        <v>12.883190945247772</v>
      </c>
      <c r="W14" s="235"/>
      <c r="X14" s="299">
        <f t="shared" si="34"/>
        <v>45.95698151543975</v>
      </c>
      <c r="Y14" s="299">
        <f t="shared" si="20"/>
        <v>1000</v>
      </c>
      <c r="Z14" s="235"/>
      <c r="AA14" s="299">
        <f t="shared" si="2"/>
        <v>1000</v>
      </c>
      <c r="AB14" s="299">
        <f t="shared" si="3"/>
        <v>1045.9569815154398</v>
      </c>
      <c r="AC14" s="40">
        <f t="shared" si="4"/>
        <v>2614892.4537885995</v>
      </c>
      <c r="AD14" s="21"/>
      <c r="AF14" s="115">
        <f t="shared" si="21"/>
        <v>46356</v>
      </c>
      <c r="AG14" s="298">
        <f>SUMIFS(Inputs!$J$20:$J$31,Inputs!$G$20:$G$31,"&lt;="&amp;AF14,Inputs!$G$20:$G$31,"&gt;"&amp;AF13)</f>
        <v>0</v>
      </c>
      <c r="AH14" s="21">
        <f t="shared" si="35"/>
        <v>2500</v>
      </c>
      <c r="AI14" s="299">
        <f t="shared" si="22"/>
        <v>1035.2758829315335</v>
      </c>
      <c r="AJ14" s="299">
        <f t="shared" ref="AJ14:AJ70" si="40">AM13</f>
        <v>35.275882931533388</v>
      </c>
      <c r="AK14" s="299">
        <f>AI14*(((1+_xlfn.XLOOKUP(AF14,'Curva DI'!$A$2:$A$352,'Curva DI'!$H$2:$H$352,0,-1))*(1+AG$4))^(NETWORKDAYS(AF13,AF14)/252)-1)</f>
        <v>13.763190109103974</v>
      </c>
      <c r="AL14" s="235"/>
      <c r="AM14" s="299">
        <f t="shared" si="36"/>
        <v>49.039073040637362</v>
      </c>
      <c r="AN14" s="299">
        <f t="shared" si="23"/>
        <v>1000</v>
      </c>
      <c r="AO14" s="235"/>
      <c r="AP14" s="299">
        <f t="shared" si="5"/>
        <v>1000</v>
      </c>
      <c r="AQ14" s="299">
        <f t="shared" si="6"/>
        <v>1049.0390730406373</v>
      </c>
      <c r="AR14" s="40">
        <f>AQ14*AH14</f>
        <v>2622597.682601593</v>
      </c>
      <c r="AS14" s="21"/>
      <c r="AU14" s="115">
        <f t="shared" si="25"/>
        <v>46356</v>
      </c>
      <c r="AV14" s="298">
        <f>SUMIFS(Inputs!$O$20:$O$31,Inputs!$L$20:$L$31,"&lt;="&amp;AU14,Inputs!$L$20:$L$31,"&gt;"&amp;AU13)</f>
        <v>0</v>
      </c>
      <c r="AW14" s="21">
        <f t="shared" si="37"/>
        <v>5000</v>
      </c>
      <c r="AX14" s="299">
        <f t="shared" si="26"/>
        <v>966.11128985085486</v>
      </c>
      <c r="AY14" s="299">
        <f t="shared" si="27"/>
        <v>-33.888710149145091</v>
      </c>
      <c r="AZ14" s="299">
        <f>AX14*_xlfn.XLOOKUP(AU14,Caixa!$D$3:$BK$3,Caixa!$D$55:$BK$55,0,0)</f>
        <v>37.121238485174999</v>
      </c>
      <c r="BA14" s="231"/>
      <c r="BB14" s="299">
        <f t="shared" si="28"/>
        <v>3.2325283360299082</v>
      </c>
      <c r="BC14" s="299">
        <f t="shared" si="29"/>
        <v>1000</v>
      </c>
      <c r="BD14" s="231"/>
      <c r="BE14" s="299">
        <f t="shared" si="30"/>
        <v>1000</v>
      </c>
      <c r="BF14" s="299">
        <f t="shared" si="31"/>
        <v>1003.2325283360299</v>
      </c>
      <c r="BG14" s="40">
        <f t="shared" si="32"/>
        <v>5016162.6416801494</v>
      </c>
      <c r="BH14" s="271"/>
    </row>
    <row r="15" spans="1:63" x14ac:dyDescent="0.3">
      <c r="A15" s="165"/>
      <c r="B15" s="115">
        <f t="shared" si="9"/>
        <v>46387</v>
      </c>
      <c r="C15" s="298">
        <f t="shared" si="10"/>
        <v>0</v>
      </c>
      <c r="D15" s="298">
        <f t="shared" si="11"/>
        <v>10000</v>
      </c>
      <c r="E15" s="150">
        <f t="shared" si="12"/>
        <v>1025.3652778070343</v>
      </c>
      <c r="F15" s="299">
        <f t="shared" si="33"/>
        <v>25.365277807034317</v>
      </c>
      <c r="G15" s="150">
        <f>E15*_xlfn.XLOOKUP(B15,Caixa!$D$3:$BK$3,Caixa!$D$54:$BK$54,0,0)</f>
        <v>25.199009028650778</v>
      </c>
      <c r="H15" s="150">
        <v>0</v>
      </c>
      <c r="I15" s="150">
        <f t="shared" si="13"/>
        <v>50.564286835685095</v>
      </c>
      <c r="J15" s="150">
        <f t="shared" si="14"/>
        <v>1000</v>
      </c>
      <c r="K15" s="150"/>
      <c r="L15" s="150">
        <f t="shared" si="15"/>
        <v>1000</v>
      </c>
      <c r="M15" s="150">
        <f t="shared" si="16"/>
        <v>1050.5642868356852</v>
      </c>
      <c r="N15" s="152">
        <f t="shared" si="17"/>
        <v>10505642.868356852</v>
      </c>
      <c r="O15" s="150"/>
      <c r="Q15" s="115">
        <f t="shared" si="38"/>
        <v>46387</v>
      </c>
      <c r="R15" s="298">
        <f>SUMIFS(Inputs!$E$20:$E$31,Inputs!$B$20:$B$31,"&lt;="&amp;Q15,Inputs!$B$20:$B$31,"&gt;"&amp;Q14)</f>
        <v>0</v>
      </c>
      <c r="S15" s="21">
        <f t="shared" si="18"/>
        <v>2500</v>
      </c>
      <c r="T15" s="299">
        <f t="shared" si="19"/>
        <v>1045.9569815154398</v>
      </c>
      <c r="U15" s="299">
        <f t="shared" si="39"/>
        <v>45.95698151543975</v>
      </c>
      <c r="V15" s="299">
        <f>T15*(((1+_xlfn.XLOOKUP(Q15,'Curva DI'!$A$2:$A$352,'Curva DI'!$H$2:$H$352,0,-1))*(1+R$4))^(NETWORKDAYS(Q14,Q15)/252)-1)</f>
        <v>14.938254954711633</v>
      </c>
      <c r="W15" s="235"/>
      <c r="X15" s="299">
        <f t="shared" si="34"/>
        <v>60.895236470151382</v>
      </c>
      <c r="Y15" s="299">
        <f t="shared" si="20"/>
        <v>1000</v>
      </c>
      <c r="Z15" s="235"/>
      <c r="AA15" s="299">
        <f t="shared" si="2"/>
        <v>1000</v>
      </c>
      <c r="AB15" s="299">
        <f t="shared" si="3"/>
        <v>1060.8952364701513</v>
      </c>
      <c r="AC15" s="40">
        <f t="shared" si="4"/>
        <v>2652238.0911753783</v>
      </c>
      <c r="AD15" s="21"/>
      <c r="AF15" s="115">
        <f t="shared" si="21"/>
        <v>46387</v>
      </c>
      <c r="AG15" s="298">
        <f>SUMIFS(Inputs!$J$20:$J$31,Inputs!$G$20:$G$31,"&lt;="&amp;AF15,Inputs!$G$20:$G$31,"&gt;"&amp;AF14)</f>
        <v>0</v>
      </c>
      <c r="AH15" s="21">
        <f t="shared" si="35"/>
        <v>2500</v>
      </c>
      <c r="AI15" s="299">
        <f t="shared" si="22"/>
        <v>1049.0390730406373</v>
      </c>
      <c r="AJ15" s="299">
        <f t="shared" si="40"/>
        <v>49.039073040637362</v>
      </c>
      <c r="AK15" s="299">
        <f>AI15*(((1+_xlfn.XLOOKUP(AF15,'Curva DI'!$A$2:$A$352,'Curva DI'!$H$2:$H$352,0,-1))*(1+AG$4))^(NETWORKDAYS(AF14,AF15)/252)-1)</f>
        <v>15.971378092140137</v>
      </c>
      <c r="AL15" s="235"/>
      <c r="AM15" s="299">
        <f t="shared" si="36"/>
        <v>65.010451132777504</v>
      </c>
      <c r="AN15" s="299">
        <f t="shared" si="23"/>
        <v>1000</v>
      </c>
      <c r="AO15" s="235"/>
      <c r="AP15" s="299">
        <f t="shared" si="5"/>
        <v>1000</v>
      </c>
      <c r="AQ15" s="299">
        <f t="shared" si="6"/>
        <v>1065.0104511327775</v>
      </c>
      <c r="AR15" s="40">
        <f t="shared" ref="AR15:AR70" si="41">AQ15*AH15</f>
        <v>2662526.1278319438</v>
      </c>
      <c r="AS15" s="21"/>
      <c r="AU15" s="115">
        <f t="shared" si="25"/>
        <v>46387</v>
      </c>
      <c r="AV15" s="298">
        <f>SUMIFS(Inputs!$O$20:$O$31,Inputs!$L$20:$L$31,"&lt;="&amp;AU15,Inputs!$L$20:$L$31,"&gt;"&amp;AU14)</f>
        <v>0</v>
      </c>
      <c r="AW15" s="21">
        <f t="shared" si="37"/>
        <v>5000</v>
      </c>
      <c r="AX15" s="299">
        <f t="shared" si="26"/>
        <v>1003.2325283360299</v>
      </c>
      <c r="AY15" s="299">
        <f t="shared" si="27"/>
        <v>3.2325283360299082</v>
      </c>
      <c r="AZ15" s="299">
        <f>AX15*_xlfn.XLOOKUP(AU15,Caixa!$D$3:$BK$3,Caixa!$D$55:$BK$55,0,0)</f>
        <v>34.943201533875715</v>
      </c>
      <c r="BA15" s="231"/>
      <c r="BB15" s="299">
        <f t="shared" si="28"/>
        <v>38.175729869905624</v>
      </c>
      <c r="BC15" s="299">
        <f t="shared" si="29"/>
        <v>1000</v>
      </c>
      <c r="BD15" s="231"/>
      <c r="BE15" s="299">
        <f t="shared" si="30"/>
        <v>1000</v>
      </c>
      <c r="BF15" s="299">
        <f t="shared" si="31"/>
        <v>1038.1757298699056</v>
      </c>
      <c r="BG15" s="40">
        <f t="shared" si="32"/>
        <v>5190878.6493495284</v>
      </c>
      <c r="BH15" s="271"/>
    </row>
    <row r="16" spans="1:63" x14ac:dyDescent="0.3">
      <c r="A16" s="165"/>
      <c r="B16" s="115">
        <f t="shared" si="9"/>
        <v>46418</v>
      </c>
      <c r="C16" s="298">
        <f t="shared" si="10"/>
        <v>0</v>
      </c>
      <c r="D16" s="298">
        <f t="shared" si="11"/>
        <v>10000</v>
      </c>
      <c r="E16" s="150">
        <f t="shared" si="12"/>
        <v>1050.5642868356852</v>
      </c>
      <c r="F16" s="299">
        <f t="shared" si="33"/>
        <v>50.564286835685095</v>
      </c>
      <c r="G16" s="150">
        <f>E16*_xlfn.XLOOKUP(B16,Caixa!$D$3:$BK$3,Caixa!$D$54:$BK$54,0,0)</f>
        <v>25.199443708888161</v>
      </c>
      <c r="H16" s="150">
        <v>0</v>
      </c>
      <c r="I16" s="150">
        <f t="shared" si="13"/>
        <v>75.763730544573264</v>
      </c>
      <c r="J16" s="150">
        <f t="shared" si="14"/>
        <v>1000</v>
      </c>
      <c r="K16" s="150"/>
      <c r="L16" s="150">
        <f t="shared" si="15"/>
        <v>1000</v>
      </c>
      <c r="M16" s="150">
        <f t="shared" si="16"/>
        <v>1075.7637305445733</v>
      </c>
      <c r="N16" s="152">
        <f t="shared" si="17"/>
        <v>10757637.305445733</v>
      </c>
      <c r="O16" s="150"/>
      <c r="Q16" s="115">
        <f t="shared" si="38"/>
        <v>46418</v>
      </c>
      <c r="R16" s="298">
        <f>SUMIFS(Inputs!$E$20:$E$31,Inputs!$B$20:$B$31,"&lt;="&amp;Q16,Inputs!$B$20:$B$31,"&gt;"&amp;Q15)</f>
        <v>0</v>
      </c>
      <c r="S16" s="21">
        <f t="shared" si="18"/>
        <v>2500</v>
      </c>
      <c r="T16" s="299">
        <f t="shared" si="19"/>
        <v>1060.8952364701513</v>
      </c>
      <c r="U16" s="299">
        <f t="shared" si="39"/>
        <v>60.895236470151382</v>
      </c>
      <c r="V16" s="299">
        <f>T16*(((1+_xlfn.XLOOKUP(Q16,'Curva DI'!$A$2:$A$352,'Curva DI'!$H$2:$H$352,0,-1))*(1+R$4))^(NETWORKDAYS(Q15,Q16)/252)-1)</f>
        <v>13.905482230154387</v>
      </c>
      <c r="W16" s="235"/>
      <c r="X16" s="299">
        <f t="shared" si="34"/>
        <v>74.800718700305765</v>
      </c>
      <c r="Y16" s="299">
        <f t="shared" si="20"/>
        <v>1000</v>
      </c>
      <c r="Z16" s="235"/>
      <c r="AA16" s="299">
        <f t="shared" si="2"/>
        <v>1000</v>
      </c>
      <c r="AB16" s="299">
        <f t="shared" si="3"/>
        <v>1074.8007187003059</v>
      </c>
      <c r="AC16" s="40">
        <f t="shared" si="4"/>
        <v>2687001.7967507648</v>
      </c>
      <c r="AD16" s="21"/>
      <c r="AF16" s="115">
        <f t="shared" si="21"/>
        <v>46418</v>
      </c>
      <c r="AG16" s="298">
        <f>SUMIFS(Inputs!$J$20:$J$31,Inputs!$G$20:$G$31,"&lt;="&amp;AF16,Inputs!$G$20:$G$31,"&gt;"&amp;AF15)</f>
        <v>0</v>
      </c>
      <c r="AH16" s="21">
        <f t="shared" si="35"/>
        <v>2500</v>
      </c>
      <c r="AI16" s="299">
        <f t="shared" si="22"/>
        <v>1065.0104511327775</v>
      </c>
      <c r="AJ16" s="299">
        <f t="shared" si="40"/>
        <v>65.010451132777504</v>
      </c>
      <c r="AK16" s="299">
        <f>AI16*(((1+_xlfn.XLOOKUP(AF16,'Curva DI'!$A$2:$A$352,'Curva DI'!$H$2:$H$352,0,-1))*(1+AG$4))^(NETWORKDAYS(AF15,AF16)/252)-1)</f>
        <v>14.878803632902379</v>
      </c>
      <c r="AL16" s="235"/>
      <c r="AM16" s="299">
        <f t="shared" si="36"/>
        <v>79.88925476567988</v>
      </c>
      <c r="AN16" s="299">
        <f t="shared" si="23"/>
        <v>1000</v>
      </c>
      <c r="AO16" s="235"/>
      <c r="AP16" s="299">
        <f t="shared" si="5"/>
        <v>1000</v>
      </c>
      <c r="AQ16" s="299">
        <f t="shared" si="6"/>
        <v>1079.8892547656799</v>
      </c>
      <c r="AR16" s="40">
        <f t="shared" si="41"/>
        <v>2699723.1369141997</v>
      </c>
      <c r="AS16" s="21"/>
      <c r="AU16" s="115">
        <f t="shared" si="25"/>
        <v>46418</v>
      </c>
      <c r="AV16" s="298">
        <f>SUMIFS(Inputs!$O$20:$O$31,Inputs!$L$20:$L$31,"&lt;="&amp;AU16,Inputs!$L$20:$L$31,"&gt;"&amp;AU15)</f>
        <v>0</v>
      </c>
      <c r="AW16" s="21">
        <f t="shared" si="37"/>
        <v>5000</v>
      </c>
      <c r="AX16" s="299">
        <f t="shared" si="26"/>
        <v>1038.1757298699056</v>
      </c>
      <c r="AY16" s="299">
        <f t="shared" si="27"/>
        <v>38.175729869905624</v>
      </c>
      <c r="AZ16" s="299">
        <f>AX16*_xlfn.XLOOKUP(AU16,Caixa!$D$3:$BK$3,Caixa!$D$55:$BK$55,0,0)</f>
        <v>36.006744486247641</v>
      </c>
      <c r="BA16" s="231"/>
      <c r="BB16" s="299">
        <f t="shared" si="28"/>
        <v>74.182474356153264</v>
      </c>
      <c r="BC16" s="299">
        <f t="shared" si="29"/>
        <v>1000</v>
      </c>
      <c r="BD16" s="231"/>
      <c r="BE16" s="299">
        <f t="shared" si="30"/>
        <v>1000</v>
      </c>
      <c r="BF16" s="299">
        <f t="shared" si="31"/>
        <v>1074.1824743561533</v>
      </c>
      <c r="BG16" s="40">
        <f t="shared" si="32"/>
        <v>5370912.3717807662</v>
      </c>
      <c r="BH16" s="271"/>
    </row>
    <row r="17" spans="1:60" x14ac:dyDescent="0.3">
      <c r="A17" s="165"/>
      <c r="B17" s="115">
        <f t="shared" si="9"/>
        <v>46446</v>
      </c>
      <c r="C17" s="298">
        <f t="shared" si="10"/>
        <v>0</v>
      </c>
      <c r="D17" s="298">
        <f t="shared" si="11"/>
        <v>10000</v>
      </c>
      <c r="E17" s="150">
        <f t="shared" si="12"/>
        <v>1075.7637305445733</v>
      </c>
      <c r="F17" s="299">
        <f t="shared" si="33"/>
        <v>75.763730544573264</v>
      </c>
      <c r="G17" s="150">
        <f>E17*_xlfn.XLOOKUP(B17,Caixa!$D$3:$BK$3,Caixa!$D$54:$BK$54,0,0)</f>
        <v>29.144829855316779</v>
      </c>
      <c r="H17" s="150">
        <v>0</v>
      </c>
      <c r="I17" s="150">
        <f t="shared" si="13"/>
        <v>104.90856039989004</v>
      </c>
      <c r="J17" s="150">
        <f t="shared" si="14"/>
        <v>1000</v>
      </c>
      <c r="K17" s="150"/>
      <c r="L17" s="150">
        <f t="shared" si="15"/>
        <v>1000</v>
      </c>
      <c r="M17" s="150">
        <f t="shared" si="16"/>
        <v>1104.9085603998901</v>
      </c>
      <c r="N17" s="152">
        <f t="shared" si="17"/>
        <v>11049085.603998901</v>
      </c>
      <c r="O17" s="150"/>
      <c r="Q17" s="115">
        <f t="shared" si="38"/>
        <v>46446</v>
      </c>
      <c r="R17" s="298">
        <f>SUMIFS(Inputs!$E$20:$E$31,Inputs!$B$20:$B$31,"&lt;="&amp;Q17,Inputs!$B$20:$B$31,"&gt;"&amp;Q16)</f>
        <v>0</v>
      </c>
      <c r="S17" s="21">
        <f t="shared" si="18"/>
        <v>2500</v>
      </c>
      <c r="T17" s="299">
        <f t="shared" si="19"/>
        <v>1074.8007187003059</v>
      </c>
      <c r="U17" s="299">
        <f t="shared" si="39"/>
        <v>74.800718700305765</v>
      </c>
      <c r="V17" s="299">
        <f>T17*(((1+_xlfn.XLOOKUP(Q17,'Curva DI'!$A$2:$A$352,'Curva DI'!$H$2:$H$352,0,-1))*(1+R$4))^(NETWORKDAYS(Q16,Q17)/252)-1)</f>
        <v>12.829779878910756</v>
      </c>
      <c r="W17" s="235"/>
      <c r="X17" s="299">
        <f t="shared" si="34"/>
        <v>87.630498579216521</v>
      </c>
      <c r="Y17" s="299">
        <f t="shared" si="20"/>
        <v>1000</v>
      </c>
      <c r="Z17" s="235"/>
      <c r="AA17" s="299">
        <f t="shared" si="2"/>
        <v>1000</v>
      </c>
      <c r="AB17" s="299">
        <f t="shared" si="3"/>
        <v>1087.6304985792165</v>
      </c>
      <c r="AC17" s="40">
        <f t="shared" si="4"/>
        <v>2719076.2464480409</v>
      </c>
      <c r="AD17" s="21"/>
      <c r="AF17" s="115">
        <f t="shared" si="21"/>
        <v>46446</v>
      </c>
      <c r="AG17" s="298">
        <f>SUMIFS(Inputs!$J$20:$J$31,Inputs!$G$20:$G$31,"&lt;="&amp;AF17,Inputs!$G$20:$G$31,"&gt;"&amp;AF16)</f>
        <v>0</v>
      </c>
      <c r="AH17" s="21">
        <f t="shared" si="35"/>
        <v>2500</v>
      </c>
      <c r="AI17" s="299">
        <f t="shared" si="22"/>
        <v>1079.8892547656799</v>
      </c>
      <c r="AJ17" s="299">
        <f t="shared" si="40"/>
        <v>79.88925476567988</v>
      </c>
      <c r="AK17" s="299">
        <f>AI17*(((1+_xlfn.XLOOKUP(AF17,'Curva DI'!$A$2:$A$352,'Curva DI'!$H$2:$H$352,0,-1))*(1+AG$4))^(NETWORKDAYS(AF16,AF17)/252)-1)</f>
        <v>13.736987792534576</v>
      </c>
      <c r="AL17" s="235"/>
      <c r="AM17" s="299">
        <f t="shared" si="36"/>
        <v>93.626242558214457</v>
      </c>
      <c r="AN17" s="299">
        <f t="shared" si="23"/>
        <v>1000</v>
      </c>
      <c r="AO17" s="235"/>
      <c r="AP17" s="299">
        <f t="shared" si="5"/>
        <v>1000</v>
      </c>
      <c r="AQ17" s="299">
        <f t="shared" si="6"/>
        <v>1093.6262425582145</v>
      </c>
      <c r="AR17" s="40">
        <f t="shared" si="41"/>
        <v>2734065.6063955361</v>
      </c>
      <c r="AS17" s="21"/>
      <c r="AU17" s="115">
        <f t="shared" si="25"/>
        <v>46446</v>
      </c>
      <c r="AV17" s="298">
        <f>SUMIFS(Inputs!$O$20:$O$31,Inputs!$L$20:$L$31,"&lt;="&amp;AU17,Inputs!$L$20:$L$31,"&gt;"&amp;AU16)</f>
        <v>0</v>
      </c>
      <c r="AW17" s="21">
        <f t="shared" si="37"/>
        <v>5000</v>
      </c>
      <c r="AX17" s="299">
        <f t="shared" si="26"/>
        <v>1074.1824743561533</v>
      </c>
      <c r="AY17" s="299">
        <f t="shared" si="27"/>
        <v>74.182474356153264</v>
      </c>
      <c r="AZ17" s="299">
        <f>AX17*_xlfn.XLOOKUP(AU17,Caixa!$D$3:$BK$3,Caixa!$D$55:$BK$55,0,0)</f>
        <v>45.006275874911353</v>
      </c>
      <c r="BA17" s="231"/>
      <c r="BB17" s="299">
        <f t="shared" si="28"/>
        <v>119.18875023106462</v>
      </c>
      <c r="BC17" s="299">
        <f t="shared" si="29"/>
        <v>1000</v>
      </c>
      <c r="BD17" s="231"/>
      <c r="BE17" s="299">
        <f t="shared" si="30"/>
        <v>1000</v>
      </c>
      <c r="BF17" s="299">
        <f t="shared" si="31"/>
        <v>1119.1887502310647</v>
      </c>
      <c r="BG17" s="40">
        <f t="shared" si="32"/>
        <v>5595943.7511553233</v>
      </c>
      <c r="BH17" s="271"/>
    </row>
    <row r="18" spans="1:60" x14ac:dyDescent="0.3">
      <c r="A18" s="165"/>
      <c r="B18" s="115">
        <f t="shared" si="9"/>
        <v>46477</v>
      </c>
      <c r="C18" s="298">
        <f t="shared" si="10"/>
        <v>0</v>
      </c>
      <c r="D18" s="298">
        <f t="shared" si="11"/>
        <v>10000</v>
      </c>
      <c r="E18" s="150">
        <f t="shared" si="12"/>
        <v>1104.9085603998901</v>
      </c>
      <c r="F18" s="299">
        <f t="shared" si="33"/>
        <v>104.90856039989004</v>
      </c>
      <c r="G18" s="150">
        <f>E18*_xlfn.XLOOKUP(B18,Caixa!$D$3:$BK$3,Caixa!$D$54:$BK$54,0,0)</f>
        <v>27.391530873501619</v>
      </c>
      <c r="H18" s="150">
        <v>0</v>
      </c>
      <c r="I18" s="150">
        <f t="shared" si="13"/>
        <v>132.30009127339164</v>
      </c>
      <c r="J18" s="150">
        <f t="shared" si="14"/>
        <v>1000</v>
      </c>
      <c r="K18" s="150"/>
      <c r="L18" s="150">
        <f t="shared" si="15"/>
        <v>1000</v>
      </c>
      <c r="M18" s="150">
        <f t="shared" si="16"/>
        <v>1132.3000912733917</v>
      </c>
      <c r="N18" s="152">
        <f t="shared" si="17"/>
        <v>11323000.912733916</v>
      </c>
      <c r="O18" s="150"/>
      <c r="Q18" s="115">
        <f t="shared" si="38"/>
        <v>46477</v>
      </c>
      <c r="R18" s="298">
        <f>SUMIFS(Inputs!$E$20:$E$31,Inputs!$B$20:$B$31,"&lt;="&amp;Q18,Inputs!$B$20:$B$31,"&gt;"&amp;Q17)</f>
        <v>0</v>
      </c>
      <c r="S18" s="21">
        <f t="shared" si="18"/>
        <v>2500</v>
      </c>
      <c r="T18" s="299">
        <f t="shared" si="19"/>
        <v>1087.6304985792165</v>
      </c>
      <c r="U18" s="299">
        <f t="shared" si="39"/>
        <v>87.630498579216521</v>
      </c>
      <c r="V18" s="299">
        <f>T18*(((1+_xlfn.XLOOKUP(Q18,'Curva DI'!$A$2:$A$352,'Curva DI'!$H$2:$H$352,0,-1))*(1+R$4))^(NETWORKDAYS(Q17,Q18)/252)-1)</f>
        <v>14.961364958436533</v>
      </c>
      <c r="W18" s="235"/>
      <c r="X18" s="299">
        <f t="shared" si="34"/>
        <v>102.59186353765305</v>
      </c>
      <c r="Y18" s="299">
        <f t="shared" si="20"/>
        <v>1000</v>
      </c>
      <c r="Z18" s="235"/>
      <c r="AA18" s="299">
        <f t="shared" si="2"/>
        <v>1000</v>
      </c>
      <c r="AB18" s="299">
        <f t="shared" si="3"/>
        <v>1102.5918635376531</v>
      </c>
      <c r="AC18" s="40">
        <f t="shared" si="4"/>
        <v>2756479.6588441329</v>
      </c>
      <c r="AD18" s="21"/>
      <c r="AF18" s="115">
        <f t="shared" si="21"/>
        <v>46477</v>
      </c>
      <c r="AG18" s="298">
        <f>SUMIFS(Inputs!$J$20:$J$31,Inputs!$G$20:$G$31,"&lt;="&amp;AF18,Inputs!$G$20:$G$31,"&gt;"&amp;AF17)</f>
        <v>0</v>
      </c>
      <c r="AH18" s="21">
        <f t="shared" si="35"/>
        <v>2500</v>
      </c>
      <c r="AI18" s="299">
        <f t="shared" si="22"/>
        <v>1093.6262425582145</v>
      </c>
      <c r="AJ18" s="299">
        <f t="shared" si="40"/>
        <v>93.626242558214457</v>
      </c>
      <c r="AK18" s="299">
        <f>AI18*(((1+_xlfn.XLOOKUP(AF18,'Curva DI'!$A$2:$A$352,'Curva DI'!$H$2:$H$352,0,-1))*(1+AG$4))^(NETWORKDAYS(AF17,AF18)/252)-1)</f>
        <v>16.03149085057246</v>
      </c>
      <c r="AL18" s="235"/>
      <c r="AM18" s="299">
        <f t="shared" si="36"/>
        <v>109.65773340878692</v>
      </c>
      <c r="AN18" s="299">
        <f t="shared" si="23"/>
        <v>1000</v>
      </c>
      <c r="AO18" s="235"/>
      <c r="AP18" s="299">
        <f t="shared" si="5"/>
        <v>1000</v>
      </c>
      <c r="AQ18" s="299">
        <f t="shared" si="6"/>
        <v>1109.657733408787</v>
      </c>
      <c r="AR18" s="40">
        <f t="shared" si="41"/>
        <v>2774144.3335219673</v>
      </c>
      <c r="AS18" s="21"/>
      <c r="AU18" s="115">
        <f t="shared" si="25"/>
        <v>46477</v>
      </c>
      <c r="AV18" s="298">
        <f>SUMIFS(Inputs!$O$20:$O$31,Inputs!$L$20:$L$31,"&lt;="&amp;AU18,Inputs!$L$20:$L$31,"&gt;"&amp;AU17)</f>
        <v>0</v>
      </c>
      <c r="AW18" s="21">
        <f t="shared" si="37"/>
        <v>5000</v>
      </c>
      <c r="AX18" s="299">
        <f t="shared" si="26"/>
        <v>1119.1887502310647</v>
      </c>
      <c r="AY18" s="299">
        <f t="shared" si="27"/>
        <v>119.18875023106462</v>
      </c>
      <c r="AZ18" s="299">
        <f>AX18*_xlfn.XLOOKUP(AU18,Caixa!$D$3:$BK$3,Caixa!$D$55:$BK$55,0,0)</f>
        <v>39.286633842498802</v>
      </c>
      <c r="BA18" s="231"/>
      <c r="BB18" s="299">
        <f t="shared" si="28"/>
        <v>158.47538407356342</v>
      </c>
      <c r="BC18" s="299">
        <f t="shared" si="29"/>
        <v>1000</v>
      </c>
      <c r="BD18" s="231"/>
      <c r="BE18" s="299">
        <f t="shared" si="30"/>
        <v>1000</v>
      </c>
      <c r="BF18" s="299">
        <f t="shared" si="31"/>
        <v>1158.4753840735634</v>
      </c>
      <c r="BG18" s="40">
        <f t="shared" si="32"/>
        <v>5792376.9203678174</v>
      </c>
      <c r="BH18" s="271"/>
    </row>
    <row r="19" spans="1:60" x14ac:dyDescent="0.3">
      <c r="A19" s="165"/>
      <c r="B19" s="115">
        <f t="shared" si="9"/>
        <v>46507</v>
      </c>
      <c r="C19" s="298">
        <f t="shared" si="10"/>
        <v>0</v>
      </c>
      <c r="D19" s="298">
        <f t="shared" si="11"/>
        <v>10000</v>
      </c>
      <c r="E19" s="150">
        <f t="shared" si="12"/>
        <v>1132.3000912733917</v>
      </c>
      <c r="F19" s="299">
        <f t="shared" si="33"/>
        <v>132.30009127339164</v>
      </c>
      <c r="G19" s="150">
        <f>E19*_xlfn.XLOOKUP(B19,Caixa!$D$3:$BK$3,Caixa!$D$54:$BK$54,0,0)</f>
        <v>27.392002979891021</v>
      </c>
      <c r="H19" s="150">
        <v>0</v>
      </c>
      <c r="I19" s="150">
        <f t="shared" si="13"/>
        <v>159.69209425328268</v>
      </c>
      <c r="J19" s="150">
        <f t="shared" si="14"/>
        <v>1000</v>
      </c>
      <c r="K19" s="150"/>
      <c r="L19" s="150">
        <f t="shared" si="15"/>
        <v>1000</v>
      </c>
      <c r="M19" s="150">
        <f t="shared" si="16"/>
        <v>1159.6920942532827</v>
      </c>
      <c r="N19" s="152">
        <f t="shared" si="17"/>
        <v>11596920.942532826</v>
      </c>
      <c r="O19" s="150"/>
      <c r="Q19" s="115">
        <f t="shared" si="38"/>
        <v>46507</v>
      </c>
      <c r="R19" s="298">
        <f>SUMIFS(Inputs!$E$20:$E$31,Inputs!$B$20:$B$31,"&lt;="&amp;Q19,Inputs!$B$20:$B$31,"&gt;"&amp;Q18)</f>
        <v>0</v>
      </c>
      <c r="S19" s="21">
        <f t="shared" si="18"/>
        <v>2500</v>
      </c>
      <c r="T19" s="299">
        <f t="shared" si="19"/>
        <v>1102.5918635376531</v>
      </c>
      <c r="U19" s="299">
        <f t="shared" si="39"/>
        <v>102.59186353765305</v>
      </c>
      <c r="V19" s="299">
        <f>T19*(((1+_xlfn.XLOOKUP(Q19,'Curva DI'!$A$2:$A$352,'Curva DI'!$H$2:$H$352,0,-1))*(1+R$4))^(NETWORKDAYS(Q18,Q19)/252)-1)</f>
        <v>15.194046585147699</v>
      </c>
      <c r="W19" s="235"/>
      <c r="X19" s="299">
        <f t="shared" si="34"/>
        <v>117.78591012280076</v>
      </c>
      <c r="Y19" s="299">
        <f t="shared" si="20"/>
        <v>1000</v>
      </c>
      <c r="Z19" s="235"/>
      <c r="AA19" s="299">
        <f t="shared" si="2"/>
        <v>1000</v>
      </c>
      <c r="AB19" s="299">
        <f t="shared" si="3"/>
        <v>1117.7859101228007</v>
      </c>
      <c r="AC19" s="40">
        <f t="shared" si="4"/>
        <v>2794464.775307002</v>
      </c>
      <c r="AD19" s="21"/>
      <c r="AF19" s="115">
        <f t="shared" si="21"/>
        <v>46507</v>
      </c>
      <c r="AG19" s="298">
        <f>SUMIFS(Inputs!$J$20:$J$31,Inputs!$G$20:$G$31,"&lt;="&amp;AF19,Inputs!$G$20:$G$31,"&gt;"&amp;AF18)</f>
        <v>0</v>
      </c>
      <c r="AH19" s="21">
        <f t="shared" si="35"/>
        <v>2500</v>
      </c>
      <c r="AI19" s="299">
        <f t="shared" si="22"/>
        <v>1109.657733408787</v>
      </c>
      <c r="AJ19" s="299">
        <f t="shared" si="40"/>
        <v>109.65773340878692</v>
      </c>
      <c r="AK19" s="299">
        <f>AI19*(((1+_xlfn.XLOOKUP(AF19,'Curva DI'!$A$2:$A$352,'Curva DI'!$H$2:$H$352,0,-1))*(1+AG$4))^(NETWORKDAYS(AF18,AF19)/252)-1)</f>
        <v>16.293567331685626</v>
      </c>
      <c r="AL19" s="235"/>
      <c r="AM19" s="299">
        <f t="shared" si="36"/>
        <v>125.95130074047255</v>
      </c>
      <c r="AN19" s="299">
        <f t="shared" si="23"/>
        <v>1000</v>
      </c>
      <c r="AO19" s="235"/>
      <c r="AP19" s="299">
        <f t="shared" si="5"/>
        <v>1000</v>
      </c>
      <c r="AQ19" s="299">
        <f t="shared" si="6"/>
        <v>1125.9513007404726</v>
      </c>
      <c r="AR19" s="40">
        <f t="shared" si="41"/>
        <v>2814878.2518511815</v>
      </c>
      <c r="AS19" s="21"/>
      <c r="AU19" s="115">
        <f t="shared" si="25"/>
        <v>46507</v>
      </c>
      <c r="AV19" s="298">
        <f>SUMIFS(Inputs!$O$20:$O$31,Inputs!$L$20:$L$31,"&lt;="&amp;AU19,Inputs!$L$20:$L$31,"&gt;"&amp;AU18)</f>
        <v>0</v>
      </c>
      <c r="AW19" s="21">
        <f t="shared" si="37"/>
        <v>5000</v>
      </c>
      <c r="AX19" s="299">
        <f t="shared" si="26"/>
        <v>1158.4753840735634</v>
      </c>
      <c r="AY19" s="299">
        <f t="shared" si="27"/>
        <v>158.47538407356342</v>
      </c>
      <c r="AZ19" s="299">
        <f>AX19*_xlfn.XLOOKUP(AU19,Caixa!$D$3:$BK$3,Caixa!$D$55:$BK$55,0,0)</f>
        <v>39.040199001365217</v>
      </c>
      <c r="BA19" s="231"/>
      <c r="BB19" s="299">
        <f t="shared" si="28"/>
        <v>197.51558307492863</v>
      </c>
      <c r="BC19" s="299">
        <f t="shared" si="29"/>
        <v>1000</v>
      </c>
      <c r="BD19" s="231"/>
      <c r="BE19" s="299">
        <f t="shared" si="30"/>
        <v>1000</v>
      </c>
      <c r="BF19" s="299">
        <f t="shared" si="31"/>
        <v>1197.5155830749286</v>
      </c>
      <c r="BG19" s="40">
        <f t="shared" si="32"/>
        <v>5987577.9153746432</v>
      </c>
      <c r="BH19" s="271"/>
    </row>
    <row r="20" spans="1:60" x14ac:dyDescent="0.3">
      <c r="A20" s="165"/>
      <c r="B20" s="115">
        <f t="shared" si="9"/>
        <v>46538</v>
      </c>
      <c r="C20" s="298">
        <f t="shared" si="10"/>
        <v>0</v>
      </c>
      <c r="D20" s="298">
        <f t="shared" si="11"/>
        <v>10000</v>
      </c>
      <c r="E20" s="150">
        <f t="shared" si="12"/>
        <v>1159.6920942532827</v>
      </c>
      <c r="F20" s="299">
        <f t="shared" si="33"/>
        <v>159.69209425328268</v>
      </c>
      <c r="G20" s="150">
        <f>E20*_xlfn.XLOOKUP(B20,Caixa!$D$3:$BK$3,Caixa!$D$54:$BK$54,0,0)</f>
        <v>31.680320986132585</v>
      </c>
      <c r="H20" s="150">
        <v>0</v>
      </c>
      <c r="I20" s="150">
        <f t="shared" si="13"/>
        <v>191.37241523941526</v>
      </c>
      <c r="J20" s="150">
        <f t="shared" si="14"/>
        <v>1000</v>
      </c>
      <c r="K20" s="150"/>
      <c r="L20" s="150">
        <f t="shared" si="15"/>
        <v>1000</v>
      </c>
      <c r="M20" s="150">
        <f t="shared" si="16"/>
        <v>1191.3724152394152</v>
      </c>
      <c r="N20" s="152">
        <f t="shared" si="17"/>
        <v>11913724.152394151</v>
      </c>
      <c r="O20" s="150"/>
      <c r="Q20" s="115">
        <f t="shared" si="38"/>
        <v>46538</v>
      </c>
      <c r="R20" s="298">
        <f>SUMIFS(Inputs!$E$20:$E$31,Inputs!$B$20:$B$31,"&lt;="&amp;Q20,Inputs!$B$20:$B$31,"&gt;"&amp;Q19)</f>
        <v>0</v>
      </c>
      <c r="S20" s="21">
        <f t="shared" si="18"/>
        <v>2500</v>
      </c>
      <c r="T20" s="299">
        <f t="shared" si="19"/>
        <v>1117.7859101228007</v>
      </c>
      <c r="U20" s="299">
        <f t="shared" si="39"/>
        <v>117.78591012280076</v>
      </c>
      <c r="V20" s="299">
        <f>T20*(((1+_xlfn.XLOOKUP(Q20,'Curva DI'!$A$2:$A$352,'Curva DI'!$H$2:$H$352,0,-1))*(1+R$4))^(NETWORKDAYS(Q19,Q20)/252)-1)</f>
        <v>14.755356408264948</v>
      </c>
      <c r="W20" s="235"/>
      <c r="X20" s="299">
        <f t="shared" si="34"/>
        <v>132.5412665310657</v>
      </c>
      <c r="Y20" s="299">
        <f t="shared" si="20"/>
        <v>1000</v>
      </c>
      <c r="Z20" s="235"/>
      <c r="AA20" s="299">
        <f t="shared" si="2"/>
        <v>1000</v>
      </c>
      <c r="AB20" s="299">
        <f t="shared" si="3"/>
        <v>1132.5412665310657</v>
      </c>
      <c r="AC20" s="40">
        <f t="shared" si="4"/>
        <v>2831353.1663276642</v>
      </c>
      <c r="AD20" s="21"/>
      <c r="AF20" s="115">
        <f t="shared" si="21"/>
        <v>46538</v>
      </c>
      <c r="AG20" s="298">
        <f>SUMIFS(Inputs!$J$20:$J$31,Inputs!$G$20:$G$31,"&lt;="&amp;AF20,Inputs!$G$20:$G$31,"&gt;"&amp;AF19)</f>
        <v>0</v>
      </c>
      <c r="AH20" s="21">
        <f t="shared" si="35"/>
        <v>2500</v>
      </c>
      <c r="AI20" s="299">
        <f t="shared" si="22"/>
        <v>1125.9513007404726</v>
      </c>
      <c r="AJ20" s="299">
        <f t="shared" si="40"/>
        <v>125.95130074047255</v>
      </c>
      <c r="AK20" s="299">
        <f>AI20*(((1+_xlfn.XLOOKUP(AF20,'Curva DI'!$A$2:$A$352,'Curva DI'!$H$2:$H$352,0,-1))*(1+AG$4))^(NETWORKDAYS(AF19,AF20)/252)-1)</f>
        <v>15.835223117811598</v>
      </c>
      <c r="AL20" s="235"/>
      <c r="AM20" s="299">
        <f t="shared" si="36"/>
        <v>141.78652385828414</v>
      </c>
      <c r="AN20" s="299">
        <f t="shared" si="23"/>
        <v>1000</v>
      </c>
      <c r="AO20" s="235"/>
      <c r="AP20" s="299">
        <f t="shared" si="5"/>
        <v>1000</v>
      </c>
      <c r="AQ20" s="299">
        <f t="shared" si="6"/>
        <v>1141.7865238582842</v>
      </c>
      <c r="AR20" s="40">
        <f t="shared" si="41"/>
        <v>2854466.3096457105</v>
      </c>
      <c r="AS20" s="21"/>
      <c r="AU20" s="115">
        <f t="shared" si="25"/>
        <v>46538</v>
      </c>
      <c r="AV20" s="298">
        <f>SUMIFS(Inputs!$O$20:$O$31,Inputs!$L$20:$L$31,"&lt;="&amp;AU20,Inputs!$L$20:$L$31,"&gt;"&amp;AU19)</f>
        <v>0</v>
      </c>
      <c r="AW20" s="21">
        <f t="shared" si="37"/>
        <v>5000</v>
      </c>
      <c r="AX20" s="299">
        <f t="shared" si="26"/>
        <v>1197.5155830749286</v>
      </c>
      <c r="AY20" s="299">
        <f t="shared" si="27"/>
        <v>197.51558307492863</v>
      </c>
      <c r="AZ20" s="299">
        <f>AX20*_xlfn.XLOOKUP(AU20,Caixa!$D$3:$BK$3,Caixa!$D$55:$BK$55,0,0)</f>
        <v>48.065352209226937</v>
      </c>
      <c r="BA20" s="231"/>
      <c r="BB20" s="299">
        <f t="shared" si="28"/>
        <v>245.58093528415557</v>
      </c>
      <c r="BC20" s="299">
        <f t="shared" si="29"/>
        <v>1000</v>
      </c>
      <c r="BD20" s="231"/>
      <c r="BE20" s="299">
        <f t="shared" si="30"/>
        <v>1000</v>
      </c>
      <c r="BF20" s="299">
        <f t="shared" si="31"/>
        <v>1245.5809352841557</v>
      </c>
      <c r="BG20" s="40">
        <f t="shared" si="32"/>
        <v>6227904.676420778</v>
      </c>
      <c r="BH20" s="271"/>
    </row>
    <row r="21" spans="1:60" x14ac:dyDescent="0.3">
      <c r="A21" s="165"/>
      <c r="B21" s="115">
        <f t="shared" si="9"/>
        <v>46568</v>
      </c>
      <c r="C21" s="298">
        <f t="shared" si="10"/>
        <v>0</v>
      </c>
      <c r="D21" s="298">
        <f t="shared" si="11"/>
        <v>10000</v>
      </c>
      <c r="E21" s="150">
        <f t="shared" si="12"/>
        <v>1191.3724152394152</v>
      </c>
      <c r="F21" s="299">
        <f t="shared" si="33"/>
        <v>191.37241523941526</v>
      </c>
      <c r="G21" s="150">
        <f>E21*_xlfn.XLOOKUP(B21,Caixa!$D$3:$BK$3,Caixa!$D$54:$BK$54,0,0)</f>
        <v>29.774416316223789</v>
      </c>
      <c r="H21" s="150">
        <v>0</v>
      </c>
      <c r="I21" s="150">
        <f t="shared" si="13"/>
        <v>221.14683155563904</v>
      </c>
      <c r="J21" s="150">
        <f t="shared" si="14"/>
        <v>1000</v>
      </c>
      <c r="K21" s="150"/>
      <c r="L21" s="150">
        <f t="shared" si="15"/>
        <v>1000</v>
      </c>
      <c r="M21" s="150">
        <f t="shared" si="16"/>
        <v>1221.146831555639</v>
      </c>
      <c r="N21" s="152">
        <f t="shared" si="17"/>
        <v>12211468.31555639</v>
      </c>
      <c r="O21" s="150"/>
      <c r="Q21" s="115">
        <f t="shared" si="38"/>
        <v>46568</v>
      </c>
      <c r="R21" s="298">
        <f>SUMIFS(Inputs!$E$20:$E$31,Inputs!$B$20:$B$31,"&lt;="&amp;Q21,Inputs!$B$20:$B$31,"&gt;"&amp;Q20)</f>
        <v>0</v>
      </c>
      <c r="S21" s="21">
        <f t="shared" si="18"/>
        <v>2500</v>
      </c>
      <c r="T21" s="299">
        <f t="shared" si="19"/>
        <v>1132.5412665310657</v>
      </c>
      <c r="U21" s="299">
        <f t="shared" si="39"/>
        <v>132.5412665310657</v>
      </c>
      <c r="V21" s="299">
        <f>T21*(((1+_xlfn.XLOOKUP(Q21,'Curva DI'!$A$2:$A$352,'Curva DI'!$H$2:$H$352,0,-1))*(1+R$4))^(NETWORKDAYS(Q20,Q21)/252)-1)</f>
        <v>15.643553625041818</v>
      </c>
      <c r="W21" s="235"/>
      <c r="X21" s="299">
        <f t="shared" si="34"/>
        <v>148.18482015610752</v>
      </c>
      <c r="Y21" s="299">
        <f t="shared" si="20"/>
        <v>1000</v>
      </c>
      <c r="Z21" s="235"/>
      <c r="AA21" s="299">
        <f t="shared" si="2"/>
        <v>1000</v>
      </c>
      <c r="AB21" s="299">
        <f t="shared" si="3"/>
        <v>1148.1848201561074</v>
      </c>
      <c r="AC21" s="40">
        <f t="shared" si="4"/>
        <v>2870462.0503902687</v>
      </c>
      <c r="AD21" s="21"/>
      <c r="AF21" s="115">
        <f t="shared" si="21"/>
        <v>46568</v>
      </c>
      <c r="AG21" s="298">
        <f>SUMIFS(Inputs!$J$20:$J$31,Inputs!$G$20:$G$31,"&lt;="&amp;AF21,Inputs!$G$20:$G$31,"&gt;"&amp;AF20)</f>
        <v>0</v>
      </c>
      <c r="AH21" s="21">
        <f t="shared" si="35"/>
        <v>2500</v>
      </c>
      <c r="AI21" s="299">
        <f t="shared" si="22"/>
        <v>1141.7865238582842</v>
      </c>
      <c r="AJ21" s="299">
        <f t="shared" si="40"/>
        <v>141.78652385828414</v>
      </c>
      <c r="AK21" s="299">
        <f>AI21*(((1+_xlfn.XLOOKUP(AF21,'Curva DI'!$A$2:$A$352,'Curva DI'!$H$2:$H$352,0,-1))*(1+AG$4))^(NETWORKDAYS(AF20,AF21)/252)-1)</f>
        <v>16.802456463101397</v>
      </c>
      <c r="AL21" s="235"/>
      <c r="AM21" s="299">
        <f t="shared" si="36"/>
        <v>158.58898032138555</v>
      </c>
      <c r="AN21" s="299">
        <f t="shared" si="23"/>
        <v>1000</v>
      </c>
      <c r="AO21" s="235"/>
      <c r="AP21" s="299">
        <f t="shared" si="5"/>
        <v>1000</v>
      </c>
      <c r="AQ21" s="299">
        <f t="shared" si="6"/>
        <v>1158.5889803213856</v>
      </c>
      <c r="AR21" s="40">
        <f t="shared" si="41"/>
        <v>2896472.4508034643</v>
      </c>
      <c r="AS21" s="21"/>
      <c r="AU21" s="115">
        <f t="shared" si="25"/>
        <v>46568</v>
      </c>
      <c r="AV21" s="298">
        <f>SUMIFS(Inputs!$O$20:$O$31,Inputs!$L$20:$L$31,"&lt;="&amp;AU21,Inputs!$L$20:$L$31,"&gt;"&amp;AU20)</f>
        <v>0</v>
      </c>
      <c r="AW21" s="21">
        <f t="shared" si="37"/>
        <v>5000</v>
      </c>
      <c r="AX21" s="299">
        <f t="shared" si="26"/>
        <v>1245.5809352841557</v>
      </c>
      <c r="AY21" s="299">
        <f t="shared" si="27"/>
        <v>245.58093528415557</v>
      </c>
      <c r="AZ21" s="299">
        <f>AX21*_xlfn.XLOOKUP(AU21,Caixa!$D$3:$BK$3,Caixa!$D$55:$BK$55,0,0)</f>
        <v>43.325827588376121</v>
      </c>
      <c r="BA21" s="231"/>
      <c r="BB21" s="299">
        <f t="shared" si="28"/>
        <v>288.90676287253171</v>
      </c>
      <c r="BC21" s="299">
        <f t="shared" si="29"/>
        <v>1000</v>
      </c>
      <c r="BD21" s="231"/>
      <c r="BE21" s="299">
        <f t="shared" si="30"/>
        <v>1000</v>
      </c>
      <c r="BF21" s="299">
        <f t="shared" si="31"/>
        <v>1288.9067628725318</v>
      </c>
      <c r="BG21" s="40">
        <f t="shared" si="32"/>
        <v>6444533.8143626591</v>
      </c>
      <c r="BH21" s="271"/>
    </row>
    <row r="22" spans="1:60" x14ac:dyDescent="0.3">
      <c r="A22" s="165"/>
      <c r="B22" s="115">
        <f t="shared" si="9"/>
        <v>46599</v>
      </c>
      <c r="C22" s="298">
        <f t="shared" si="10"/>
        <v>0</v>
      </c>
      <c r="D22" s="298">
        <f t="shared" si="11"/>
        <v>10000</v>
      </c>
      <c r="E22" s="150">
        <f t="shared" si="12"/>
        <v>1221.146831555639</v>
      </c>
      <c r="F22" s="299">
        <f t="shared" si="33"/>
        <v>221.14683155563904</v>
      </c>
      <c r="G22" s="150">
        <f>E22*_xlfn.XLOOKUP(B22,Caixa!$D$3:$BK$3,Caixa!$D$54:$BK$54,0,0)</f>
        <v>29.774929186333058</v>
      </c>
      <c r="H22" s="150">
        <v>0</v>
      </c>
      <c r="I22" s="150">
        <f t="shared" si="13"/>
        <v>250.92176074197209</v>
      </c>
      <c r="J22" s="150">
        <f t="shared" si="14"/>
        <v>1000</v>
      </c>
      <c r="K22" s="150"/>
      <c r="L22" s="150">
        <f t="shared" si="15"/>
        <v>1000</v>
      </c>
      <c r="M22" s="150">
        <f t="shared" si="16"/>
        <v>1250.9217607419721</v>
      </c>
      <c r="N22" s="152">
        <f t="shared" si="17"/>
        <v>12509217.607419722</v>
      </c>
      <c r="O22" s="150"/>
      <c r="Q22" s="115">
        <f t="shared" si="38"/>
        <v>46599</v>
      </c>
      <c r="R22" s="298">
        <f>SUMIFS(Inputs!$E$20:$E$31,Inputs!$B$20:$B$31,"&lt;="&amp;Q22,Inputs!$B$20:$B$31,"&gt;"&amp;Q21)</f>
        <v>0</v>
      </c>
      <c r="S22" s="21">
        <f t="shared" si="18"/>
        <v>2500</v>
      </c>
      <c r="T22" s="299">
        <f t="shared" si="19"/>
        <v>1148.1848201561074</v>
      </c>
      <c r="U22" s="299">
        <f t="shared" si="39"/>
        <v>148.18482015610752</v>
      </c>
      <c r="V22" s="299">
        <f>T22*(((1+_xlfn.XLOOKUP(Q22,'Curva DI'!$A$2:$A$352,'Curva DI'!$H$2:$H$352,0,-1))*(1+R$4))^(NETWORKDAYS(Q21,Q22)/252)-1)</f>
        <v>15.887604569532469</v>
      </c>
      <c r="W22" s="235"/>
      <c r="X22" s="299">
        <f t="shared" si="34"/>
        <v>164.07242472563999</v>
      </c>
      <c r="Y22" s="299">
        <f t="shared" si="20"/>
        <v>1000</v>
      </c>
      <c r="Z22" s="235"/>
      <c r="AA22" s="299">
        <f t="shared" si="2"/>
        <v>1000</v>
      </c>
      <c r="AB22" s="299">
        <f t="shared" si="3"/>
        <v>1164.0724247256401</v>
      </c>
      <c r="AC22" s="40">
        <f t="shared" si="4"/>
        <v>2910181.0618141</v>
      </c>
      <c r="AD22" s="21"/>
      <c r="AF22" s="115">
        <f t="shared" si="21"/>
        <v>46599</v>
      </c>
      <c r="AG22" s="298">
        <f>SUMIFS(Inputs!$J$20:$J$31,Inputs!$G$20:$G$31,"&lt;="&amp;AF22,Inputs!$G$20:$G$31,"&gt;"&amp;AF21)</f>
        <v>0</v>
      </c>
      <c r="AH22" s="21">
        <f t="shared" si="35"/>
        <v>2500</v>
      </c>
      <c r="AI22" s="299">
        <f t="shared" si="22"/>
        <v>1158.5889803213856</v>
      </c>
      <c r="AJ22" s="299">
        <f t="shared" si="40"/>
        <v>158.58898032138555</v>
      </c>
      <c r="AK22" s="299">
        <f>AI22*(((1+_xlfn.XLOOKUP(AF22,'Curva DI'!$A$2:$A$352,'Curva DI'!$H$2:$H$352,0,-1))*(1+AG$4))^(NETWORKDAYS(AF21,AF22)/252)-1)</f>
        <v>17.07796874941662</v>
      </c>
      <c r="AL22" s="235"/>
      <c r="AM22" s="299">
        <f t="shared" si="36"/>
        <v>175.66694907080216</v>
      </c>
      <c r="AN22" s="299">
        <f t="shared" si="23"/>
        <v>1000</v>
      </c>
      <c r="AO22" s="235"/>
      <c r="AP22" s="299">
        <f t="shared" si="5"/>
        <v>1000</v>
      </c>
      <c r="AQ22" s="299">
        <f t="shared" si="6"/>
        <v>1175.6669490708023</v>
      </c>
      <c r="AR22" s="40">
        <f t="shared" si="41"/>
        <v>2939167.3726770058</v>
      </c>
      <c r="AS22" s="21"/>
      <c r="AU22" s="115">
        <f t="shared" si="25"/>
        <v>46599</v>
      </c>
      <c r="AV22" s="298">
        <f>SUMIFS(Inputs!$O$20:$O$31,Inputs!$L$20:$L$31,"&lt;="&amp;AU22,Inputs!$L$20:$L$31,"&gt;"&amp;AU21)</f>
        <v>0</v>
      </c>
      <c r="AW22" s="21">
        <f t="shared" si="37"/>
        <v>5000</v>
      </c>
      <c r="AX22" s="299">
        <f t="shared" si="26"/>
        <v>1288.9067628725318</v>
      </c>
      <c r="AY22" s="299">
        <f t="shared" si="27"/>
        <v>288.90676287253171</v>
      </c>
      <c r="AZ22" s="299">
        <f>AX22*_xlfn.XLOOKUP(AU22,Caixa!$D$3:$BK$3,Caixa!$D$55:$BK$55,0,0)</f>
        <v>43.067071713191524</v>
      </c>
      <c r="BA22" s="231"/>
      <c r="BB22" s="299">
        <f t="shared" si="28"/>
        <v>331.97383458572324</v>
      </c>
      <c r="BC22" s="299">
        <f t="shared" si="29"/>
        <v>1000</v>
      </c>
      <c r="BD22" s="231"/>
      <c r="BE22" s="299">
        <f t="shared" si="30"/>
        <v>1000</v>
      </c>
      <c r="BF22" s="299">
        <f t="shared" si="31"/>
        <v>1331.9738345857231</v>
      </c>
      <c r="BG22" s="40">
        <f t="shared" si="32"/>
        <v>6659869.1729286155</v>
      </c>
      <c r="BH22" s="271"/>
    </row>
    <row r="23" spans="1:60" x14ac:dyDescent="0.3">
      <c r="B23" s="115">
        <f t="shared" si="9"/>
        <v>46630</v>
      </c>
      <c r="C23" s="298">
        <f t="shared" si="10"/>
        <v>0</v>
      </c>
      <c r="D23" s="298">
        <f t="shared" si="11"/>
        <v>10000</v>
      </c>
      <c r="E23" s="150">
        <f t="shared" si="12"/>
        <v>1250.9217607419721</v>
      </c>
      <c r="F23" s="299">
        <f t="shared" si="33"/>
        <v>250.92176074197209</v>
      </c>
      <c r="G23" s="150">
        <f>E23*_xlfn.XLOOKUP(B23,Caixa!$D$3:$BK$3,Caixa!$D$54:$BK$54,0,0)</f>
        <v>34.742141125062922</v>
      </c>
      <c r="H23" s="150">
        <v>0</v>
      </c>
      <c r="I23" s="150">
        <f t="shared" si="13"/>
        <v>285.66390186703501</v>
      </c>
      <c r="J23" s="150">
        <f t="shared" si="14"/>
        <v>1000</v>
      </c>
      <c r="K23" s="150"/>
      <c r="L23" s="150">
        <f t="shared" si="15"/>
        <v>1000</v>
      </c>
      <c r="M23" s="150">
        <f t="shared" si="16"/>
        <v>1285.6639018670351</v>
      </c>
      <c r="N23" s="152">
        <f t="shared" si="17"/>
        <v>12856639.01867035</v>
      </c>
      <c r="O23" s="150"/>
      <c r="P23" s="1"/>
      <c r="Q23" s="115">
        <f t="shared" si="38"/>
        <v>46630</v>
      </c>
      <c r="R23" s="298">
        <f>SUMIFS(Inputs!$E$20:$E$31,Inputs!$B$20:$B$31,"&lt;="&amp;Q23,Inputs!$B$20:$B$31,"&gt;"&amp;Q22)</f>
        <v>0</v>
      </c>
      <c r="S23" s="21">
        <f t="shared" si="18"/>
        <v>2500</v>
      </c>
      <c r="T23" s="299">
        <f t="shared" si="19"/>
        <v>1164.0724247256401</v>
      </c>
      <c r="U23" s="299">
        <f t="shared" si="39"/>
        <v>164.07242472563999</v>
      </c>
      <c r="V23" s="299">
        <f>T23*(((1+_xlfn.XLOOKUP(Q23,'Curva DI'!$A$2:$A$352,'Curva DI'!$H$2:$H$352,0,-1))*(1+R$4))^(NETWORKDAYS(Q22,Q23)/252)-1)</f>
        <v>15.447672795627616</v>
      </c>
      <c r="W23" s="235">
        <v>29.120374856097616</v>
      </c>
      <c r="X23" s="299">
        <f t="shared" si="34"/>
        <v>150.39972266517</v>
      </c>
      <c r="Y23" s="299">
        <f t="shared" si="20"/>
        <v>1000</v>
      </c>
      <c r="Z23" s="235">
        <v>83.333333333333329</v>
      </c>
      <c r="AA23" s="299">
        <f t="shared" si="2"/>
        <v>916.66666666666663</v>
      </c>
      <c r="AB23" s="299">
        <f t="shared" si="3"/>
        <v>1067.0663893318367</v>
      </c>
      <c r="AC23" s="40">
        <f t="shared" si="4"/>
        <v>2667665.9733295916</v>
      </c>
      <c r="AD23" s="21"/>
      <c r="AF23" s="115">
        <f t="shared" si="21"/>
        <v>46630</v>
      </c>
      <c r="AG23" s="298">
        <f>SUMIFS(Inputs!$J$20:$J$31,Inputs!$G$20:$G$31,"&lt;="&amp;AF23,Inputs!$G$20:$G$31,"&gt;"&amp;AF22)</f>
        <v>0</v>
      </c>
      <c r="AH23" s="21">
        <f t="shared" si="35"/>
        <v>2500</v>
      </c>
      <c r="AI23" s="299">
        <f t="shared" si="22"/>
        <v>1175.6669490708023</v>
      </c>
      <c r="AJ23" s="299">
        <f t="shared" si="40"/>
        <v>175.66694907080216</v>
      </c>
      <c r="AK23" s="299">
        <f>AI23*(((1+_xlfn.XLOOKUP(AF23,'Curva DI'!$A$2:$A$352,'Curva DI'!$H$2:$H$352,0,-1))*(1+AG$4))^(NETWORKDAYS(AF22,AF23)/252)-1)</f>
        <v>16.616607236766473</v>
      </c>
      <c r="AL23" s="235"/>
      <c r="AM23" s="299">
        <f t="shared" si="36"/>
        <v>192.28355630756863</v>
      </c>
      <c r="AN23" s="299">
        <f t="shared" si="23"/>
        <v>1000</v>
      </c>
      <c r="AO23" s="235"/>
      <c r="AP23" s="299">
        <f t="shared" si="5"/>
        <v>1000</v>
      </c>
      <c r="AQ23" s="299">
        <f t="shared" si="6"/>
        <v>1192.2835563075687</v>
      </c>
      <c r="AR23" s="40">
        <f t="shared" si="41"/>
        <v>2980708.8907689219</v>
      </c>
      <c r="AS23" s="21"/>
      <c r="AU23" s="115">
        <f t="shared" si="25"/>
        <v>46630</v>
      </c>
      <c r="AV23" s="298">
        <f>SUMIFS(Inputs!$O$20:$O$31,Inputs!$L$20:$L$31,"&lt;="&amp;AU23,Inputs!$L$20:$L$31,"&gt;"&amp;AU22)</f>
        <v>0</v>
      </c>
      <c r="AW23" s="21">
        <f t="shared" si="37"/>
        <v>5000</v>
      </c>
      <c r="AX23" s="299">
        <f t="shared" si="26"/>
        <v>1331.9738345857231</v>
      </c>
      <c r="AY23" s="299">
        <f t="shared" si="27"/>
        <v>331.97383458572324</v>
      </c>
      <c r="AZ23" s="299">
        <f>AX23*_xlfn.XLOOKUP(AU23,Caixa!$D$3:$BK$3,Caixa!$D$55:$BK$55,0,0)</f>
        <v>53.452142233928576</v>
      </c>
      <c r="BA23" s="231"/>
      <c r="BB23" s="299">
        <f t="shared" si="28"/>
        <v>385.42597681965179</v>
      </c>
      <c r="BC23" s="299">
        <f t="shared" si="29"/>
        <v>1000</v>
      </c>
      <c r="BD23" s="231"/>
      <c r="BE23" s="299">
        <f t="shared" si="30"/>
        <v>1000</v>
      </c>
      <c r="BF23" s="299">
        <f t="shared" si="31"/>
        <v>1385.4259768196519</v>
      </c>
      <c r="BG23" s="40">
        <f t="shared" si="32"/>
        <v>6927129.8840982588</v>
      </c>
      <c r="BH23" s="271"/>
    </row>
    <row r="24" spans="1:60" x14ac:dyDescent="0.3">
      <c r="B24" s="115">
        <f t="shared" si="9"/>
        <v>46660</v>
      </c>
      <c r="C24" s="298">
        <f t="shared" si="10"/>
        <v>0</v>
      </c>
      <c r="D24" s="298">
        <f t="shared" si="11"/>
        <v>10000</v>
      </c>
      <c r="E24" s="150">
        <f t="shared" si="12"/>
        <v>1285.6639018670351</v>
      </c>
      <c r="F24" s="299">
        <f t="shared" si="33"/>
        <v>285.66390186703501</v>
      </c>
      <c r="G24" s="150">
        <f>E24*_xlfn.XLOOKUP(B24,Caixa!$D$3:$BK$3,Caixa!$D$54:$BK$54,0,0)</f>
        <v>33.40008874690966</v>
      </c>
      <c r="H24" s="150">
        <v>0</v>
      </c>
      <c r="I24" s="150">
        <f t="shared" si="13"/>
        <v>319.06399061394467</v>
      </c>
      <c r="J24" s="150">
        <f t="shared" si="14"/>
        <v>1000</v>
      </c>
      <c r="K24" s="150"/>
      <c r="L24" s="150">
        <f t="shared" si="15"/>
        <v>1000</v>
      </c>
      <c r="M24" s="150">
        <f t="shared" si="16"/>
        <v>1319.0639906139447</v>
      </c>
      <c r="N24" s="152">
        <f t="shared" si="17"/>
        <v>13190639.906139446</v>
      </c>
      <c r="O24" s="150"/>
      <c r="P24" s="1"/>
      <c r="Q24" s="115">
        <f t="shared" si="38"/>
        <v>46660</v>
      </c>
      <c r="R24" s="298">
        <f>SUMIFS(Inputs!$E$20:$E$31,Inputs!$B$20:$B$31,"&lt;="&amp;Q24,Inputs!$B$20:$B$31,"&gt;"&amp;Q23)</f>
        <v>0</v>
      </c>
      <c r="S24" s="21">
        <f>SUMIFS(Inputs!$C$20:$C$31,Inputs!$B$20:$B$31,"&lt;="&amp;Q24,Inputs!$B$20:$B$31,"&gt;="&amp;Q23)+S23</f>
        <v>2500</v>
      </c>
      <c r="T24" s="299">
        <f t="shared" si="19"/>
        <v>1067.0663893318367</v>
      </c>
      <c r="U24" s="299">
        <f t="shared" si="39"/>
        <v>150.39972266517</v>
      </c>
      <c r="V24" s="299">
        <f>T24*(((1+_xlfn.XLOOKUP(Q24,'Curva DI'!$A$2:$A$352,'Curva DI'!$H$2:$H$352,0,-1))*(1+R$4))^(NETWORKDAYS(Q23,Q24)/252)-1)</f>
        <v>14.834443131114702</v>
      </c>
      <c r="W24" s="235">
        <v>28.507145191584701</v>
      </c>
      <c r="X24" s="299">
        <f t="shared" si="34"/>
        <v>136.72702060470002</v>
      </c>
      <c r="Y24" s="299">
        <f t="shared" si="20"/>
        <v>916.66666666666663</v>
      </c>
      <c r="Z24" s="235">
        <v>83.333333333333329</v>
      </c>
      <c r="AA24" s="299">
        <f t="shared" si="2"/>
        <v>833.33333333333326</v>
      </c>
      <c r="AB24" s="299">
        <f t="shared" si="3"/>
        <v>970.06035393803324</v>
      </c>
      <c r="AC24" s="40">
        <f t="shared" si="4"/>
        <v>2425150.8848450831</v>
      </c>
      <c r="AD24" s="21"/>
      <c r="AF24" s="115">
        <f t="shared" si="21"/>
        <v>46660</v>
      </c>
      <c r="AG24" s="298">
        <f>SUMIFS(Inputs!$J$20:$J$31,Inputs!$G$20:$G$31,"&lt;="&amp;AF24,Inputs!$G$20:$G$31,"&gt;"&amp;AF23)</f>
        <v>0</v>
      </c>
      <c r="AH24" s="21">
        <f t="shared" si="35"/>
        <v>2500</v>
      </c>
      <c r="AI24" s="299">
        <f t="shared" si="22"/>
        <v>1192.2835563075687</v>
      </c>
      <c r="AJ24" s="299">
        <f t="shared" si="40"/>
        <v>192.28355630756863</v>
      </c>
      <c r="AK24" s="299">
        <f>AI24*(((1+_xlfn.XLOOKUP(AF24,'Curva DI'!$A$2:$A$352,'Curva DI'!$H$2:$H$352,0,-1))*(1+AG$4))^(NETWORKDAYS(AF23,AF24)/252)-1)</f>
        <v>17.652123386780843</v>
      </c>
      <c r="AL24" s="235"/>
      <c r="AM24" s="299">
        <f t="shared" si="36"/>
        <v>209.93567969434946</v>
      </c>
      <c r="AN24" s="299">
        <f t="shared" si="23"/>
        <v>1000</v>
      </c>
      <c r="AO24" s="235"/>
      <c r="AP24" s="299">
        <f t="shared" si="5"/>
        <v>1000</v>
      </c>
      <c r="AQ24" s="299">
        <f t="shared" si="6"/>
        <v>1209.9356796943493</v>
      </c>
      <c r="AR24" s="40">
        <f t="shared" si="41"/>
        <v>3024839.1992358733</v>
      </c>
      <c r="AS24" s="21"/>
      <c r="AU24" s="115">
        <f t="shared" si="25"/>
        <v>46660</v>
      </c>
      <c r="AV24" s="298">
        <f>SUMIFS(Inputs!$O$20:$O$31,Inputs!$L$20:$L$31,"&lt;="&amp;AU24,Inputs!$L$20:$L$31,"&gt;"&amp;AU23)</f>
        <v>0</v>
      </c>
      <c r="AW24" s="21">
        <f t="shared" si="37"/>
        <v>5000</v>
      </c>
      <c r="AX24" s="299">
        <f t="shared" si="26"/>
        <v>1385.4259768196519</v>
      </c>
      <c r="AY24" s="299">
        <f t="shared" si="27"/>
        <v>385.42597681965179</v>
      </c>
      <c r="AZ24" s="299">
        <f>AX24*_xlfn.XLOOKUP(AU24,Caixa!$D$3:$BK$3,Caixa!$D$55:$BK$55,0,0)</f>
        <v>49.096184391501325</v>
      </c>
      <c r="BA24" s="231"/>
      <c r="BB24" s="299">
        <f t="shared" si="28"/>
        <v>434.5221612111531</v>
      </c>
      <c r="BC24" s="299">
        <f t="shared" si="29"/>
        <v>1000</v>
      </c>
      <c r="BD24" s="231"/>
      <c r="BE24" s="299">
        <f t="shared" si="30"/>
        <v>1000</v>
      </c>
      <c r="BF24" s="299">
        <f t="shared" si="31"/>
        <v>1434.5221612111532</v>
      </c>
      <c r="BG24" s="40">
        <f t="shared" si="32"/>
        <v>7172610.8060557656</v>
      </c>
      <c r="BH24" s="271"/>
    </row>
    <row r="25" spans="1:60" x14ac:dyDescent="0.3">
      <c r="B25" s="115">
        <f t="shared" si="9"/>
        <v>46691</v>
      </c>
      <c r="C25" s="298">
        <f t="shared" si="10"/>
        <v>0</v>
      </c>
      <c r="D25" s="298">
        <f t="shared" si="11"/>
        <v>10000</v>
      </c>
      <c r="E25" s="150">
        <f t="shared" si="12"/>
        <v>1319.0639906139447</v>
      </c>
      <c r="F25" s="299">
        <f t="shared" si="33"/>
        <v>319.06399061394467</v>
      </c>
      <c r="G25" s="150">
        <f>E25*_xlfn.XLOOKUP(B25,Caixa!$D$3:$BK$3,Caixa!$D$54:$BK$54,0,0)</f>
        <v>34.13643862078532</v>
      </c>
      <c r="H25" s="150">
        <v>0</v>
      </c>
      <c r="I25" s="150">
        <f t="shared" si="13"/>
        <v>353.20042923473</v>
      </c>
      <c r="J25" s="150">
        <f t="shared" si="14"/>
        <v>1000</v>
      </c>
      <c r="K25" s="150"/>
      <c r="L25" s="150">
        <f t="shared" si="15"/>
        <v>1000</v>
      </c>
      <c r="M25" s="150">
        <f t="shared" si="16"/>
        <v>1353.2004292347301</v>
      </c>
      <c r="N25" s="152">
        <f t="shared" si="17"/>
        <v>13532004.292347301</v>
      </c>
      <c r="O25" s="150"/>
      <c r="P25" s="1"/>
      <c r="Q25" s="115">
        <f t="shared" si="38"/>
        <v>46691</v>
      </c>
      <c r="R25" s="298">
        <f>SUMIFS(Inputs!$E$20:$E$31,Inputs!$B$20:$B$31,"&lt;="&amp;Q25,Inputs!$B$20:$B$31,"&gt;"&amp;Q24)</f>
        <v>0</v>
      </c>
      <c r="S25" s="21">
        <f>SUMIFS(Inputs!$C$20:$C$31,Inputs!$B$20:$B$31,"&lt;="&amp;Q25,Inputs!$B$20:$B$31,"&gt;="&amp;Q24)+S24</f>
        <v>2500</v>
      </c>
      <c r="T25" s="299">
        <f t="shared" si="19"/>
        <v>970.06035393803324</v>
      </c>
      <c r="U25" s="299">
        <f t="shared" si="39"/>
        <v>136.72702060470002</v>
      </c>
      <c r="V25" s="299">
        <f>T25*(((1+_xlfn.XLOOKUP(Q25,'Curva DI'!$A$2:$A$352,'Curva DI'!$H$2:$H$352,0,-1))*(1+R$4))^(NETWORKDAYS(Q24,Q25)/252)-1)</f>
        <v>12.93324953069923</v>
      </c>
      <c r="W25" s="235">
        <v>26.60595159116923</v>
      </c>
      <c r="X25" s="299">
        <f t="shared" si="34"/>
        <v>123.05431854423003</v>
      </c>
      <c r="Y25" s="299">
        <f t="shared" si="20"/>
        <v>833.33333333333326</v>
      </c>
      <c r="Z25" s="235">
        <v>83.333333333333329</v>
      </c>
      <c r="AA25" s="299">
        <f t="shared" si="2"/>
        <v>749.99999999999989</v>
      </c>
      <c r="AB25" s="299">
        <f t="shared" si="3"/>
        <v>873.05431854422989</v>
      </c>
      <c r="AC25" s="40">
        <f t="shared" si="4"/>
        <v>2182635.7963605747</v>
      </c>
      <c r="AD25" s="21"/>
      <c r="AF25" s="115">
        <f t="shared" si="21"/>
        <v>46691</v>
      </c>
      <c r="AG25" s="298">
        <f>SUMIFS(Inputs!$J$20:$J$31,Inputs!$G$20:$G$31,"&lt;="&amp;AF25,Inputs!$G$20:$G$31,"&gt;"&amp;AF24)</f>
        <v>0</v>
      </c>
      <c r="AH25" s="21">
        <f t="shared" si="35"/>
        <v>2500</v>
      </c>
      <c r="AI25" s="299">
        <f t="shared" si="22"/>
        <v>1209.9356796943493</v>
      </c>
      <c r="AJ25" s="299">
        <f t="shared" si="40"/>
        <v>209.93567969434946</v>
      </c>
      <c r="AK25" s="299">
        <f>AI25*(((1+_xlfn.XLOOKUP(AF25,'Curva DI'!$A$2:$A$352,'Curva DI'!$H$2:$H$352,0,-1))*(1+AG$4))^(NETWORKDAYS(AF24,AF25)/252)-1)</f>
        <v>17.176089887255639</v>
      </c>
      <c r="AL25" s="235"/>
      <c r="AM25" s="299">
        <f t="shared" si="36"/>
        <v>227.1117695816051</v>
      </c>
      <c r="AN25" s="299">
        <f t="shared" si="23"/>
        <v>1000</v>
      </c>
      <c r="AO25" s="235"/>
      <c r="AP25" s="299">
        <f t="shared" si="5"/>
        <v>1000</v>
      </c>
      <c r="AQ25" s="299">
        <f t="shared" si="6"/>
        <v>1227.1117695816051</v>
      </c>
      <c r="AR25" s="40">
        <f t="shared" si="41"/>
        <v>3067779.4239540128</v>
      </c>
      <c r="AS25" s="21"/>
      <c r="AU25" s="115">
        <f t="shared" si="25"/>
        <v>46691</v>
      </c>
      <c r="AV25" s="298">
        <f>SUMIFS(Inputs!$O$20:$O$31,Inputs!$L$20:$L$31,"&lt;="&amp;AU25,Inputs!$L$20:$L$31,"&gt;"&amp;AU24)</f>
        <v>0</v>
      </c>
      <c r="AW25" s="21">
        <f t="shared" si="37"/>
        <v>5000</v>
      </c>
      <c r="AX25" s="299">
        <f t="shared" si="26"/>
        <v>1434.5221612111532</v>
      </c>
      <c r="AY25" s="299">
        <f t="shared" si="27"/>
        <v>434.5221612111531</v>
      </c>
      <c r="AZ25" s="299">
        <f>AX25*_xlfn.XLOOKUP(AU25,Caixa!$D$3:$BK$3,Caixa!$D$55:$BK$55,0,0)</f>
        <v>50.278118326615576</v>
      </c>
      <c r="BA25" s="231"/>
      <c r="BB25" s="299">
        <f t="shared" si="28"/>
        <v>484.80027953776869</v>
      </c>
      <c r="BC25" s="299">
        <f t="shared" si="29"/>
        <v>1000</v>
      </c>
      <c r="BD25" s="231"/>
      <c r="BE25" s="299">
        <f t="shared" si="30"/>
        <v>1000</v>
      </c>
      <c r="BF25" s="299">
        <f t="shared" si="31"/>
        <v>1484.8002795377688</v>
      </c>
      <c r="BG25" s="40">
        <f t="shared" si="32"/>
        <v>7424001.3976888442</v>
      </c>
      <c r="BH25" s="271"/>
    </row>
    <row r="26" spans="1:60" x14ac:dyDescent="0.3">
      <c r="B26" s="115">
        <f t="shared" si="9"/>
        <v>46721</v>
      </c>
      <c r="C26" s="298">
        <f t="shared" si="10"/>
        <v>0</v>
      </c>
      <c r="D26" s="298">
        <f t="shared" si="11"/>
        <v>10000</v>
      </c>
      <c r="E26" s="150">
        <f t="shared" si="12"/>
        <v>1353.2004292347301</v>
      </c>
      <c r="F26" s="299">
        <f t="shared" si="33"/>
        <v>353.20042923473</v>
      </c>
      <c r="G26" s="150">
        <f>E26*_xlfn.XLOOKUP(B26,Caixa!$D$3:$BK$3,Caixa!$D$54:$BK$54,0,0)</f>
        <v>37.702082720672223</v>
      </c>
      <c r="H26" s="150">
        <v>0</v>
      </c>
      <c r="I26" s="150">
        <f t="shared" si="13"/>
        <v>390.90251195540225</v>
      </c>
      <c r="J26" s="150">
        <f t="shared" si="14"/>
        <v>1000</v>
      </c>
      <c r="K26" s="150"/>
      <c r="L26" s="150">
        <f t="shared" si="15"/>
        <v>1000</v>
      </c>
      <c r="M26" s="150">
        <f t="shared" si="16"/>
        <v>1390.9025119554021</v>
      </c>
      <c r="N26" s="152">
        <f t="shared" si="17"/>
        <v>13909025.11955402</v>
      </c>
      <c r="O26" s="150"/>
      <c r="P26" s="1"/>
      <c r="Q26" s="115">
        <f t="shared" si="38"/>
        <v>46721</v>
      </c>
      <c r="R26" s="298">
        <f>SUMIFS(Inputs!$E$20:$E$31,Inputs!$B$20:$B$31,"&lt;="&amp;Q26,Inputs!$B$20:$B$31,"&gt;"&amp;Q25)</f>
        <v>0</v>
      </c>
      <c r="S26" s="21">
        <f>SUMIFS(Inputs!$C$20:$C$31,Inputs!$B$20:$B$31,"&lt;="&amp;Q26,Inputs!$B$20:$B$31,"&gt;="&amp;Q25)+S25</f>
        <v>2500</v>
      </c>
      <c r="T26" s="299">
        <f t="shared" si="19"/>
        <v>873.05431854422989</v>
      </c>
      <c r="U26" s="299">
        <f t="shared" si="39"/>
        <v>123.05431854423003</v>
      </c>
      <c r="V26" s="299">
        <f>T26*(((1+_xlfn.XLOOKUP(Q26,'Curva DI'!$A$2:$A$352,'Curva DI'!$H$2:$H$352,0,-1))*(1+R$4))^(NETWORKDAYS(Q25,Q26)/252)-1)</f>
        <v>11.673763215092977</v>
      </c>
      <c r="W26" s="235">
        <v>25.346465275562977</v>
      </c>
      <c r="X26" s="299">
        <f t="shared" si="34"/>
        <v>109.38161648376003</v>
      </c>
      <c r="Y26" s="299">
        <f t="shared" si="20"/>
        <v>749.99999999999989</v>
      </c>
      <c r="Z26" s="235">
        <v>83.333333333333329</v>
      </c>
      <c r="AA26" s="299">
        <f t="shared" si="2"/>
        <v>666.66666666666652</v>
      </c>
      <c r="AB26" s="299">
        <f t="shared" si="3"/>
        <v>776.04828315042653</v>
      </c>
      <c r="AC26" s="40">
        <f t="shared" si="4"/>
        <v>1940120.7078760662</v>
      </c>
      <c r="AD26" s="21"/>
      <c r="AF26" s="115">
        <f t="shared" si="21"/>
        <v>46721</v>
      </c>
      <c r="AG26" s="298">
        <f>SUMIFS(Inputs!$J$20:$J$31,Inputs!$G$20:$G$31,"&lt;="&amp;AF26,Inputs!$G$20:$G$31,"&gt;"&amp;AF25)</f>
        <v>0</v>
      </c>
      <c r="AH26" s="21">
        <f t="shared" si="35"/>
        <v>2500</v>
      </c>
      <c r="AI26" s="299">
        <f t="shared" si="22"/>
        <v>1227.1117695816051</v>
      </c>
      <c r="AJ26" s="299">
        <f t="shared" si="40"/>
        <v>227.1117695816051</v>
      </c>
      <c r="AK26" s="299">
        <f>AI26*(((1+_xlfn.XLOOKUP(AF26,'Curva DI'!$A$2:$A$352,'Curva DI'!$H$2:$H$352,0,-1))*(1+AG$4))^(NETWORKDAYS(AF25,AF26)/252)-1)</f>
        <v>17.467521476890632</v>
      </c>
      <c r="AL26" s="235"/>
      <c r="AM26" s="299">
        <f t="shared" si="36"/>
        <v>244.57929105849573</v>
      </c>
      <c r="AN26" s="299">
        <f t="shared" si="23"/>
        <v>1000</v>
      </c>
      <c r="AO26" s="235"/>
      <c r="AP26" s="299">
        <f t="shared" si="5"/>
        <v>1000</v>
      </c>
      <c r="AQ26" s="299">
        <f t="shared" si="6"/>
        <v>1244.5792910584958</v>
      </c>
      <c r="AR26" s="40">
        <f t="shared" si="41"/>
        <v>3111448.2276462396</v>
      </c>
      <c r="AS26" s="21"/>
      <c r="AU26" s="115">
        <f t="shared" si="25"/>
        <v>46721</v>
      </c>
      <c r="AV26" s="298">
        <f>SUMIFS(Inputs!$O$20:$O$31,Inputs!$L$20:$L$31,"&lt;="&amp;AU26,Inputs!$L$20:$L$31,"&gt;"&amp;AU25)</f>
        <v>0</v>
      </c>
      <c r="AW26" s="21">
        <f t="shared" si="37"/>
        <v>5000</v>
      </c>
      <c r="AX26" s="299">
        <f t="shared" si="26"/>
        <v>1484.8002795377688</v>
      </c>
      <c r="AY26" s="299">
        <f t="shared" si="27"/>
        <v>484.80027953776869</v>
      </c>
      <c r="AZ26" s="299">
        <f>AX26*_xlfn.XLOOKUP(AU26,Caixa!$D$3:$BK$3,Caixa!$D$55:$BK$55,0,0)</f>
        <v>56.054801371679645</v>
      </c>
      <c r="BA26" s="231"/>
      <c r="BB26" s="299">
        <f t="shared" si="28"/>
        <v>540.85508090944836</v>
      </c>
      <c r="BC26" s="299">
        <f t="shared" si="29"/>
        <v>1000</v>
      </c>
      <c r="BD26" s="231"/>
      <c r="BE26" s="299">
        <f t="shared" si="30"/>
        <v>1000</v>
      </c>
      <c r="BF26" s="299">
        <f t="shared" si="31"/>
        <v>1540.8550809094484</v>
      </c>
      <c r="BG26" s="40">
        <f t="shared" si="32"/>
        <v>7704275.4045472415</v>
      </c>
      <c r="BH26" s="271"/>
    </row>
    <row r="27" spans="1:60" x14ac:dyDescent="0.3">
      <c r="B27" s="115">
        <f t="shared" si="9"/>
        <v>46752</v>
      </c>
      <c r="C27" s="298">
        <f t="shared" si="10"/>
        <v>0</v>
      </c>
      <c r="D27" s="298">
        <f t="shared" si="11"/>
        <v>10000</v>
      </c>
      <c r="E27" s="150">
        <f t="shared" si="12"/>
        <v>1390.9025119554021</v>
      </c>
      <c r="F27" s="299">
        <f t="shared" si="33"/>
        <v>390.90251195540225</v>
      </c>
      <c r="G27" s="150">
        <f>E27*_xlfn.XLOOKUP(B27,Caixa!$D$3:$BK$3,Caixa!$D$54:$BK$54,0,0)</f>
        <v>36.06539931107536</v>
      </c>
      <c r="H27" s="150">
        <v>0</v>
      </c>
      <c r="I27" s="150">
        <f t="shared" si="13"/>
        <v>426.96791126647759</v>
      </c>
      <c r="J27" s="150">
        <f t="shared" si="14"/>
        <v>1000</v>
      </c>
      <c r="K27" s="150"/>
      <c r="L27" s="150">
        <f t="shared" si="15"/>
        <v>1000</v>
      </c>
      <c r="M27" s="150">
        <f t="shared" si="16"/>
        <v>1426.9679112664776</v>
      </c>
      <c r="N27" s="152">
        <f t="shared" si="17"/>
        <v>14269679.112664776</v>
      </c>
      <c r="O27" s="150"/>
      <c r="P27" s="1"/>
      <c r="Q27" s="115">
        <f t="shared" si="38"/>
        <v>46752</v>
      </c>
      <c r="R27" s="298">
        <f>SUMIFS(Inputs!$E$20:$E$31,Inputs!$B$20:$B$31,"&lt;="&amp;Q27,Inputs!$B$20:$B$31,"&gt;"&amp;Q26)</f>
        <v>0</v>
      </c>
      <c r="S27" s="21">
        <f>SUMIFS(Inputs!$C$20:$C$31,Inputs!$B$20:$B$31,"&lt;="&amp;Q27,Inputs!$B$20:$B$31,"&gt;="&amp;Q26)+S26</f>
        <v>2500</v>
      </c>
      <c r="T27" s="299">
        <f t="shared" si="19"/>
        <v>776.04828315042653</v>
      </c>
      <c r="U27" s="299">
        <f t="shared" si="39"/>
        <v>109.38161648376003</v>
      </c>
      <c r="V27" s="299">
        <f>T27*(((1+_xlfn.XLOOKUP(Q27,'Curva DI'!$A$2:$A$352,'Curva DI'!$H$2:$H$352,0,-1))*(1+R$4))^(NETWORKDAYS(Q26,Q27)/252)-1)</f>
        <v>11.36627139391998</v>
      </c>
      <c r="W27" s="235">
        <v>25.038973454389982</v>
      </c>
      <c r="X27" s="299">
        <f t="shared" si="34"/>
        <v>95.708914423290025</v>
      </c>
      <c r="Y27" s="299">
        <f t="shared" si="20"/>
        <v>666.66666666666652</v>
      </c>
      <c r="Z27" s="235">
        <v>83.333333333333329</v>
      </c>
      <c r="AA27" s="299">
        <f t="shared" si="2"/>
        <v>583.33333333333314</v>
      </c>
      <c r="AB27" s="299">
        <f t="shared" si="3"/>
        <v>679.04224775662317</v>
      </c>
      <c r="AC27" s="40">
        <f t="shared" si="4"/>
        <v>1697605.619391558</v>
      </c>
      <c r="AD27" s="21"/>
      <c r="AF27" s="115">
        <f t="shared" si="21"/>
        <v>46752</v>
      </c>
      <c r="AG27" s="298">
        <f>SUMIFS(Inputs!$J$20:$J$31,Inputs!$G$20:$G$31,"&lt;="&amp;AF27,Inputs!$G$20:$G$31,"&gt;"&amp;AF26)</f>
        <v>0</v>
      </c>
      <c r="AH27" s="21">
        <f t="shared" si="35"/>
        <v>2500</v>
      </c>
      <c r="AI27" s="299">
        <f t="shared" si="22"/>
        <v>1244.5792910584958</v>
      </c>
      <c r="AJ27" s="299">
        <f t="shared" si="40"/>
        <v>244.57929105849573</v>
      </c>
      <c r="AK27" s="299">
        <f>AI27*(((1+_xlfn.XLOOKUP(AF27,'Curva DI'!$A$2:$A$352,'Curva DI'!$H$2:$H$352,0,-1))*(1+AG$4))^(NETWORKDAYS(AF26,AF27)/252)-1)</f>
        <v>19.402433680643465</v>
      </c>
      <c r="AL27" s="235"/>
      <c r="AM27" s="299">
        <f t="shared" si="36"/>
        <v>263.98172473913917</v>
      </c>
      <c r="AN27" s="299">
        <f t="shared" si="23"/>
        <v>1000</v>
      </c>
      <c r="AO27" s="235"/>
      <c r="AP27" s="299">
        <f t="shared" si="5"/>
        <v>1000</v>
      </c>
      <c r="AQ27" s="299">
        <f t="shared" si="6"/>
        <v>1263.9817247391393</v>
      </c>
      <c r="AR27" s="40">
        <f t="shared" si="41"/>
        <v>3159954.3118478484</v>
      </c>
      <c r="AS27" s="21"/>
      <c r="AU27" s="115">
        <f t="shared" si="25"/>
        <v>46752</v>
      </c>
      <c r="AV27" s="298">
        <f>SUMIFS(Inputs!$O$20:$O$31,Inputs!$L$20:$L$31,"&lt;="&amp;AU27,Inputs!$L$20:$L$31,"&gt;"&amp;AU26)</f>
        <v>0</v>
      </c>
      <c r="AW27" s="21">
        <f t="shared" si="37"/>
        <v>5000</v>
      </c>
      <c r="AX27" s="299">
        <f t="shared" si="26"/>
        <v>1540.8550809094484</v>
      </c>
      <c r="AY27" s="299">
        <f t="shared" si="27"/>
        <v>540.85508090944836</v>
      </c>
      <c r="AZ27" s="299">
        <f>AX27*_xlfn.XLOOKUP(AU27,Caixa!$D$3:$BK$3,Caixa!$D$55:$BK$55,0,0)</f>
        <v>50.766167103059111</v>
      </c>
      <c r="BA27" s="231"/>
      <c r="BB27" s="299">
        <f t="shared" si="28"/>
        <v>591.62124801250752</v>
      </c>
      <c r="BC27" s="299">
        <f t="shared" si="29"/>
        <v>1000</v>
      </c>
      <c r="BD27" s="231"/>
      <c r="BE27" s="299">
        <f t="shared" si="30"/>
        <v>1000</v>
      </c>
      <c r="BF27" s="299">
        <f t="shared" si="31"/>
        <v>1591.6212480125075</v>
      </c>
      <c r="BG27" s="40">
        <f t="shared" si="32"/>
        <v>7958106.2400625376</v>
      </c>
      <c r="BH27" s="271"/>
    </row>
    <row r="28" spans="1:60" x14ac:dyDescent="0.3">
      <c r="B28" s="115">
        <f t="shared" si="9"/>
        <v>46783</v>
      </c>
      <c r="C28" s="298">
        <f t="shared" si="10"/>
        <v>0</v>
      </c>
      <c r="D28" s="298">
        <f t="shared" si="11"/>
        <v>10000</v>
      </c>
      <c r="E28" s="150">
        <f t="shared" si="12"/>
        <v>1426.9679112664776</v>
      </c>
      <c r="F28" s="299">
        <f t="shared" si="33"/>
        <v>426.96791126647759</v>
      </c>
      <c r="G28" s="150">
        <f>E28*_xlfn.XLOOKUP(B28,Caixa!$D$3:$BK$3,Caixa!$D$54:$BK$54,0,0)</f>
        <v>36.867934358818424</v>
      </c>
      <c r="H28" s="150">
        <v>0</v>
      </c>
      <c r="I28" s="150">
        <f t="shared" si="13"/>
        <v>463.83584562529603</v>
      </c>
      <c r="J28" s="150">
        <f t="shared" si="14"/>
        <v>1000</v>
      </c>
      <c r="K28" s="150"/>
      <c r="L28" s="150">
        <f t="shared" si="15"/>
        <v>1000</v>
      </c>
      <c r="M28" s="150">
        <f t="shared" si="16"/>
        <v>1463.8358456252961</v>
      </c>
      <c r="N28" s="152">
        <f t="shared" si="17"/>
        <v>14638358.45625296</v>
      </c>
      <c r="O28" s="150"/>
      <c r="P28" s="1"/>
      <c r="Q28" s="115">
        <f t="shared" si="38"/>
        <v>46783</v>
      </c>
      <c r="R28" s="298">
        <f>SUMIFS(Inputs!$E$20:$E$31,Inputs!$B$20:$B$31,"&lt;="&amp;Q28,Inputs!$B$20:$B$31,"&gt;"&amp;Q27)</f>
        <v>0</v>
      </c>
      <c r="S28" s="21">
        <f>SUMIFS(Inputs!$C$20:$C$31,Inputs!$B$20:$B$31,"&lt;="&amp;Q28,Inputs!$B$20:$B$31,"&gt;="&amp;Q27)+S27</f>
        <v>2500</v>
      </c>
      <c r="T28" s="299">
        <f t="shared" si="19"/>
        <v>679.04224775662317</v>
      </c>
      <c r="U28" s="299">
        <f t="shared" si="39"/>
        <v>95.708914423290025</v>
      </c>
      <c r="V28" s="299">
        <f>T28*(((1+_xlfn.XLOOKUP(Q28,'Curva DI'!$A$2:$A$352,'Curva DI'!$H$2:$H$352,0,-1))*(1+R$4))^(NETWORKDAYS(Q27,Q28)/252)-1)</f>
        <v>9.1269412004852093</v>
      </c>
      <c r="W28" s="235">
        <v>22.799643260955207</v>
      </c>
      <c r="X28" s="299">
        <f t="shared" si="34"/>
        <v>82.036212362820024</v>
      </c>
      <c r="Y28" s="299">
        <f t="shared" si="20"/>
        <v>583.33333333333314</v>
      </c>
      <c r="Z28" s="235">
        <v>83.333333333333329</v>
      </c>
      <c r="AA28" s="299">
        <f t="shared" si="2"/>
        <v>499.99999999999983</v>
      </c>
      <c r="AB28" s="299">
        <f t="shared" si="3"/>
        <v>582.03621236281981</v>
      </c>
      <c r="AC28" s="40">
        <f t="shared" si="4"/>
        <v>1455090.5309070495</v>
      </c>
      <c r="AD28" s="21"/>
      <c r="AF28" s="115">
        <f t="shared" si="21"/>
        <v>46783</v>
      </c>
      <c r="AG28" s="298">
        <f>SUMIFS(Inputs!$J$20:$J$31,Inputs!$G$20:$G$31,"&lt;="&amp;AF28,Inputs!$G$20:$G$31,"&gt;"&amp;AF27)</f>
        <v>0</v>
      </c>
      <c r="AH28" s="21">
        <f t="shared" si="35"/>
        <v>2500</v>
      </c>
      <c r="AI28" s="299">
        <f t="shared" si="22"/>
        <v>1263.9817247391393</v>
      </c>
      <c r="AJ28" s="299">
        <f t="shared" si="40"/>
        <v>263.98172473913917</v>
      </c>
      <c r="AK28" s="299">
        <f>AI28*(((1+_xlfn.XLOOKUP(AF28,'Curva DI'!$A$2:$A$352,'Curva DI'!$H$2:$H$352,0,-1))*(1+AG$4))^(NETWORKDAYS(AF27,AF28)/252)-1)</f>
        <v>18.080561602791178</v>
      </c>
      <c r="AL28" s="235"/>
      <c r="AM28" s="299">
        <f t="shared" si="36"/>
        <v>282.06228634193036</v>
      </c>
      <c r="AN28" s="299">
        <f t="shared" si="23"/>
        <v>1000</v>
      </c>
      <c r="AO28" s="235"/>
      <c r="AP28" s="299">
        <f t="shared" si="5"/>
        <v>1000</v>
      </c>
      <c r="AQ28" s="299">
        <f t="shared" si="6"/>
        <v>1282.0622863419303</v>
      </c>
      <c r="AR28" s="40">
        <f t="shared" si="41"/>
        <v>3205155.7158548259</v>
      </c>
      <c r="AS28" s="21"/>
      <c r="AU28" s="115">
        <f t="shared" si="25"/>
        <v>46783</v>
      </c>
      <c r="AV28" s="298">
        <f>SUMIFS(Inputs!$O$20:$O$31,Inputs!$L$20:$L$31,"&lt;="&amp;AU28,Inputs!$L$20:$L$31,"&gt;"&amp;AU27)</f>
        <v>0</v>
      </c>
      <c r="AW28" s="21">
        <f t="shared" si="37"/>
        <v>5000</v>
      </c>
      <c r="AX28" s="299">
        <f t="shared" si="26"/>
        <v>1591.6212480125075</v>
      </c>
      <c r="AY28" s="299">
        <f t="shared" si="27"/>
        <v>591.62124801250752</v>
      </c>
      <c r="AZ28" s="299">
        <f>AX28*_xlfn.XLOOKUP(AU28,Caixa!$D$3:$BK$3,Caixa!$D$55:$BK$55,0,0)</f>
        <v>52.618780364860278</v>
      </c>
      <c r="BA28" s="231"/>
      <c r="BB28" s="299">
        <f t="shared" si="28"/>
        <v>644.24002837736782</v>
      </c>
      <c r="BC28" s="299">
        <f t="shared" si="29"/>
        <v>1000</v>
      </c>
      <c r="BD28" s="231"/>
      <c r="BE28" s="299">
        <f t="shared" si="30"/>
        <v>1000</v>
      </c>
      <c r="BF28" s="299">
        <f t="shared" si="31"/>
        <v>1644.2400283773677</v>
      </c>
      <c r="BG28" s="40">
        <f t="shared" si="32"/>
        <v>8221200.1418868387</v>
      </c>
      <c r="BH28" s="271"/>
    </row>
    <row r="29" spans="1:60" x14ac:dyDescent="0.3">
      <c r="B29" s="115">
        <f t="shared" si="9"/>
        <v>46812</v>
      </c>
      <c r="C29" s="298">
        <f t="shared" si="10"/>
        <v>0</v>
      </c>
      <c r="D29" s="298">
        <f t="shared" si="11"/>
        <v>10000</v>
      </c>
      <c r="E29" s="150">
        <f t="shared" si="12"/>
        <v>1463.8358456252961</v>
      </c>
      <c r="F29" s="299">
        <f t="shared" si="33"/>
        <v>463.83584562529603</v>
      </c>
      <c r="G29" s="150">
        <f>E29*_xlfn.XLOOKUP(B29,Caixa!$D$3:$BK$3,Caixa!$D$54:$BK$54,0,0)</f>
        <v>40.927073404828356</v>
      </c>
      <c r="H29" s="150">
        <v>0</v>
      </c>
      <c r="I29" s="150">
        <f t="shared" si="13"/>
        <v>504.76291903012441</v>
      </c>
      <c r="J29" s="150">
        <f t="shared" si="14"/>
        <v>1000</v>
      </c>
      <c r="K29" s="150"/>
      <c r="L29" s="150">
        <f t="shared" si="15"/>
        <v>1000</v>
      </c>
      <c r="M29" s="150">
        <f t="shared" si="16"/>
        <v>1504.7629190301245</v>
      </c>
      <c r="N29" s="152">
        <f t="shared" si="17"/>
        <v>15047629.190301245</v>
      </c>
      <c r="O29" s="150"/>
      <c r="P29" s="1"/>
      <c r="Q29" s="115">
        <f t="shared" si="38"/>
        <v>46812</v>
      </c>
      <c r="R29" s="298">
        <f>SUMIFS(Inputs!$E$20:$E$31,Inputs!$B$20:$B$31,"&lt;="&amp;Q29,Inputs!$B$20:$B$31,"&gt;"&amp;Q28)</f>
        <v>0</v>
      </c>
      <c r="S29" s="21">
        <f>SUMIFS(Inputs!$C$20:$C$31,Inputs!$B$20:$B$31,"&lt;="&amp;Q29,Inputs!$B$20:$B$31,"&gt;="&amp;Q28)+S28</f>
        <v>2500</v>
      </c>
      <c r="T29" s="299">
        <f t="shared" si="19"/>
        <v>582.03621236281981</v>
      </c>
      <c r="U29" s="299">
        <f t="shared" si="39"/>
        <v>82.036212362820024</v>
      </c>
      <c r="V29" s="299">
        <f>T29*(((1+_xlfn.XLOOKUP(Q29,'Curva DI'!$A$2:$A$352,'Curva DI'!$H$2:$H$352,0,-1))*(1+R$4))^(NETWORKDAYS(Q28,Q29)/252)-1)</f>
        <v>7.8456263209603216</v>
      </c>
      <c r="W29" s="235">
        <v>21.518328381430322</v>
      </c>
      <c r="X29" s="299">
        <f t="shared" si="34"/>
        <v>68.363510302350022</v>
      </c>
      <c r="Y29" s="299">
        <f t="shared" si="20"/>
        <v>499.99999999999983</v>
      </c>
      <c r="Z29" s="235">
        <v>83.333333333333329</v>
      </c>
      <c r="AA29" s="299">
        <f t="shared" si="2"/>
        <v>416.66666666666652</v>
      </c>
      <c r="AB29" s="299">
        <f t="shared" si="3"/>
        <v>485.03017696901657</v>
      </c>
      <c r="AC29" s="40">
        <f t="shared" si="4"/>
        <v>1212575.4424225413</v>
      </c>
      <c r="AD29" s="21"/>
      <c r="AF29" s="115">
        <f t="shared" si="21"/>
        <v>46812</v>
      </c>
      <c r="AG29" s="298">
        <f>SUMIFS(Inputs!$J$20:$J$31,Inputs!$G$20:$G$31,"&lt;="&amp;AF29,Inputs!$G$20:$G$31,"&gt;"&amp;AF28)</f>
        <v>0</v>
      </c>
      <c r="AH29" s="21">
        <f t="shared" si="35"/>
        <v>2500</v>
      </c>
      <c r="AI29" s="299">
        <f t="shared" si="22"/>
        <v>1282.0622863419303</v>
      </c>
      <c r="AJ29" s="299">
        <f t="shared" si="40"/>
        <v>282.06228634193036</v>
      </c>
      <c r="AK29" s="299">
        <f>AI29*(((1+_xlfn.XLOOKUP(AF29,'Curva DI'!$A$2:$A$352,'Curva DI'!$H$2:$H$352,0,-1))*(1+AG$4))^(NETWORKDAYS(AF28,AF29)/252)-1)</f>
        <v>18.388872132501113</v>
      </c>
      <c r="AL29" s="235"/>
      <c r="AM29" s="299">
        <f t="shared" si="36"/>
        <v>300.45115847443145</v>
      </c>
      <c r="AN29" s="299">
        <f t="shared" si="23"/>
        <v>1000</v>
      </c>
      <c r="AO29" s="235"/>
      <c r="AP29" s="299">
        <f t="shared" si="5"/>
        <v>1000</v>
      </c>
      <c r="AQ29" s="299">
        <f t="shared" si="6"/>
        <v>1300.4511584744314</v>
      </c>
      <c r="AR29" s="40">
        <f t="shared" si="41"/>
        <v>3251127.8961860784</v>
      </c>
      <c r="AS29" s="21"/>
      <c r="AU29" s="115">
        <f t="shared" si="25"/>
        <v>46812</v>
      </c>
      <c r="AV29" s="298">
        <f>SUMIFS(Inputs!$O$20:$O$31,Inputs!$L$20:$L$31,"&lt;="&amp;AU29,Inputs!$L$20:$L$31,"&gt;"&amp;AU28)</f>
        <v>0</v>
      </c>
      <c r="AW29" s="21">
        <f t="shared" si="37"/>
        <v>5000</v>
      </c>
      <c r="AX29" s="299">
        <f t="shared" si="26"/>
        <v>1644.2400283773677</v>
      </c>
      <c r="AY29" s="299">
        <f t="shared" si="27"/>
        <v>644.24002837736782</v>
      </c>
      <c r="AZ29" s="299">
        <f>AX29*_xlfn.XLOOKUP(AU29,Caixa!$D$3:$BK$3,Caixa!$D$55:$BK$55,0,0)</f>
        <v>58.912671817235449</v>
      </c>
      <c r="BA29" s="231"/>
      <c r="BB29" s="299">
        <f t="shared" si="28"/>
        <v>703.15270019460331</v>
      </c>
      <c r="BC29" s="299">
        <f t="shared" si="29"/>
        <v>1000</v>
      </c>
      <c r="BD29" s="231"/>
      <c r="BE29" s="299">
        <f t="shared" si="30"/>
        <v>1000</v>
      </c>
      <c r="BF29" s="299">
        <f t="shared" si="31"/>
        <v>1703.1527001946033</v>
      </c>
      <c r="BG29" s="40">
        <f t="shared" si="32"/>
        <v>8515763.500973016</v>
      </c>
      <c r="BH29" s="271"/>
    </row>
    <row r="30" spans="1:60" x14ac:dyDescent="0.3">
      <c r="B30" s="115">
        <f t="shared" si="9"/>
        <v>46843</v>
      </c>
      <c r="C30" s="298">
        <f t="shared" si="10"/>
        <v>0</v>
      </c>
      <c r="D30" s="298">
        <f t="shared" si="11"/>
        <v>10000</v>
      </c>
      <c r="E30" s="150">
        <f t="shared" si="12"/>
        <v>1504.7629190301245</v>
      </c>
      <c r="F30" s="299">
        <f t="shared" si="33"/>
        <v>504.76291903012441</v>
      </c>
      <c r="G30" s="150">
        <f>E30*_xlfn.XLOOKUP(B30,Caixa!$D$3:$BK$3,Caixa!$D$54:$BK$54,0,0)</f>
        <v>38.939758437901993</v>
      </c>
      <c r="H30" s="150">
        <v>0</v>
      </c>
      <c r="I30" s="150">
        <f t="shared" si="13"/>
        <v>543.70267746802642</v>
      </c>
      <c r="J30" s="150">
        <f t="shared" si="14"/>
        <v>1000</v>
      </c>
      <c r="K30" s="150"/>
      <c r="L30" s="150">
        <f t="shared" si="15"/>
        <v>1000</v>
      </c>
      <c r="M30" s="150">
        <f t="shared" si="16"/>
        <v>1543.7026774680264</v>
      </c>
      <c r="N30" s="152">
        <f t="shared" si="17"/>
        <v>15437026.774680264</v>
      </c>
      <c r="O30" s="150"/>
      <c r="P30" s="1"/>
      <c r="Q30" s="115">
        <f t="shared" si="38"/>
        <v>46843</v>
      </c>
      <c r="R30" s="298">
        <f>SUMIFS(Inputs!$E$20:$E$31,Inputs!$B$20:$B$31,"&lt;="&amp;Q30,Inputs!$B$20:$B$31,"&gt;"&amp;Q29)</f>
        <v>0</v>
      </c>
      <c r="S30" s="21">
        <f>SUMIFS(Inputs!$C$20:$C$31,Inputs!$B$20:$B$31,"&lt;="&amp;Q30,Inputs!$B$20:$B$31,"&gt;="&amp;Q29)+S29</f>
        <v>2500</v>
      </c>
      <c r="T30" s="299">
        <f t="shared" si="19"/>
        <v>485.03017696901657</v>
      </c>
      <c r="U30" s="299">
        <f t="shared" si="39"/>
        <v>68.363510302350022</v>
      </c>
      <c r="V30" s="299">
        <f>T30*(((1+_xlfn.XLOOKUP(Q30,'Curva DI'!$A$2:$A$352,'Curva DI'!$H$2:$H$352,0,-1))*(1+R$4))^(NETWORKDAYS(Q29,Q30)/252)-1)</f>
        <v>7.1531422645865561</v>
      </c>
      <c r="W30" s="235">
        <v>20.825844325056558</v>
      </c>
      <c r="X30" s="299">
        <f t="shared" si="34"/>
        <v>54.690808241880028</v>
      </c>
      <c r="Y30" s="299">
        <f t="shared" si="20"/>
        <v>416.66666666666652</v>
      </c>
      <c r="Z30" s="235">
        <v>83.333333333333329</v>
      </c>
      <c r="AA30" s="299">
        <f t="shared" si="2"/>
        <v>333.3333333333332</v>
      </c>
      <c r="AB30" s="299">
        <f t="shared" si="3"/>
        <v>388.02414157521321</v>
      </c>
      <c r="AC30" s="40">
        <f t="shared" si="4"/>
        <v>970060.35393803299</v>
      </c>
      <c r="AD30" s="21"/>
      <c r="AF30" s="115">
        <f t="shared" si="21"/>
        <v>46843</v>
      </c>
      <c r="AG30" s="298">
        <f>SUMIFS(Inputs!$J$20:$J$31,Inputs!$G$20:$G$31,"&lt;="&amp;AF30,Inputs!$G$20:$G$31,"&gt;"&amp;AF29)</f>
        <v>0</v>
      </c>
      <c r="AH30" s="21">
        <f t="shared" si="35"/>
        <v>2500</v>
      </c>
      <c r="AI30" s="299">
        <f t="shared" si="22"/>
        <v>1300.4511584744314</v>
      </c>
      <c r="AJ30" s="299">
        <f t="shared" si="40"/>
        <v>300.45115847443145</v>
      </c>
      <c r="AK30" s="299">
        <f>AI30*(((1+_xlfn.XLOOKUP(AF30,'Curva DI'!$A$2:$A$352,'Curva DI'!$H$2:$H$352,0,-1))*(1+AG$4))^(NETWORKDAYS(AF29,AF30)/252)-1)</f>
        <v>20.405548308970289</v>
      </c>
      <c r="AL30" s="235"/>
      <c r="AM30" s="299">
        <f t="shared" si="36"/>
        <v>320.85670678340176</v>
      </c>
      <c r="AN30" s="299">
        <f t="shared" si="23"/>
        <v>1000</v>
      </c>
      <c r="AO30" s="235"/>
      <c r="AP30" s="299">
        <f t="shared" si="5"/>
        <v>1000</v>
      </c>
      <c r="AQ30" s="299">
        <f t="shared" si="6"/>
        <v>1320.8567067834017</v>
      </c>
      <c r="AR30" s="40">
        <f t="shared" si="41"/>
        <v>3302141.7669585044</v>
      </c>
      <c r="AS30" s="21"/>
      <c r="AU30" s="115">
        <f t="shared" si="25"/>
        <v>46843</v>
      </c>
      <c r="AV30" s="298">
        <f>SUMIFS(Inputs!$O$20:$O$31,Inputs!$L$20:$L$31,"&lt;="&amp;AU30,Inputs!$L$20:$L$31,"&gt;"&amp;AU29)</f>
        <v>0</v>
      </c>
      <c r="AW30" s="21">
        <f t="shared" si="37"/>
        <v>5000</v>
      </c>
      <c r="AX30" s="299">
        <f t="shared" si="26"/>
        <v>1703.1527001946033</v>
      </c>
      <c r="AY30" s="299">
        <f t="shared" si="27"/>
        <v>703.15270019460331</v>
      </c>
      <c r="AZ30" s="299">
        <f>AX30*_xlfn.XLOOKUP(AU30,Caixa!$D$3:$BK$3,Caixa!$D$55:$BK$55,0,0)</f>
        <v>53.396326972852208</v>
      </c>
      <c r="BA30" s="231"/>
      <c r="BB30" s="299">
        <f t="shared" si="28"/>
        <v>756.54902716745551</v>
      </c>
      <c r="BC30" s="299">
        <f t="shared" si="29"/>
        <v>1000</v>
      </c>
      <c r="BD30" s="231"/>
      <c r="BE30" s="299">
        <f t="shared" si="30"/>
        <v>1000</v>
      </c>
      <c r="BF30" s="299">
        <f t="shared" si="31"/>
        <v>1756.5490271674555</v>
      </c>
      <c r="BG30" s="40">
        <f t="shared" si="32"/>
        <v>8782745.1358372774</v>
      </c>
      <c r="BH30" s="271"/>
    </row>
    <row r="31" spans="1:60" x14ac:dyDescent="0.3">
      <c r="B31" s="115">
        <f t="shared" si="9"/>
        <v>46873</v>
      </c>
      <c r="C31" s="298">
        <f t="shared" si="10"/>
        <v>0</v>
      </c>
      <c r="D31" s="298">
        <f t="shared" si="11"/>
        <v>10000</v>
      </c>
      <c r="E31" s="150">
        <f t="shared" si="12"/>
        <v>1543.7026774680264</v>
      </c>
      <c r="F31" s="299">
        <f t="shared" si="33"/>
        <v>543.70267746802642</v>
      </c>
      <c r="G31" s="150">
        <f>E31*_xlfn.XLOOKUP(B31,Caixa!$D$3:$BK$3,Caixa!$D$54:$BK$54,0,0)</f>
        <v>39.820936287699745</v>
      </c>
      <c r="H31" s="150">
        <v>0</v>
      </c>
      <c r="I31" s="150">
        <f t="shared" si="13"/>
        <v>583.52361375572616</v>
      </c>
      <c r="J31" s="150">
        <f t="shared" si="14"/>
        <v>1000</v>
      </c>
      <c r="K31" s="150"/>
      <c r="L31" s="150">
        <f t="shared" si="15"/>
        <v>1000</v>
      </c>
      <c r="M31" s="150">
        <f t="shared" si="16"/>
        <v>1583.5236137557263</v>
      </c>
      <c r="N31" s="152">
        <f t="shared" si="17"/>
        <v>15835236.137557263</v>
      </c>
      <c r="O31" s="150"/>
      <c r="P31" s="1"/>
      <c r="Q31" s="115">
        <f t="shared" si="38"/>
        <v>46873</v>
      </c>
      <c r="R31" s="298">
        <f>SUMIFS(Inputs!$E$20:$E$31,Inputs!$B$20:$B$31,"&lt;="&amp;Q31,Inputs!$B$20:$B$31,"&gt;"&amp;Q30)</f>
        <v>0</v>
      </c>
      <c r="S31" s="21">
        <f>SUMIFS(Inputs!$C$20:$C$31,Inputs!$B$20:$B$31,"&lt;="&amp;Q31,Inputs!$B$20:$B$31,"&gt;="&amp;Q30)+S30</f>
        <v>2500</v>
      </c>
      <c r="T31" s="299">
        <f t="shared" si="19"/>
        <v>388.02414157521321</v>
      </c>
      <c r="U31" s="299">
        <f t="shared" si="39"/>
        <v>54.690808241880028</v>
      </c>
      <c r="V31" s="299">
        <f>T31*(((1+_xlfn.XLOOKUP(Q31,'Curva DI'!$A$2:$A$352,'Curva DI'!$H$2:$H$352,0,-1))*(1+R$4))^(NETWORKDAYS(Q30,Q31)/252)-1)</f>
        <v>5.0140665819289296</v>
      </c>
      <c r="W31" s="235">
        <v>18.686768642398931</v>
      </c>
      <c r="X31" s="299">
        <f t="shared" si="34"/>
        <v>41.018106181410026</v>
      </c>
      <c r="Y31" s="299">
        <f t="shared" si="20"/>
        <v>333.3333333333332</v>
      </c>
      <c r="Z31" s="235">
        <v>83.333333333333329</v>
      </c>
      <c r="AA31" s="299">
        <f t="shared" si="2"/>
        <v>249.99999999999989</v>
      </c>
      <c r="AB31" s="299">
        <f t="shared" si="3"/>
        <v>291.01810618140991</v>
      </c>
      <c r="AC31" s="40">
        <f t="shared" si="4"/>
        <v>727545.26545352477</v>
      </c>
      <c r="AD31" s="21"/>
      <c r="AF31" s="115">
        <f t="shared" si="21"/>
        <v>46873</v>
      </c>
      <c r="AG31" s="298">
        <f>SUMIFS(Inputs!$J$20:$J$31,Inputs!$G$20:$G$31,"&lt;="&amp;AF31,Inputs!$G$20:$G$31,"&gt;"&amp;AF30)</f>
        <v>0</v>
      </c>
      <c r="AH31" s="21">
        <f t="shared" si="35"/>
        <v>2500</v>
      </c>
      <c r="AI31" s="299">
        <f t="shared" si="22"/>
        <v>1320.8567067834017</v>
      </c>
      <c r="AJ31" s="299">
        <f t="shared" si="40"/>
        <v>320.85670678340176</v>
      </c>
      <c r="AK31" s="299">
        <f>AI31*(((1+_xlfn.XLOOKUP(AF31,'Curva DI'!$A$2:$A$352,'Curva DI'!$H$2:$H$352,0,-1))*(1+AG$4))^(NETWORKDAYS(AF30,AF31)/252)-1)</f>
        <v>18.156368496262129</v>
      </c>
      <c r="AL31" s="235"/>
      <c r="AM31" s="299">
        <f t="shared" si="36"/>
        <v>339.01307527966389</v>
      </c>
      <c r="AN31" s="299">
        <f t="shared" si="23"/>
        <v>1000</v>
      </c>
      <c r="AO31" s="235"/>
      <c r="AP31" s="299">
        <f t="shared" si="5"/>
        <v>1000</v>
      </c>
      <c r="AQ31" s="299">
        <f t="shared" si="6"/>
        <v>1339.013075279664</v>
      </c>
      <c r="AR31" s="40">
        <f t="shared" si="41"/>
        <v>3347532.6881991602</v>
      </c>
      <c r="AS31" s="21"/>
      <c r="AU31" s="115">
        <f t="shared" si="25"/>
        <v>46873</v>
      </c>
      <c r="AV31" s="298">
        <f>SUMIFS(Inputs!$O$20:$O$31,Inputs!$L$20:$L$31,"&lt;="&amp;AU31,Inputs!$L$20:$L$31,"&gt;"&amp;AU30)</f>
        <v>0</v>
      </c>
      <c r="AW31" s="21">
        <f t="shared" si="37"/>
        <v>5000</v>
      </c>
      <c r="AX31" s="299">
        <f t="shared" si="26"/>
        <v>1756.5490271674555</v>
      </c>
      <c r="AY31" s="299">
        <f t="shared" si="27"/>
        <v>756.54902716745551</v>
      </c>
      <c r="AZ31" s="299">
        <f>AX31*_xlfn.XLOOKUP(AU31,Caixa!$D$3:$BK$3,Caixa!$D$55:$BK$55,0,0)</f>
        <v>55.767159383946669</v>
      </c>
      <c r="BA31" s="231"/>
      <c r="BB31" s="299">
        <f t="shared" si="28"/>
        <v>812.31618655140221</v>
      </c>
      <c r="BC31" s="299">
        <f t="shared" si="29"/>
        <v>1000</v>
      </c>
      <c r="BD31" s="231"/>
      <c r="BE31" s="299">
        <f t="shared" si="30"/>
        <v>1000</v>
      </c>
      <c r="BF31" s="299">
        <f t="shared" si="31"/>
        <v>1812.3161865514021</v>
      </c>
      <c r="BG31" s="40">
        <f t="shared" si="32"/>
        <v>9061580.9327570107</v>
      </c>
      <c r="BH31" s="271"/>
    </row>
    <row r="32" spans="1:60" x14ac:dyDescent="0.3">
      <c r="B32" s="115">
        <f t="shared" si="9"/>
        <v>46904</v>
      </c>
      <c r="C32" s="298">
        <f t="shared" si="10"/>
        <v>0</v>
      </c>
      <c r="D32" s="298">
        <f t="shared" si="11"/>
        <v>10000</v>
      </c>
      <c r="E32" s="150">
        <f t="shared" si="12"/>
        <v>1583.5236137557263</v>
      </c>
      <c r="F32" s="299">
        <f t="shared" si="33"/>
        <v>583.52361375572616</v>
      </c>
      <c r="G32" s="150">
        <f>E32*_xlfn.XLOOKUP(B32,Caixa!$D$3:$BK$3,Caixa!$D$54:$BK$54,0,0)</f>
        <v>44.43224749737783</v>
      </c>
      <c r="H32" s="150">
        <v>0</v>
      </c>
      <c r="I32" s="150">
        <f t="shared" si="13"/>
        <v>627.95586125310399</v>
      </c>
      <c r="J32" s="150">
        <f t="shared" si="14"/>
        <v>1000</v>
      </c>
      <c r="K32" s="150"/>
      <c r="L32" s="150">
        <f t="shared" si="15"/>
        <v>1000</v>
      </c>
      <c r="M32" s="150">
        <f t="shared" si="16"/>
        <v>1627.9558612531041</v>
      </c>
      <c r="N32" s="152">
        <f t="shared" si="17"/>
        <v>16279558.612531042</v>
      </c>
      <c r="O32" s="150"/>
      <c r="P32" s="1"/>
      <c r="Q32" s="115">
        <f t="shared" si="38"/>
        <v>46904</v>
      </c>
      <c r="R32" s="298">
        <f>SUMIFS(Inputs!$E$20:$E$31,Inputs!$B$20:$B$31,"&lt;="&amp;Q32,Inputs!$B$20:$B$31,"&gt;"&amp;Q31)</f>
        <v>0</v>
      </c>
      <c r="S32" s="21">
        <f>SUMIFS(Inputs!$C$20:$C$31,Inputs!$B$20:$B$31,"&lt;="&amp;Q32,Inputs!$B$20:$B$31,"&gt;="&amp;Q31)+S31</f>
        <v>2500</v>
      </c>
      <c r="T32" s="299">
        <f t="shared" si="19"/>
        <v>291.01810618140991</v>
      </c>
      <c r="U32" s="299">
        <f t="shared" si="39"/>
        <v>41.018106181410026</v>
      </c>
      <c r="V32" s="299">
        <f>T32*(((1+_xlfn.XLOOKUP(Q32,'Curva DI'!$A$2:$A$352,'Curva DI'!$H$2:$H$352,0,-1))*(1+R$4))^(NETWORKDAYS(Q31,Q32)/252)-1)</f>
        <v>4.1259322969336312</v>
      </c>
      <c r="W32" s="235">
        <v>17.798634357403632</v>
      </c>
      <c r="X32" s="299">
        <f t="shared" si="34"/>
        <v>27.345404120940028</v>
      </c>
      <c r="Y32" s="299">
        <f t="shared" si="20"/>
        <v>249.99999999999989</v>
      </c>
      <c r="Z32" s="235">
        <v>83.333333333333329</v>
      </c>
      <c r="AA32" s="299">
        <f t="shared" si="2"/>
        <v>166.66666666666657</v>
      </c>
      <c r="AB32" s="299">
        <f t="shared" si="3"/>
        <v>194.0120707876066</v>
      </c>
      <c r="AC32" s="40">
        <f t="shared" si="4"/>
        <v>485030.17696901649</v>
      </c>
      <c r="AD32" s="21"/>
      <c r="AF32" s="115">
        <f t="shared" si="21"/>
        <v>46904</v>
      </c>
      <c r="AG32" s="298">
        <f>SUMIFS(Inputs!$J$20:$J$31,Inputs!$G$20:$G$31,"&lt;="&amp;AF32,Inputs!$G$20:$G$31,"&gt;"&amp;AF31)</f>
        <v>0</v>
      </c>
      <c r="AH32" s="21">
        <f t="shared" si="35"/>
        <v>2500</v>
      </c>
      <c r="AI32" s="299">
        <f t="shared" si="22"/>
        <v>1339.013075279664</v>
      </c>
      <c r="AJ32" s="299">
        <f t="shared" si="40"/>
        <v>339.01307527966389</v>
      </c>
      <c r="AK32" s="299">
        <f>AI32*(((1+_xlfn.XLOOKUP(AF32,'Curva DI'!$A$2:$A$352,'Curva DI'!$H$2:$H$352,0,-1))*(1+AG$4))^(NETWORKDAYS(AF31,AF32)/252)-1)</f>
        <v>20.193723724314854</v>
      </c>
      <c r="AL32" s="235"/>
      <c r="AM32" s="299">
        <f t="shared" si="36"/>
        <v>359.20679900397874</v>
      </c>
      <c r="AN32" s="299">
        <f t="shared" si="23"/>
        <v>1000</v>
      </c>
      <c r="AO32" s="235"/>
      <c r="AP32" s="299">
        <f t="shared" si="5"/>
        <v>1000</v>
      </c>
      <c r="AQ32" s="299">
        <f t="shared" si="6"/>
        <v>1359.2067990039786</v>
      </c>
      <c r="AR32" s="40">
        <f t="shared" si="41"/>
        <v>3398016.9975099466</v>
      </c>
      <c r="AS32" s="21"/>
      <c r="AU32" s="115">
        <f t="shared" si="25"/>
        <v>46904</v>
      </c>
      <c r="AV32" s="298">
        <f>SUMIFS(Inputs!$O$20:$O$31,Inputs!$L$20:$L$31,"&lt;="&amp;AU32,Inputs!$L$20:$L$31,"&gt;"&amp;AU31)</f>
        <v>0</v>
      </c>
      <c r="AW32" s="21">
        <f t="shared" si="37"/>
        <v>5000</v>
      </c>
      <c r="AX32" s="299">
        <f t="shared" si="26"/>
        <v>1812.3161865514021</v>
      </c>
      <c r="AY32" s="299">
        <f t="shared" si="27"/>
        <v>812.31618655140221</v>
      </c>
      <c r="AZ32" s="299">
        <f>AX32*_xlfn.XLOOKUP(AU32,Caixa!$D$3:$BK$3,Caixa!$D$55:$BK$55,0,0)</f>
        <v>61.560737171882209</v>
      </c>
      <c r="BA32" s="231"/>
      <c r="BB32" s="299">
        <f t="shared" si="28"/>
        <v>873.87692372328445</v>
      </c>
      <c r="BC32" s="299">
        <f t="shared" si="29"/>
        <v>1000</v>
      </c>
      <c r="BD32" s="231"/>
      <c r="BE32" s="299">
        <f t="shared" si="30"/>
        <v>1000</v>
      </c>
      <c r="BF32" s="299">
        <f t="shared" si="31"/>
        <v>1873.8769237232846</v>
      </c>
      <c r="BG32" s="40">
        <f t="shared" si="32"/>
        <v>9369384.6186164226</v>
      </c>
      <c r="BH32" s="271"/>
    </row>
    <row r="33" spans="2:60" x14ac:dyDescent="0.3">
      <c r="B33" s="115">
        <f t="shared" si="9"/>
        <v>46934</v>
      </c>
      <c r="C33" s="298">
        <f t="shared" si="10"/>
        <v>0</v>
      </c>
      <c r="D33" s="298">
        <f t="shared" si="11"/>
        <v>10000</v>
      </c>
      <c r="E33" s="150">
        <f t="shared" si="12"/>
        <v>1627.9558612531041</v>
      </c>
      <c r="F33" s="299">
        <f t="shared" si="33"/>
        <v>627.95586125310399</v>
      </c>
      <c r="G33" s="150">
        <f>E33*_xlfn.XLOOKUP(B33,Caixa!$D$3:$BK$3,Caixa!$D$54:$BK$54,0,0)</f>
        <v>42.055255348431139</v>
      </c>
      <c r="H33" s="150">
        <v>0</v>
      </c>
      <c r="I33" s="150">
        <f t="shared" si="13"/>
        <v>670.01111660153515</v>
      </c>
      <c r="J33" s="150">
        <f t="shared" si="14"/>
        <v>1000</v>
      </c>
      <c r="K33" s="150"/>
      <c r="L33" s="150">
        <f t="shared" si="15"/>
        <v>1000</v>
      </c>
      <c r="M33" s="150">
        <f t="shared" si="16"/>
        <v>1670.0111166015352</v>
      </c>
      <c r="N33" s="152">
        <f t="shared" si="17"/>
        <v>16700111.166015351</v>
      </c>
      <c r="O33" s="150"/>
      <c r="P33" s="1"/>
      <c r="Q33" s="115">
        <f t="shared" si="38"/>
        <v>46934</v>
      </c>
      <c r="R33" s="298">
        <f>SUMIFS(Inputs!$E$20:$E$31,Inputs!$B$20:$B$31,"&lt;="&amp;Q33,Inputs!$B$20:$B$31,"&gt;"&amp;Q32)</f>
        <v>0</v>
      </c>
      <c r="S33" s="21">
        <f>SUMIFS(Inputs!$C$20:$C$31,Inputs!$B$20:$B$31,"&lt;="&amp;Q33,Inputs!$B$20:$B$31,"&gt;="&amp;Q32)+S32</f>
        <v>2500</v>
      </c>
      <c r="T33" s="299">
        <f t="shared" si="19"/>
        <v>194.0120707876066</v>
      </c>
      <c r="U33" s="299">
        <f t="shared" si="39"/>
        <v>27.345404120940028</v>
      </c>
      <c r="V33" s="299">
        <f>T33*(((1+_xlfn.XLOOKUP(Q33,'Curva DI'!$A$2:$A$352,'Curva DI'!$H$2:$H$352,0,-1))*(1+R$4))^(NETWORKDAYS(Q32,Q33)/252)-1)</f>
        <v>2.7569002783941583</v>
      </c>
      <c r="W33" s="235">
        <v>16.429602338864157</v>
      </c>
      <c r="X33" s="299">
        <f t="shared" si="34"/>
        <v>13.67270206047003</v>
      </c>
      <c r="Y33" s="299">
        <f t="shared" si="20"/>
        <v>166.66666666666657</v>
      </c>
      <c r="Z33" s="235">
        <v>83.333333333333329</v>
      </c>
      <c r="AA33" s="299">
        <f t="shared" si="2"/>
        <v>83.333333333333243</v>
      </c>
      <c r="AB33" s="299">
        <f t="shared" si="3"/>
        <v>97.006035393803273</v>
      </c>
      <c r="AC33" s="40">
        <f t="shared" si="4"/>
        <v>242515.08848450819</v>
      </c>
      <c r="AD33" s="21"/>
      <c r="AF33" s="115">
        <f t="shared" si="21"/>
        <v>46934</v>
      </c>
      <c r="AG33" s="298">
        <f>SUMIFS(Inputs!$J$20:$J$31,Inputs!$G$20:$G$31,"&lt;="&amp;AF33,Inputs!$G$20:$G$31,"&gt;"&amp;AF32)</f>
        <v>0</v>
      </c>
      <c r="AH33" s="21">
        <f t="shared" si="35"/>
        <v>2500</v>
      </c>
      <c r="AI33" s="299">
        <f t="shared" si="22"/>
        <v>1359.2067990039786</v>
      </c>
      <c r="AJ33" s="299">
        <f t="shared" si="40"/>
        <v>359.20679900397874</v>
      </c>
      <c r="AK33" s="299">
        <f>AI33*(((1+_xlfn.XLOOKUP(AF33,'Curva DI'!$A$2:$A$352,'Curva DI'!$H$2:$H$352,0,-1))*(1+AG$4))^(NETWORKDAYS(AF32,AF33)/252)-1)</f>
        <v>20.542293026697681</v>
      </c>
      <c r="AL33" s="235"/>
      <c r="AM33" s="299">
        <f t="shared" si="36"/>
        <v>379.74909203067642</v>
      </c>
      <c r="AN33" s="299">
        <f t="shared" si="23"/>
        <v>1000</v>
      </c>
      <c r="AO33" s="235"/>
      <c r="AP33" s="299">
        <f t="shared" si="5"/>
        <v>1000</v>
      </c>
      <c r="AQ33" s="299">
        <f t="shared" si="6"/>
        <v>1379.7490920306764</v>
      </c>
      <c r="AR33" s="40">
        <f t="shared" si="41"/>
        <v>3449372.7300766911</v>
      </c>
      <c r="AS33" s="21"/>
      <c r="AU33" s="115">
        <f t="shared" si="25"/>
        <v>46934</v>
      </c>
      <c r="AV33" s="298">
        <f>SUMIFS(Inputs!$O$20:$O$31,Inputs!$L$20:$L$31,"&lt;="&amp;AU33,Inputs!$L$20:$L$31,"&gt;"&amp;AU32)</f>
        <v>0</v>
      </c>
      <c r="AW33" s="21">
        <f t="shared" si="37"/>
        <v>5000</v>
      </c>
      <c r="AX33" s="299">
        <f t="shared" si="26"/>
        <v>1873.8769237232846</v>
      </c>
      <c r="AY33" s="299">
        <f t="shared" si="27"/>
        <v>873.87692372328445</v>
      </c>
      <c r="AZ33" s="299">
        <f>AX33*_xlfn.XLOOKUP(AU33,Caixa!$D$3:$BK$3,Caixa!$D$55:$BK$55,0,0)</f>
        <v>56.82085961858246</v>
      </c>
      <c r="BA33" s="231"/>
      <c r="BB33" s="299">
        <f t="shared" si="28"/>
        <v>930.69778334186685</v>
      </c>
      <c r="BC33" s="299">
        <f t="shared" si="29"/>
        <v>1000</v>
      </c>
      <c r="BD33" s="231"/>
      <c r="BE33" s="299">
        <f t="shared" si="30"/>
        <v>1000</v>
      </c>
      <c r="BF33" s="299">
        <f t="shared" si="31"/>
        <v>1930.6977833418669</v>
      </c>
      <c r="BG33" s="40">
        <f t="shared" si="32"/>
        <v>9653488.9167093337</v>
      </c>
      <c r="BH33" s="271"/>
    </row>
    <row r="34" spans="2:60" x14ac:dyDescent="0.3">
      <c r="B34" s="115">
        <f t="shared" si="9"/>
        <v>46965</v>
      </c>
      <c r="C34" s="298">
        <f t="shared" si="10"/>
        <v>0</v>
      </c>
      <c r="D34" s="298">
        <f t="shared" si="11"/>
        <v>10000</v>
      </c>
      <c r="E34" s="150">
        <f t="shared" si="12"/>
        <v>1670.0111166015352</v>
      </c>
      <c r="F34" s="299">
        <f t="shared" si="33"/>
        <v>670.01111660153515</v>
      </c>
      <c r="G34" s="150">
        <f>E34*_xlfn.XLOOKUP(B34,Caixa!$D$3:$BK$3,Caixa!$D$54:$BK$54,0,0)</f>
        <v>43.021145591841673</v>
      </c>
      <c r="H34" s="150">
        <v>0</v>
      </c>
      <c r="I34" s="150">
        <f t="shared" si="13"/>
        <v>713.03226219337682</v>
      </c>
      <c r="J34" s="150">
        <f t="shared" si="14"/>
        <v>1000</v>
      </c>
      <c r="K34" s="150"/>
      <c r="L34" s="150">
        <f t="shared" si="15"/>
        <v>1000</v>
      </c>
      <c r="M34" s="150">
        <f t="shared" si="16"/>
        <v>1713.0322621933769</v>
      </c>
      <c r="N34" s="152">
        <f t="shared" si="17"/>
        <v>17130322.621933769</v>
      </c>
      <c r="O34" s="150"/>
      <c r="P34" s="1"/>
      <c r="Q34" s="115">
        <f t="shared" si="38"/>
        <v>46965</v>
      </c>
      <c r="R34" s="298">
        <f>SUMIFS(Inputs!$E$20:$E$31,Inputs!$B$20:$B$31,"&lt;="&amp;Q34,Inputs!$B$20:$B$31,"&gt;"&amp;Q33)</f>
        <v>0</v>
      </c>
      <c r="S34" s="21">
        <f>SUMIFS(Inputs!$C$20:$C$31,Inputs!$B$20:$B$31,"&lt;="&amp;Q34,Inputs!$B$20:$B$31,"&gt;="&amp;Q33)+S33</f>
        <v>2500</v>
      </c>
      <c r="T34" s="299">
        <f t="shared" si="19"/>
        <v>97.006035393803273</v>
      </c>
      <c r="U34" s="299">
        <f t="shared" si="39"/>
        <v>13.67270206047003</v>
      </c>
      <c r="V34" s="299">
        <f>T34*(((1+_xlfn.XLOOKUP(Q34,'Curva DI'!$A$2:$A$352,'Curva DI'!$H$2:$H$352,0,-1))*(1+R$4))^(NETWORKDAYS(Q33,Q34)/252)-1)</f>
        <v>1.3196123782284268</v>
      </c>
      <c r="W34" s="235">
        <v>14.992314438698427</v>
      </c>
      <c r="X34" s="299">
        <f t="shared" si="34"/>
        <v>3.0198066269804258E-14</v>
      </c>
      <c r="Y34" s="299">
        <f t="shared" si="20"/>
        <v>83.333333333333243</v>
      </c>
      <c r="Z34" s="235">
        <v>83.333333333333329</v>
      </c>
      <c r="AA34" s="299">
        <f t="shared" si="2"/>
        <v>0</v>
      </c>
      <c r="AB34" s="299">
        <f t="shared" si="3"/>
        <v>3.0198066269804258E-14</v>
      </c>
      <c r="AC34" s="40">
        <f t="shared" si="4"/>
        <v>7.5495165674510645E-11</v>
      </c>
      <c r="AD34" s="21"/>
      <c r="AF34" s="115">
        <f t="shared" si="21"/>
        <v>46965</v>
      </c>
      <c r="AG34" s="298">
        <f>SUMIFS(Inputs!$J$20:$J$31,Inputs!$G$20:$G$31,"&lt;="&amp;AF34,Inputs!$G$20:$G$31,"&gt;"&amp;AF33)</f>
        <v>0</v>
      </c>
      <c r="AH34" s="21">
        <f t="shared" si="35"/>
        <v>2500</v>
      </c>
      <c r="AI34" s="299">
        <f t="shared" si="22"/>
        <v>1379.7490920306764</v>
      </c>
      <c r="AJ34" s="299">
        <f t="shared" si="40"/>
        <v>379.74909203067642</v>
      </c>
      <c r="AK34" s="299">
        <f>AI34*(((1+_xlfn.XLOOKUP(AF34,'Curva DI'!$A$2:$A$352,'Curva DI'!$H$2:$H$352,0,-1))*(1+AG$4))^(NETWORKDAYS(AF33,AF34)/252)-1)</f>
        <v>19.960952431373109</v>
      </c>
      <c r="AL34" s="235"/>
      <c r="AM34" s="299">
        <f t="shared" si="36"/>
        <v>399.71004446204955</v>
      </c>
      <c r="AN34" s="299">
        <f t="shared" si="23"/>
        <v>1000</v>
      </c>
      <c r="AO34" s="235"/>
      <c r="AP34" s="299">
        <f t="shared" si="5"/>
        <v>1000</v>
      </c>
      <c r="AQ34" s="299">
        <f t="shared" si="6"/>
        <v>1399.7100444620496</v>
      </c>
      <c r="AR34" s="40">
        <f t="shared" si="41"/>
        <v>3499275.1111551239</v>
      </c>
      <c r="AS34" s="21"/>
      <c r="AU34" s="115">
        <f t="shared" si="25"/>
        <v>46965</v>
      </c>
      <c r="AV34" s="298">
        <f>SUMIFS(Inputs!$O$20:$O$31,Inputs!$L$20:$L$31,"&lt;="&amp;AU34,Inputs!$L$20:$L$31,"&gt;"&amp;AU33)</f>
        <v>0</v>
      </c>
      <c r="AW34" s="21">
        <f t="shared" si="37"/>
        <v>5000</v>
      </c>
      <c r="AX34" s="299">
        <f t="shared" si="26"/>
        <v>1930.6977833418669</v>
      </c>
      <c r="AY34" s="299">
        <f t="shared" si="27"/>
        <v>930.69778334186685</v>
      </c>
      <c r="AZ34" s="299">
        <f>AX34*_xlfn.XLOOKUP(AU34,Caixa!$D$3:$BK$3,Caixa!$D$55:$BK$55,0,0)</f>
        <v>58.117750376969965</v>
      </c>
      <c r="BA34" s="231"/>
      <c r="BB34" s="299">
        <f t="shared" si="28"/>
        <v>988.81553371883683</v>
      </c>
      <c r="BC34" s="299">
        <f t="shared" si="29"/>
        <v>1000</v>
      </c>
      <c r="BD34" s="231"/>
      <c r="BE34" s="299">
        <f t="shared" si="30"/>
        <v>1000</v>
      </c>
      <c r="BF34" s="299">
        <f t="shared" si="31"/>
        <v>1988.8155337188368</v>
      </c>
      <c r="BG34" s="40">
        <f t="shared" si="32"/>
        <v>9944077.6685941834</v>
      </c>
      <c r="BH34" s="271"/>
    </row>
    <row r="35" spans="2:60" x14ac:dyDescent="0.3">
      <c r="B35" s="115">
        <f t="shared" si="9"/>
        <v>46996</v>
      </c>
      <c r="C35" s="298">
        <f t="shared" si="10"/>
        <v>0</v>
      </c>
      <c r="D35" s="298">
        <f t="shared" si="11"/>
        <v>10000</v>
      </c>
      <c r="E35" s="150">
        <f t="shared" si="12"/>
        <v>1713.0322621933769</v>
      </c>
      <c r="F35" s="299">
        <f t="shared" si="33"/>
        <v>713.03226219337682</v>
      </c>
      <c r="G35" s="150">
        <f>E35*_xlfn.XLOOKUP(B35,Caixa!$D$3:$BK$3,Caixa!$D$54:$BK$54,0,0)</f>
        <v>48.390543097214263</v>
      </c>
      <c r="H35" s="150">
        <v>0</v>
      </c>
      <c r="I35" s="150">
        <f t="shared" si="13"/>
        <v>761.4228052905911</v>
      </c>
      <c r="J35" s="150">
        <f t="shared" si="14"/>
        <v>1000</v>
      </c>
      <c r="K35" s="150"/>
      <c r="L35" s="150">
        <f t="shared" si="15"/>
        <v>1000</v>
      </c>
      <c r="M35" s="150">
        <f t="shared" si="16"/>
        <v>1761.422805290591</v>
      </c>
      <c r="N35" s="152">
        <f t="shared" si="17"/>
        <v>17614228.05290591</v>
      </c>
      <c r="O35" s="150"/>
      <c r="Q35" s="115">
        <f t="shared" si="38"/>
        <v>46996</v>
      </c>
      <c r="R35" s="298">
        <f>SUMIFS(Inputs!$E$20:$E$31,Inputs!$B$20:$B$31,"&lt;="&amp;Q35,Inputs!$B$20:$B$31,"&gt;"&amp;Q34)</f>
        <v>0</v>
      </c>
      <c r="S35" s="21">
        <f>SUMIFS(Inputs!$C$20:$C$31,Inputs!$B$20:$B$31,"&lt;="&amp;Q35,Inputs!$B$20:$B$31,"&gt;="&amp;Q34)+S34</f>
        <v>2500</v>
      </c>
      <c r="T35" s="299">
        <f t="shared" si="19"/>
        <v>3.0198066269804258E-14</v>
      </c>
      <c r="U35" s="299">
        <f t="shared" si="39"/>
        <v>3.0198066269804258E-14</v>
      </c>
      <c r="V35" s="299">
        <f>T35*(((1+_xlfn.XLOOKUP(Q35,'Curva DI'!$A$2:$A$352,'Curva DI'!$H$2:$H$352,0,-1))*(1+$R$4))^(NETWORKDAYS(Q34,Q35)/252)-1)</f>
        <v>4.4918260051123182E-16</v>
      </c>
      <c r="W35" s="235"/>
      <c r="X35" s="299">
        <f>U35+V35-W35</f>
        <v>3.0647248870315493E-14</v>
      </c>
      <c r="Y35" s="299">
        <f t="shared" si="20"/>
        <v>0</v>
      </c>
      <c r="Z35" s="235"/>
      <c r="AA35" s="299">
        <f t="shared" si="2"/>
        <v>0</v>
      </c>
      <c r="AB35" s="299">
        <f t="shared" si="3"/>
        <v>3.0647248870315493E-14</v>
      </c>
      <c r="AC35" s="40">
        <f t="shared" si="4"/>
        <v>7.6618122175788732E-11</v>
      </c>
      <c r="AD35" s="21"/>
      <c r="AF35" s="115">
        <f t="shared" si="21"/>
        <v>46996</v>
      </c>
      <c r="AG35" s="298">
        <f>SUMIFS(Inputs!$J$20:$J$31,Inputs!$G$20:$G$31,"&lt;="&amp;AF35,Inputs!$G$20:$G$31,"&gt;"&amp;AF34)</f>
        <v>0</v>
      </c>
      <c r="AH35" s="21">
        <f t="shared" si="35"/>
        <v>2500</v>
      </c>
      <c r="AI35" s="299">
        <f t="shared" si="22"/>
        <v>1399.7100444620496</v>
      </c>
      <c r="AJ35" s="299">
        <f t="shared" si="40"/>
        <v>399.71004446204955</v>
      </c>
      <c r="AK35" s="299">
        <f>AI35*(((1+_xlfn.XLOOKUP(AF35,'Curva DI'!$A$2:$A$352,'Curva DI'!$H$2:$H$352,0,-1))*(1+AG$4))^(NETWORKDAYS(AF34,AF35)/252)-1)</f>
        <v>22.140567355685313</v>
      </c>
      <c r="AL35" s="235">
        <v>55.449737727522816</v>
      </c>
      <c r="AM35" s="299">
        <f t="shared" si="36"/>
        <v>366.40087409021208</v>
      </c>
      <c r="AN35" s="299">
        <f t="shared" si="23"/>
        <v>1000</v>
      </c>
      <c r="AO35" s="235">
        <v>83.333333333333329</v>
      </c>
      <c r="AP35" s="299">
        <f t="shared" si="5"/>
        <v>916.66666666666663</v>
      </c>
      <c r="AQ35" s="299">
        <f t="shared" si="6"/>
        <v>1283.0675407568788</v>
      </c>
      <c r="AR35" s="40">
        <f t="shared" si="41"/>
        <v>3207668.851892197</v>
      </c>
      <c r="AS35" s="21"/>
      <c r="AU35" s="115">
        <f t="shared" si="25"/>
        <v>46996</v>
      </c>
      <c r="AV35" s="298">
        <f>SUMIFS(Inputs!$O$20:$O$31,Inputs!$L$20:$L$31,"&lt;="&amp;AU35,Inputs!$L$20:$L$31,"&gt;"&amp;AU34)</f>
        <v>0</v>
      </c>
      <c r="AW35" s="21">
        <f t="shared" si="37"/>
        <v>5000</v>
      </c>
      <c r="AX35" s="299">
        <f t="shared" si="26"/>
        <v>1988.8155337188368</v>
      </c>
      <c r="AY35" s="299">
        <f t="shared" si="27"/>
        <v>988.81553371883683</v>
      </c>
      <c r="AZ35" s="299">
        <f>AX35*_xlfn.XLOOKUP(AU35,Caixa!$D$3:$BK$3,Caixa!$D$55:$BK$55,0,0)</f>
        <v>64.880549989069337</v>
      </c>
      <c r="BA35" s="231"/>
      <c r="BB35" s="299">
        <f t="shared" si="28"/>
        <v>1053.6960837079062</v>
      </c>
      <c r="BC35" s="299">
        <f t="shared" si="29"/>
        <v>1000</v>
      </c>
      <c r="BD35" s="231"/>
      <c r="BE35" s="299">
        <f t="shared" si="30"/>
        <v>1000</v>
      </c>
      <c r="BF35" s="299">
        <f t="shared" si="31"/>
        <v>2053.6960837079059</v>
      </c>
      <c r="BG35" s="40">
        <f t="shared" si="32"/>
        <v>10268480.41853953</v>
      </c>
      <c r="BH35" s="271"/>
    </row>
    <row r="36" spans="2:60" x14ac:dyDescent="0.3">
      <c r="B36" s="115">
        <f t="shared" si="9"/>
        <v>47026</v>
      </c>
      <c r="C36" s="298">
        <f t="shared" si="10"/>
        <v>0</v>
      </c>
      <c r="D36" s="298">
        <f t="shared" si="11"/>
        <v>10000</v>
      </c>
      <c r="E36" s="150">
        <f t="shared" si="12"/>
        <v>1761.422805290591</v>
      </c>
      <c r="F36" s="299">
        <f t="shared" si="33"/>
        <v>761.4228052905911</v>
      </c>
      <c r="G36" s="150">
        <f>E36*_xlfn.XLOOKUP(B36,Caixa!$D$3:$BK$3,Caixa!$D$54:$BK$54,0,0)</f>
        <v>45.936669501561923</v>
      </c>
      <c r="H36" s="150">
        <v>0</v>
      </c>
      <c r="I36" s="150">
        <f t="shared" si="13"/>
        <v>807.35947479215304</v>
      </c>
      <c r="J36" s="150">
        <f t="shared" si="14"/>
        <v>1000</v>
      </c>
      <c r="K36" s="150"/>
      <c r="L36" s="150">
        <f t="shared" si="15"/>
        <v>1000</v>
      </c>
      <c r="M36" s="150">
        <f t="shared" si="16"/>
        <v>1807.3594747921529</v>
      </c>
      <c r="N36" s="152">
        <f t="shared" si="17"/>
        <v>18073594.74792153</v>
      </c>
      <c r="O36" s="150"/>
      <c r="Q36" s="115">
        <f t="shared" si="38"/>
        <v>47026</v>
      </c>
      <c r="R36" s="298">
        <f>SUMIFS(Inputs!$E$20:$E$31,Inputs!$B$20:$B$31,"&lt;="&amp;Q36,Inputs!$B$20:$B$31,"&gt;"&amp;Q35)</f>
        <v>0</v>
      </c>
      <c r="S36" s="21">
        <f>SUMIFS(Inputs!$C$20:$C$31,Inputs!$B$20:$B$31,"&lt;="&amp;Q36,Inputs!$B$20:$B$31,"&gt;="&amp;Q35)+S35</f>
        <v>2500</v>
      </c>
      <c r="T36" s="299">
        <f t="shared" si="19"/>
        <v>3.0647248870315493E-14</v>
      </c>
      <c r="U36" s="299">
        <f t="shared" si="39"/>
        <v>3.0647248870315493E-14</v>
      </c>
      <c r="V36" s="299">
        <f>T36*(((1+_xlfn.XLOOKUP(Q36,'Curva DI'!$A$2:$A$352,'Curva DI'!$H$2:$H$352,0,-1))*(1+$R$4))^(NETWORKDAYS(Q35,Q36)/252)-1)</f>
        <v>4.1785460468736331E-16</v>
      </c>
      <c r="W36" s="235"/>
      <c r="X36" s="299">
        <f>U36+V36-W36</f>
        <v>3.1065103475002855E-14</v>
      </c>
      <c r="Y36" s="299">
        <f t="shared" si="20"/>
        <v>0</v>
      </c>
      <c r="Z36" s="235"/>
      <c r="AA36" s="299">
        <f t="shared" si="2"/>
        <v>0</v>
      </c>
      <c r="AB36" s="299">
        <f t="shared" si="3"/>
        <v>3.1065103475002855E-14</v>
      </c>
      <c r="AC36" s="40">
        <f t="shared" si="4"/>
        <v>7.7662758687507142E-11</v>
      </c>
      <c r="AD36" s="21"/>
      <c r="AF36" s="115">
        <f t="shared" si="21"/>
        <v>47026</v>
      </c>
      <c r="AG36" s="298">
        <f>SUMIFS(Inputs!$J$20:$J$31,Inputs!$G$20:$G$31,"&lt;="&amp;AF36,Inputs!$G$20:$G$31,"&gt;"&amp;AF35)</f>
        <v>0</v>
      </c>
      <c r="AH36" s="21">
        <f t="shared" si="35"/>
        <v>2500</v>
      </c>
      <c r="AI36" s="299">
        <f t="shared" si="22"/>
        <v>1283.0675407568788</v>
      </c>
      <c r="AJ36" s="299">
        <f t="shared" si="40"/>
        <v>366.40087409021208</v>
      </c>
      <c r="AK36" s="299">
        <f>AI36*(((1+_xlfn.XLOOKUP(AF36,'Curva DI'!$A$2:$A$352,'Curva DI'!$H$2:$H$352,0,-1))*(1+AG$4))^(NETWORKDAYS(AF35,AF36)/252)-1)</f>
        <v>18.601960456507904</v>
      </c>
      <c r="AL36" s="235">
        <v>51.911130828345406</v>
      </c>
      <c r="AM36" s="299">
        <f t="shared" si="36"/>
        <v>333.09170371837462</v>
      </c>
      <c r="AN36" s="299">
        <f t="shared" si="23"/>
        <v>916.66666666666663</v>
      </c>
      <c r="AO36" s="235">
        <v>83.333333333333329</v>
      </c>
      <c r="AP36" s="299">
        <f t="shared" si="5"/>
        <v>833.33333333333326</v>
      </c>
      <c r="AQ36" s="299">
        <f t="shared" si="6"/>
        <v>1166.4250370517079</v>
      </c>
      <c r="AR36" s="40">
        <f t="shared" si="41"/>
        <v>2916062.5926292697</v>
      </c>
      <c r="AS36" s="21"/>
      <c r="AU36" s="115">
        <f t="shared" si="25"/>
        <v>47026</v>
      </c>
      <c r="AV36" s="298">
        <f>SUMIFS(Inputs!$O$20:$O$31,Inputs!$L$20:$L$31,"&lt;="&amp;AU36,Inputs!$L$20:$L$31,"&gt;"&amp;AU35)</f>
        <v>0</v>
      </c>
      <c r="AW36" s="21">
        <f t="shared" si="37"/>
        <v>5000</v>
      </c>
      <c r="AX36" s="299">
        <f t="shared" si="26"/>
        <v>2053.6960837079059</v>
      </c>
      <c r="AY36" s="299">
        <f t="shared" si="27"/>
        <v>1053.6960837079062</v>
      </c>
      <c r="AZ36" s="299">
        <f>AX36*_xlfn.XLOOKUP(AU36,Caixa!$D$3:$BK$3,Caixa!$D$55:$BK$55,0,0)</f>
        <v>60.988721180194808</v>
      </c>
      <c r="BA36" s="231"/>
      <c r="BB36" s="299">
        <f t="shared" si="28"/>
        <v>1114.6848048881009</v>
      </c>
      <c r="BC36" s="299">
        <f t="shared" si="29"/>
        <v>1000</v>
      </c>
      <c r="BD36" s="231"/>
      <c r="BE36" s="299">
        <f t="shared" si="30"/>
        <v>1000</v>
      </c>
      <c r="BF36" s="299">
        <f t="shared" si="31"/>
        <v>2114.6848048881011</v>
      </c>
      <c r="BG36" s="40">
        <f t="shared" si="32"/>
        <v>10573424.024440505</v>
      </c>
      <c r="BH36" s="271"/>
    </row>
    <row r="37" spans="2:60" x14ac:dyDescent="0.3">
      <c r="B37" s="115">
        <f t="shared" si="9"/>
        <v>47057</v>
      </c>
      <c r="C37" s="298">
        <f t="shared" si="10"/>
        <v>0</v>
      </c>
      <c r="D37" s="298">
        <f t="shared" si="11"/>
        <v>10000</v>
      </c>
      <c r="E37" s="150">
        <f t="shared" si="12"/>
        <v>1807.3594747921529</v>
      </c>
      <c r="F37" s="299">
        <f t="shared" si="33"/>
        <v>807.35947479215304</v>
      </c>
      <c r="G37" s="150">
        <f>E37*_xlfn.XLOOKUP(B37,Caixa!$D$3:$BK$3,Caixa!$D$54:$BK$54,0,0)</f>
        <v>47.338593001483837</v>
      </c>
      <c r="H37" s="150">
        <v>0</v>
      </c>
      <c r="I37" s="150">
        <f t="shared" si="13"/>
        <v>854.69806779363682</v>
      </c>
      <c r="J37" s="150">
        <f t="shared" si="14"/>
        <v>1000</v>
      </c>
      <c r="K37" s="150"/>
      <c r="L37" s="150">
        <f t="shared" si="15"/>
        <v>1000</v>
      </c>
      <c r="M37" s="150">
        <f t="shared" si="16"/>
        <v>1854.6980677936367</v>
      </c>
      <c r="N37" s="152">
        <f t="shared" si="17"/>
        <v>18546980.677936368</v>
      </c>
      <c r="O37" s="150"/>
      <c r="Q37" s="115">
        <f t="shared" si="38"/>
        <v>47057</v>
      </c>
      <c r="R37" s="298">
        <f>SUMIFS(Inputs!$E$20:$E$31,Inputs!$B$20:$B$31,"&lt;="&amp;Q37,Inputs!$B$20:$B$31,"&gt;"&amp;Q36)</f>
        <v>0</v>
      </c>
      <c r="S37" s="21">
        <f>SUMIFS(Inputs!$C$20:$C$31,Inputs!$B$20:$B$31,"&lt;="&amp;Q37,Inputs!$B$20:$B$31,"&gt;="&amp;Q36)+S36</f>
        <v>2500</v>
      </c>
      <c r="T37" s="299">
        <f t="shared" si="19"/>
        <v>3.1065103475002855E-14</v>
      </c>
      <c r="U37" s="299">
        <f t="shared" si="39"/>
        <v>3.1065103475002855E-14</v>
      </c>
      <c r="V37" s="299">
        <f>T37*(((1+_xlfn.XLOOKUP(Q37,'Curva DI'!$A$2:$A$352,'Curva DI'!$H$2:$H$352,0,-1))*(1+$R$4))^(NETWORKDAYS(Q36,Q37)/252)-1)</f>
        <v>4.2403195090533203E-16</v>
      </c>
      <c r="W37" s="235"/>
      <c r="X37" s="299">
        <f t="shared" si="34"/>
        <v>3.1489135425908184E-14</v>
      </c>
      <c r="Y37" s="299">
        <f t="shared" si="20"/>
        <v>0</v>
      </c>
      <c r="Z37" s="235"/>
      <c r="AA37" s="299">
        <f t="shared" si="2"/>
        <v>0</v>
      </c>
      <c r="AB37" s="299">
        <f t="shared" si="3"/>
        <v>3.1489135425908184E-14</v>
      </c>
      <c r="AC37" s="40">
        <f t="shared" si="4"/>
        <v>7.872283856477046E-11</v>
      </c>
      <c r="AD37" s="21"/>
      <c r="AF37" s="115">
        <f t="shared" si="21"/>
        <v>47057</v>
      </c>
      <c r="AG37" s="298">
        <f>SUMIFS(Inputs!$J$20:$J$31,Inputs!$G$20:$G$31,"&lt;="&amp;AF37,Inputs!$G$20:$G$31,"&gt;"&amp;AF36)</f>
        <v>0</v>
      </c>
      <c r="AH37" s="21">
        <f t="shared" si="35"/>
        <v>2500</v>
      </c>
      <c r="AI37" s="299">
        <f t="shared" si="22"/>
        <v>1166.4250370517079</v>
      </c>
      <c r="AJ37" s="299">
        <f t="shared" si="40"/>
        <v>333.09170371837462</v>
      </c>
      <c r="AK37" s="299">
        <f>AI37*(((1+_xlfn.XLOOKUP(AF37,'Curva DI'!$A$2:$A$352,'Curva DI'!$H$2:$H$352,0,-1))*(1+AG$4))^(NETWORKDAYS(AF36,AF37)/252)-1)</f>
        <v>16.928918188779736</v>
      </c>
      <c r="AL37" s="235">
        <v>50.238088560617243</v>
      </c>
      <c r="AM37" s="299">
        <f t="shared" si="36"/>
        <v>299.78253334653709</v>
      </c>
      <c r="AN37" s="299">
        <f t="shared" si="23"/>
        <v>833.33333333333326</v>
      </c>
      <c r="AO37" s="235">
        <v>83.333333333333329</v>
      </c>
      <c r="AP37" s="299">
        <f t="shared" si="5"/>
        <v>749.99999999999989</v>
      </c>
      <c r="AQ37" s="299">
        <f t="shared" si="6"/>
        <v>1049.7825333465371</v>
      </c>
      <c r="AR37" s="40">
        <f t="shared" si="41"/>
        <v>2624456.3333663428</v>
      </c>
      <c r="AS37" s="21"/>
      <c r="AU37" s="115">
        <f t="shared" si="25"/>
        <v>47057</v>
      </c>
      <c r="AV37" s="298">
        <f>SUMIFS(Inputs!$O$20:$O$31,Inputs!$L$20:$L$31,"&lt;="&amp;AU37,Inputs!$L$20:$L$31,"&gt;"&amp;AU36)</f>
        <v>0</v>
      </c>
      <c r="AW37" s="21">
        <f t="shared" si="37"/>
        <v>5000</v>
      </c>
      <c r="AX37" s="299">
        <f t="shared" si="26"/>
        <v>2114.6848048881011</v>
      </c>
      <c r="AY37" s="299">
        <f t="shared" si="27"/>
        <v>1114.6848048881009</v>
      </c>
      <c r="AZ37" s="299">
        <f>AX37*_xlfn.XLOOKUP(AU37,Caixa!$D$3:$BK$3,Caixa!$D$55:$BK$55,0,0)</f>
        <v>62.199216358205888</v>
      </c>
      <c r="BA37" s="231"/>
      <c r="BB37" s="299">
        <f t="shared" si="28"/>
        <v>1176.8840212463067</v>
      </c>
      <c r="BC37" s="299">
        <f t="shared" si="29"/>
        <v>1000</v>
      </c>
      <c r="BD37" s="231"/>
      <c r="BE37" s="299">
        <f t="shared" si="30"/>
        <v>1000</v>
      </c>
      <c r="BF37" s="299">
        <f t="shared" si="31"/>
        <v>2176.8840212463065</v>
      </c>
      <c r="BG37" s="40">
        <f t="shared" si="32"/>
        <v>10884420.106231533</v>
      </c>
      <c r="BH37" s="271"/>
    </row>
    <row r="38" spans="2:60" x14ac:dyDescent="0.3">
      <c r="B38" s="115">
        <f t="shared" si="9"/>
        <v>47087</v>
      </c>
      <c r="C38" s="298">
        <f t="shared" si="10"/>
        <v>0</v>
      </c>
      <c r="D38" s="298">
        <f t="shared" si="11"/>
        <v>10000</v>
      </c>
      <c r="E38" s="150">
        <f t="shared" si="12"/>
        <v>1854.6980677936367</v>
      </c>
      <c r="F38" s="299">
        <f t="shared" si="33"/>
        <v>854.69806779363682</v>
      </c>
      <c r="G38" s="150">
        <f>E38*_xlfn.XLOOKUP(B38,Caixa!$D$3:$BK$3,Caixa!$D$54:$BK$54,0,0)</f>
        <v>52.508067514882534</v>
      </c>
      <c r="H38" s="150">
        <v>0</v>
      </c>
      <c r="I38" s="150">
        <f t="shared" si="13"/>
        <v>907.20613530851938</v>
      </c>
      <c r="J38" s="150">
        <f t="shared" si="14"/>
        <v>1000</v>
      </c>
      <c r="K38" s="150"/>
      <c r="L38" s="150">
        <f t="shared" si="15"/>
        <v>1000</v>
      </c>
      <c r="M38" s="150">
        <f t="shared" si="16"/>
        <v>1907.2061353085194</v>
      </c>
      <c r="N38" s="152">
        <f t="shared" si="17"/>
        <v>19072061.353085194</v>
      </c>
      <c r="O38" s="150"/>
      <c r="Q38" s="115">
        <f t="shared" si="38"/>
        <v>47087</v>
      </c>
      <c r="R38" s="298">
        <f>SUMIFS(Inputs!$E$20:$E$31,Inputs!$B$20:$B$31,"&lt;="&amp;Q38,Inputs!$B$20:$B$31,"&gt;"&amp;Q37)</f>
        <v>0</v>
      </c>
      <c r="S38" s="21">
        <f>SUMIFS(Inputs!$C$20:$C$31,Inputs!$B$20:$B$31,"&lt;="&amp;Q38,Inputs!$B$20:$B$31,"&gt;="&amp;Q37)+S37</f>
        <v>2500</v>
      </c>
      <c r="T38" s="299">
        <f t="shared" si="19"/>
        <v>3.1489135425908184E-14</v>
      </c>
      <c r="U38" s="299">
        <f t="shared" si="39"/>
        <v>3.1489135425908184E-14</v>
      </c>
      <c r="V38" s="299">
        <f>T38*(((1+_xlfn.XLOOKUP(Q38,'Curva DI'!$A$2:$A$352,'Curva DI'!$H$2:$H$352,0,-1))*(1+$R$4))^(NETWORKDAYS(Q37,Q38)/252)-1)</f>
        <v>4.4975051838514756E-16</v>
      </c>
      <c r="W38" s="235"/>
      <c r="X38" s="299">
        <f t="shared" si="34"/>
        <v>3.1938885944293331E-14</v>
      </c>
      <c r="Y38" s="299">
        <f t="shared" si="20"/>
        <v>0</v>
      </c>
      <c r="Z38" s="235"/>
      <c r="AA38" s="299">
        <f t="shared" si="2"/>
        <v>0</v>
      </c>
      <c r="AB38" s="299">
        <f t="shared" si="3"/>
        <v>3.1938885944293331E-14</v>
      </c>
      <c r="AC38" s="40">
        <f t="shared" si="4"/>
        <v>7.9847214860733328E-11</v>
      </c>
      <c r="AD38" s="21"/>
      <c r="AF38" s="115">
        <f t="shared" si="21"/>
        <v>47087</v>
      </c>
      <c r="AG38" s="298">
        <f>SUMIFS(Inputs!$J$20:$J$31,Inputs!$G$20:$G$31,"&lt;="&amp;AF38,Inputs!$G$20:$G$31,"&gt;"&amp;AF37)</f>
        <v>0</v>
      </c>
      <c r="AH38" s="21">
        <f t="shared" si="35"/>
        <v>2500</v>
      </c>
      <c r="AI38" s="299">
        <f t="shared" si="22"/>
        <v>1049.7825333465371</v>
      </c>
      <c r="AJ38" s="299">
        <f t="shared" si="40"/>
        <v>299.78253334653709</v>
      </c>
      <c r="AK38" s="299">
        <f>AI38*(((1+_xlfn.XLOOKUP(AF38,'Curva DI'!$A$2:$A$352,'Curva DI'!$H$2:$H$352,0,-1))*(1+AG$4))^(NETWORKDAYS(AF37,AF38)/252)-1)</f>
        <v>15.942296931387526</v>
      </c>
      <c r="AL38" s="235">
        <v>49.251467303225027</v>
      </c>
      <c r="AM38" s="299">
        <f t="shared" si="36"/>
        <v>266.47336297469963</v>
      </c>
      <c r="AN38" s="299">
        <f t="shared" si="23"/>
        <v>749.99999999999989</v>
      </c>
      <c r="AO38" s="235">
        <v>83.333333333333329</v>
      </c>
      <c r="AP38" s="299">
        <f t="shared" si="5"/>
        <v>666.66666666666652</v>
      </c>
      <c r="AQ38" s="299">
        <f t="shared" si="6"/>
        <v>933.14002964136614</v>
      </c>
      <c r="AR38" s="40">
        <f t="shared" si="41"/>
        <v>2332850.0741034155</v>
      </c>
      <c r="AS38" s="21"/>
      <c r="AU38" s="115">
        <f t="shared" si="25"/>
        <v>47087</v>
      </c>
      <c r="AV38" s="298">
        <f>SUMIFS(Inputs!$O$20:$O$31,Inputs!$L$20:$L$31,"&lt;="&amp;AU38,Inputs!$L$20:$L$31,"&gt;"&amp;AU37)</f>
        <v>0</v>
      </c>
      <c r="AW38" s="21">
        <f t="shared" si="37"/>
        <v>5000</v>
      </c>
      <c r="AX38" s="299">
        <f t="shared" si="26"/>
        <v>2176.8840212463065</v>
      </c>
      <c r="AY38" s="299">
        <f t="shared" si="27"/>
        <v>1176.8840212463067</v>
      </c>
      <c r="AZ38" s="299">
        <f>AX38*_xlfn.XLOOKUP(AU38,Caixa!$D$3:$BK$3,Caixa!$D$55:$BK$55,0,0)</f>
        <v>68.518390015836701</v>
      </c>
      <c r="BA38" s="231"/>
      <c r="BB38" s="299">
        <f t="shared" si="28"/>
        <v>1245.4024112621435</v>
      </c>
      <c r="BC38" s="299">
        <f t="shared" si="29"/>
        <v>1000</v>
      </c>
      <c r="BD38" s="231"/>
      <c r="BE38" s="299">
        <f t="shared" si="30"/>
        <v>1000</v>
      </c>
      <c r="BF38" s="299">
        <f t="shared" si="31"/>
        <v>2245.4024112621437</v>
      </c>
      <c r="BG38" s="40">
        <f t="shared" si="32"/>
        <v>11227012.056310719</v>
      </c>
      <c r="BH38" s="271"/>
    </row>
    <row r="39" spans="2:60" x14ac:dyDescent="0.3">
      <c r="B39" s="115">
        <f t="shared" si="9"/>
        <v>47118</v>
      </c>
      <c r="C39" s="298">
        <f t="shared" si="10"/>
        <v>0</v>
      </c>
      <c r="D39" s="298">
        <f t="shared" si="11"/>
        <v>10000</v>
      </c>
      <c r="E39" s="150">
        <f t="shared" si="12"/>
        <v>1907.2061353085194</v>
      </c>
      <c r="F39" s="299">
        <f t="shared" si="33"/>
        <v>907.20613530851938</v>
      </c>
      <c r="G39" s="150">
        <f>E39*_xlfn.XLOOKUP(B39,Caixa!$D$3:$BK$3,Caixa!$D$54:$BK$54,0,0)</f>
        <v>49.577452272075789</v>
      </c>
      <c r="H39" s="150">
        <v>0</v>
      </c>
      <c r="I39" s="150">
        <f t="shared" si="13"/>
        <v>956.78358758059517</v>
      </c>
      <c r="J39" s="150">
        <f t="shared" si="14"/>
        <v>1000</v>
      </c>
      <c r="K39" s="150"/>
      <c r="L39" s="150">
        <f t="shared" si="15"/>
        <v>1000</v>
      </c>
      <c r="M39" s="150">
        <f t="shared" si="16"/>
        <v>1956.7835875805952</v>
      </c>
      <c r="N39" s="152">
        <f t="shared" si="17"/>
        <v>19567835.875805952</v>
      </c>
      <c r="O39" s="150"/>
      <c r="Q39" s="115">
        <f t="shared" si="38"/>
        <v>47118</v>
      </c>
      <c r="R39" s="298">
        <f>SUMIFS(Inputs!$E$20:$E$31,Inputs!$B$20:$B$31,"&lt;="&amp;Q39,Inputs!$B$20:$B$31,"&gt;"&amp;Q38)</f>
        <v>0</v>
      </c>
      <c r="S39" s="21">
        <f>SUMIFS(Inputs!$C$20:$C$31,Inputs!$B$20:$B$31,"&lt;="&amp;Q39,Inputs!$B$20:$B$31,"&gt;="&amp;Q38)+S38</f>
        <v>2500</v>
      </c>
      <c r="T39" s="299">
        <f t="shared" si="19"/>
        <v>3.1938885944293331E-14</v>
      </c>
      <c r="U39" s="299">
        <f t="shared" si="39"/>
        <v>3.1938885944293331E-14</v>
      </c>
      <c r="V39" s="299">
        <f>T39*(((1+_xlfn.XLOOKUP(Q39,'Curva DI'!$A$2:$A$352,'Curva DI'!$H$2:$H$352,0,-1))*(1+$R$4))^(NETWORKDAYS(Q38,Q39)/252)-1)</f>
        <v>4.3669927467368429E-16</v>
      </c>
      <c r="W39" s="235"/>
      <c r="X39" s="299">
        <f t="shared" si="34"/>
        <v>3.2375585218967015E-14</v>
      </c>
      <c r="Y39" s="299">
        <f t="shared" si="20"/>
        <v>0</v>
      </c>
      <c r="Z39" s="235"/>
      <c r="AA39" s="299">
        <f t="shared" si="2"/>
        <v>0</v>
      </c>
      <c r="AB39" s="299">
        <f t="shared" si="3"/>
        <v>3.2375585218967015E-14</v>
      </c>
      <c r="AC39" s="40">
        <f t="shared" si="4"/>
        <v>8.093896304741753E-11</v>
      </c>
      <c r="AD39" s="21"/>
      <c r="AF39" s="115">
        <f t="shared" si="21"/>
        <v>47118</v>
      </c>
      <c r="AG39" s="298">
        <f>SUMIFS(Inputs!$J$20:$J$31,Inputs!$G$20:$G$31,"&lt;="&amp;AF39,Inputs!$G$20:$G$31,"&gt;"&amp;AF38)</f>
        <v>0</v>
      </c>
      <c r="AH39" s="21">
        <f t="shared" si="35"/>
        <v>2500</v>
      </c>
      <c r="AI39" s="299">
        <f t="shared" si="22"/>
        <v>933.14002964136614</v>
      </c>
      <c r="AJ39" s="299">
        <f t="shared" si="40"/>
        <v>266.47336297469963</v>
      </c>
      <c r="AK39" s="299">
        <f>AI39*(((1+_xlfn.XLOOKUP(AF39,'Curva DI'!$A$2:$A$352,'Curva DI'!$H$2:$H$352,0,-1))*(1+AG$4))^(NETWORKDAYS(AF38,AF39)/252)-1)</f>
        <v>13.564784292583125</v>
      </c>
      <c r="AL39" s="235">
        <v>46.87395466442063</v>
      </c>
      <c r="AM39" s="299">
        <f t="shared" si="36"/>
        <v>233.1641926028621</v>
      </c>
      <c r="AN39" s="299">
        <f t="shared" si="23"/>
        <v>666.66666666666652</v>
      </c>
      <c r="AO39" s="235">
        <v>83.333333333333329</v>
      </c>
      <c r="AP39" s="299">
        <f t="shared" si="5"/>
        <v>583.33333333333314</v>
      </c>
      <c r="AQ39" s="299">
        <f t="shared" si="6"/>
        <v>816.49752593619519</v>
      </c>
      <c r="AR39" s="40">
        <f t="shared" si="41"/>
        <v>2041243.8148404879</v>
      </c>
      <c r="AS39" s="21"/>
      <c r="AU39" s="115">
        <f t="shared" si="25"/>
        <v>47118</v>
      </c>
      <c r="AV39" s="298">
        <f>SUMIFS(Inputs!$O$20:$O$31,Inputs!$L$20:$L$31,"&lt;="&amp;AU39,Inputs!$L$20:$L$31,"&gt;"&amp;AU38)</f>
        <v>0</v>
      </c>
      <c r="AW39" s="21">
        <f t="shared" si="37"/>
        <v>5000</v>
      </c>
      <c r="AX39" s="299">
        <f t="shared" si="26"/>
        <v>2245.4024112621437</v>
      </c>
      <c r="AY39" s="299">
        <f t="shared" si="27"/>
        <v>1245.4024112621435</v>
      </c>
      <c r="AZ39" s="299">
        <f>AX39*_xlfn.XLOOKUP(AU39,Caixa!$D$3:$BK$3,Caixa!$D$55:$BK$55,0,0)</f>
        <v>63.714803216157677</v>
      </c>
      <c r="BA39" s="231"/>
      <c r="BB39" s="299">
        <f t="shared" si="28"/>
        <v>1309.1172144783011</v>
      </c>
      <c r="BC39" s="299">
        <f t="shared" si="29"/>
        <v>1000</v>
      </c>
      <c r="BD39" s="231"/>
      <c r="BE39" s="299">
        <f t="shared" si="30"/>
        <v>1000</v>
      </c>
      <c r="BF39" s="299">
        <f t="shared" si="31"/>
        <v>2309.1172144783013</v>
      </c>
      <c r="BG39" s="40">
        <f t="shared" si="32"/>
        <v>11545586.072391506</v>
      </c>
      <c r="BH39" s="271"/>
    </row>
    <row r="40" spans="2:60" x14ac:dyDescent="0.3">
      <c r="B40" s="115">
        <f t="shared" si="9"/>
        <v>47149</v>
      </c>
      <c r="C40" s="298">
        <f t="shared" si="10"/>
        <v>0</v>
      </c>
      <c r="D40" s="298">
        <f t="shared" si="11"/>
        <v>10000</v>
      </c>
      <c r="E40" s="150">
        <f t="shared" si="12"/>
        <v>1956.7835875805952</v>
      </c>
      <c r="F40" s="299">
        <f t="shared" si="33"/>
        <v>956.78358758059517</v>
      </c>
      <c r="G40" s="150">
        <f>E40*_xlfn.XLOOKUP(B40,Caixa!$D$3:$BK$3,Caixa!$D$54:$BK$54,0,0)</f>
        <v>51.111895268251942</v>
      </c>
      <c r="H40" s="150">
        <v>0</v>
      </c>
      <c r="I40" s="150">
        <f t="shared" si="13"/>
        <v>1007.8954828488471</v>
      </c>
      <c r="J40" s="150">
        <f t="shared" si="14"/>
        <v>1000</v>
      </c>
      <c r="K40" s="150"/>
      <c r="L40" s="150">
        <f t="shared" si="15"/>
        <v>1000</v>
      </c>
      <c r="M40" s="150">
        <f t="shared" si="16"/>
        <v>2007.8954828488472</v>
      </c>
      <c r="N40" s="152">
        <f t="shared" si="17"/>
        <v>20078954.828488473</v>
      </c>
      <c r="O40" s="150"/>
      <c r="Q40" s="115">
        <f t="shared" si="38"/>
        <v>47149</v>
      </c>
      <c r="R40" s="298">
        <f>SUMIFS(Inputs!$E$20:$E$31,Inputs!$B$20:$B$31,"&lt;="&amp;Q40,Inputs!$B$20:$B$31,"&gt;"&amp;Q39)</f>
        <v>0</v>
      </c>
      <c r="S40" s="21">
        <f>SUMIFS(Inputs!$C$20:$C$31,Inputs!$B$20:$B$31,"&lt;="&amp;Q40,Inputs!$B$20:$B$31,"&gt;="&amp;Q39)+S39</f>
        <v>2500</v>
      </c>
      <c r="T40" s="299">
        <f t="shared" si="19"/>
        <v>3.2375585218967015E-14</v>
      </c>
      <c r="U40" s="299">
        <f t="shared" si="39"/>
        <v>3.2375585218967015E-14</v>
      </c>
      <c r="V40" s="299">
        <f>T40*(((1+_xlfn.XLOOKUP(Q40,'Curva DI'!$A$2:$A$352,'Curva DI'!$H$2:$H$352,0,-1))*(1+$R$4))^(NETWORKDAYS(Q39,Q40)/252)-1)</f>
        <v>4.6319647367745838E-16</v>
      </c>
      <c r="W40" s="235"/>
      <c r="X40" s="299">
        <f t="shared" si="34"/>
        <v>3.2838781692644475E-14</v>
      </c>
      <c r="Y40" s="299">
        <f t="shared" si="20"/>
        <v>0</v>
      </c>
      <c r="Z40" s="235"/>
      <c r="AA40" s="299">
        <f t="shared" si="2"/>
        <v>0</v>
      </c>
      <c r="AB40" s="299">
        <f t="shared" si="3"/>
        <v>3.2838781692644475E-14</v>
      </c>
      <c r="AC40" s="40">
        <f t="shared" si="4"/>
        <v>8.2096954231611184E-11</v>
      </c>
      <c r="AD40" s="21"/>
      <c r="AF40" s="115">
        <f t="shared" si="21"/>
        <v>47149</v>
      </c>
      <c r="AG40" s="298">
        <f>SUMIFS(Inputs!$J$20:$J$31,Inputs!$G$20:$G$31,"&lt;="&amp;AF40,Inputs!$G$20:$G$31,"&gt;"&amp;AF39)</f>
        <v>0</v>
      </c>
      <c r="AH40" s="21">
        <f t="shared" si="35"/>
        <v>2500</v>
      </c>
      <c r="AI40" s="299">
        <f t="shared" si="22"/>
        <v>816.49752593619519</v>
      </c>
      <c r="AJ40" s="299">
        <f t="shared" si="40"/>
        <v>233.1641926028621</v>
      </c>
      <c r="AK40" s="299">
        <f>AI40*(((1+_xlfn.XLOOKUP(AF40,'Curva DI'!$A$2:$A$352,'Curva DI'!$H$2:$H$352,0,-1))*(1+AG$4))^(NETWORKDAYS(AF39,AF40)/252)-1)</f>
        <v>12.419380286581942</v>
      </c>
      <c r="AL40" s="235">
        <v>45.728550658419444</v>
      </c>
      <c r="AM40" s="299">
        <f t="shared" si="36"/>
        <v>199.85502223102461</v>
      </c>
      <c r="AN40" s="299">
        <f t="shared" si="23"/>
        <v>583.33333333333314</v>
      </c>
      <c r="AO40" s="235">
        <v>83.333333333333329</v>
      </c>
      <c r="AP40" s="299">
        <f t="shared" si="5"/>
        <v>499.99999999999983</v>
      </c>
      <c r="AQ40" s="299">
        <f t="shared" si="6"/>
        <v>699.85502223102446</v>
      </c>
      <c r="AR40" s="40">
        <f t="shared" si="41"/>
        <v>1749637.5555775613</v>
      </c>
      <c r="AS40" s="21"/>
      <c r="AU40" s="115">
        <f t="shared" si="25"/>
        <v>47149</v>
      </c>
      <c r="AV40" s="298">
        <f>SUMIFS(Inputs!$O$20:$O$31,Inputs!$L$20:$L$31,"&lt;="&amp;AU40,Inputs!$L$20:$L$31,"&gt;"&amp;AU39)</f>
        <v>0</v>
      </c>
      <c r="AW40" s="21">
        <f t="shared" si="37"/>
        <v>5000</v>
      </c>
      <c r="AX40" s="299">
        <f t="shared" si="26"/>
        <v>2309.1172144783013</v>
      </c>
      <c r="AY40" s="299">
        <f t="shared" si="27"/>
        <v>1309.1172144783011</v>
      </c>
      <c r="AZ40" s="299">
        <f>AX40*_xlfn.XLOOKUP(AU40,Caixa!$D$3:$BK$3,Caixa!$D$55:$BK$55,0,0)</f>
        <v>64.768892325543789</v>
      </c>
      <c r="BA40" s="231"/>
      <c r="BB40" s="299">
        <f t="shared" si="28"/>
        <v>1373.886106803845</v>
      </c>
      <c r="BC40" s="299">
        <f t="shared" si="29"/>
        <v>1000</v>
      </c>
      <c r="BD40" s="231"/>
      <c r="BE40" s="299">
        <f t="shared" si="30"/>
        <v>1000</v>
      </c>
      <c r="BF40" s="299">
        <f t="shared" si="31"/>
        <v>2373.886106803845</v>
      </c>
      <c r="BG40" s="40">
        <f t="shared" si="32"/>
        <v>11869430.534019224</v>
      </c>
      <c r="BH40" s="271"/>
    </row>
    <row r="41" spans="2:60" x14ac:dyDescent="0.3">
      <c r="B41" s="115">
        <f t="shared" si="9"/>
        <v>47177</v>
      </c>
      <c r="C41" s="298">
        <f t="shared" si="10"/>
        <v>0</v>
      </c>
      <c r="D41" s="298">
        <f t="shared" si="11"/>
        <v>10000</v>
      </c>
      <c r="E41" s="150">
        <f t="shared" si="12"/>
        <v>2007.8954828488472</v>
      </c>
      <c r="F41" s="299">
        <f t="shared" si="33"/>
        <v>1007.8954828488471</v>
      </c>
      <c r="G41" s="150">
        <f>E41*_xlfn.XLOOKUP(B41,Caixa!$D$3:$BK$3,Caixa!$D$54:$BK$54,0,0)</f>
        <v>57.015345905640601</v>
      </c>
      <c r="H41" s="150">
        <v>0</v>
      </c>
      <c r="I41" s="150">
        <f t="shared" si="13"/>
        <v>1064.9108287544877</v>
      </c>
      <c r="J41" s="150">
        <f t="shared" si="14"/>
        <v>1000</v>
      </c>
      <c r="K41" s="150"/>
      <c r="L41" s="150">
        <f t="shared" si="15"/>
        <v>1000</v>
      </c>
      <c r="M41" s="150">
        <f t="shared" si="16"/>
        <v>2064.9108287544877</v>
      </c>
      <c r="N41" s="152">
        <f t="shared" si="17"/>
        <v>20649108.287544876</v>
      </c>
      <c r="O41" s="150"/>
      <c r="Q41" s="115">
        <f t="shared" si="38"/>
        <v>47177</v>
      </c>
      <c r="R41" s="298">
        <f>SUMIFS(Inputs!$E$20:$E$31,Inputs!$B$20:$B$31,"&lt;="&amp;Q41,Inputs!$B$20:$B$31,"&gt;"&amp;Q40)</f>
        <v>0</v>
      </c>
      <c r="S41" s="21">
        <f>SUMIFS(Inputs!$C$20:$C$31,Inputs!$B$20:$B$31,"&lt;="&amp;Q41,Inputs!$B$20:$B$31,"&gt;="&amp;Q40)+S40</f>
        <v>2500</v>
      </c>
      <c r="T41" s="299">
        <f t="shared" si="19"/>
        <v>3.2838781692644475E-14</v>
      </c>
      <c r="U41" s="299">
        <f t="shared" si="39"/>
        <v>3.2838781692644475E-14</v>
      </c>
      <c r="V41" s="299">
        <f>T41*(((1+_xlfn.XLOOKUP(Q41,'Curva DI'!$A$2:$A$352,'Curva DI'!$H$2:$H$352,0,-1))*(1+$R$4))^(NETWORKDAYS(Q40,Q41)/252)-1)</f>
        <v>4.2894574345507954E-16</v>
      </c>
      <c r="W41" s="235"/>
      <c r="X41" s="299">
        <f t="shared" si="34"/>
        <v>3.3267727436099555E-14</v>
      </c>
      <c r="Y41" s="299">
        <f t="shared" si="20"/>
        <v>0</v>
      </c>
      <c r="Z41" s="235"/>
      <c r="AA41" s="299">
        <f t="shared" si="2"/>
        <v>0</v>
      </c>
      <c r="AB41" s="299">
        <f t="shared" si="3"/>
        <v>3.3267727436099555E-14</v>
      </c>
      <c r="AC41" s="40">
        <f t="shared" si="4"/>
        <v>8.3169318590248881E-11</v>
      </c>
      <c r="AD41" s="21"/>
      <c r="AF41" s="115">
        <f t="shared" si="21"/>
        <v>47177</v>
      </c>
      <c r="AG41" s="298">
        <f>SUMIFS(Inputs!$J$20:$J$31,Inputs!$G$20:$G$31,"&lt;="&amp;AF41,Inputs!$G$20:$G$31,"&gt;"&amp;AF40)</f>
        <v>0</v>
      </c>
      <c r="AH41" s="21">
        <f t="shared" si="35"/>
        <v>2500</v>
      </c>
      <c r="AI41" s="299">
        <f t="shared" si="22"/>
        <v>699.85502223102446</v>
      </c>
      <c r="AJ41" s="299">
        <f t="shared" si="40"/>
        <v>199.85502223102461</v>
      </c>
      <c r="AK41" s="299">
        <f>AI41*(((1+_xlfn.XLOOKUP(AF41,'Curva DI'!$A$2:$A$352,'Curva DI'!$H$2:$H$352,0,-1))*(1+AG$4))^(NETWORKDAYS(AF40,AF41)/252)-1)</f>
        <v>9.7182841511904527</v>
      </c>
      <c r="AL41" s="235">
        <v>43.027454523027956</v>
      </c>
      <c r="AM41" s="299">
        <f t="shared" si="36"/>
        <v>166.54585185918711</v>
      </c>
      <c r="AN41" s="299">
        <f t="shared" si="23"/>
        <v>499.99999999999983</v>
      </c>
      <c r="AO41" s="235">
        <v>83.333333333333329</v>
      </c>
      <c r="AP41" s="299">
        <f t="shared" si="5"/>
        <v>416.66666666666652</v>
      </c>
      <c r="AQ41" s="299">
        <f t="shared" si="6"/>
        <v>583.21251852585362</v>
      </c>
      <c r="AR41" s="40">
        <f t="shared" si="41"/>
        <v>1458031.2963146341</v>
      </c>
      <c r="AS41" s="21"/>
      <c r="AU41" s="115">
        <f t="shared" si="25"/>
        <v>47177</v>
      </c>
      <c r="AV41" s="298">
        <f>SUMIFS(Inputs!$O$20:$O$31,Inputs!$L$20:$L$31,"&lt;="&amp;AU41,Inputs!$L$20:$L$31,"&gt;"&amp;AU40)</f>
        <v>0</v>
      </c>
      <c r="AW41" s="21">
        <f t="shared" si="37"/>
        <v>5000</v>
      </c>
      <c r="AX41" s="299">
        <f t="shared" si="26"/>
        <v>2373.886106803845</v>
      </c>
      <c r="AY41" s="299">
        <f t="shared" si="27"/>
        <v>1373.886106803845</v>
      </c>
      <c r="AZ41" s="299">
        <f>AX41*_xlfn.XLOOKUP(AU41,Caixa!$D$3:$BK$3,Caixa!$D$55:$BK$55,0,0)</f>
        <v>72.485110618187647</v>
      </c>
      <c r="BA41" s="231"/>
      <c r="BB41" s="299">
        <f t="shared" si="28"/>
        <v>1446.3712174220327</v>
      </c>
      <c r="BC41" s="299">
        <f t="shared" si="29"/>
        <v>1000</v>
      </c>
      <c r="BD41" s="231"/>
      <c r="BE41" s="299">
        <f t="shared" si="30"/>
        <v>1000</v>
      </c>
      <c r="BF41" s="299">
        <f t="shared" si="31"/>
        <v>2446.3712174220327</v>
      </c>
      <c r="BG41" s="40">
        <f t="shared" si="32"/>
        <v>12231856.087110164</v>
      </c>
      <c r="BH41" s="271"/>
    </row>
    <row r="42" spans="2:60" x14ac:dyDescent="0.3">
      <c r="B42" s="115">
        <f t="shared" si="9"/>
        <v>47208</v>
      </c>
      <c r="C42" s="298">
        <f t="shared" si="10"/>
        <v>0</v>
      </c>
      <c r="D42" s="298">
        <f t="shared" si="11"/>
        <v>10000</v>
      </c>
      <c r="E42" s="150">
        <f t="shared" si="12"/>
        <v>2064.9108287544877</v>
      </c>
      <c r="F42" s="299">
        <f t="shared" si="33"/>
        <v>1064.9108287544877</v>
      </c>
      <c r="G42" s="150">
        <f>E42*_xlfn.XLOOKUP(B42,Caixa!$D$3:$BK$3,Caixa!$D$54:$BK$54,0,0)</f>
        <v>53.503226478140519</v>
      </c>
      <c r="H42" s="150">
        <v>0</v>
      </c>
      <c r="I42" s="150">
        <f t="shared" si="13"/>
        <v>1118.4140552326282</v>
      </c>
      <c r="J42" s="150">
        <f t="shared" si="14"/>
        <v>1000</v>
      </c>
      <c r="K42" s="150"/>
      <c r="L42" s="150">
        <f t="shared" si="15"/>
        <v>1000</v>
      </c>
      <c r="M42" s="150">
        <f t="shared" si="16"/>
        <v>2118.414055232628</v>
      </c>
      <c r="N42" s="152">
        <f t="shared" si="17"/>
        <v>21184140.552326281</v>
      </c>
      <c r="O42" s="150"/>
      <c r="Q42" s="115">
        <f t="shared" si="38"/>
        <v>47208</v>
      </c>
      <c r="R42" s="298">
        <f>SUMIFS(Inputs!$E$20:$E$31,Inputs!$B$20:$B$31,"&lt;="&amp;Q42,Inputs!$B$20:$B$31,"&gt;"&amp;Q41)</f>
        <v>0</v>
      </c>
      <c r="S42" s="21">
        <f>SUMIFS(Inputs!$C$20:$C$31,Inputs!$B$20:$B$31,"&lt;="&amp;Q42,Inputs!$B$20:$B$31,"&gt;="&amp;Q41)+S41</f>
        <v>2500</v>
      </c>
      <c r="T42" s="299">
        <f t="shared" si="19"/>
        <v>3.3267727436099555E-14</v>
      </c>
      <c r="U42" s="299">
        <f t="shared" si="39"/>
        <v>3.3267727436099555E-14</v>
      </c>
      <c r="V42" s="299">
        <f>T42*(((1+_xlfn.XLOOKUP(Q42,'Curva DI'!$A$2:$A$352,'Curva DI'!$H$2:$H$352,0,-1))*(1+$R$4))^(NETWORKDAYS(Q41,Q42)/252)-1)</f>
        <v>4.7676680550524651E-16</v>
      </c>
      <c r="W42" s="235"/>
      <c r="X42" s="299">
        <f t="shared" si="34"/>
        <v>3.3744494241604804E-14</v>
      </c>
      <c r="Y42" s="299">
        <f t="shared" si="20"/>
        <v>0</v>
      </c>
      <c r="Z42" s="235"/>
      <c r="AA42" s="299">
        <f t="shared" si="2"/>
        <v>0</v>
      </c>
      <c r="AB42" s="299">
        <f t="shared" si="3"/>
        <v>3.3744494241604804E-14</v>
      </c>
      <c r="AC42" s="40">
        <f t="shared" si="4"/>
        <v>8.4361235604012003E-11</v>
      </c>
      <c r="AD42" s="21"/>
      <c r="AF42" s="115">
        <f t="shared" si="21"/>
        <v>47208</v>
      </c>
      <c r="AG42" s="298">
        <f>SUMIFS(Inputs!$J$20:$J$31,Inputs!$G$20:$G$31,"&lt;="&amp;AF42,Inputs!$G$20:$G$31,"&gt;"&amp;AF41)</f>
        <v>0</v>
      </c>
      <c r="AH42" s="21">
        <f t="shared" si="35"/>
        <v>2500</v>
      </c>
      <c r="AI42" s="299">
        <f t="shared" si="22"/>
        <v>583.21251852585362</v>
      </c>
      <c r="AJ42" s="299">
        <f t="shared" si="40"/>
        <v>166.54585185918711</v>
      </c>
      <c r="AK42" s="299">
        <f>AI42*(((1+_xlfn.XLOOKUP(AF42,'Curva DI'!$A$2:$A$352,'Curva DI'!$H$2:$H$352,0,-1))*(1+AG$4))^(NETWORKDAYS(AF41,AF42)/252)-1)</f>
        <v>8.8851368412282259</v>
      </c>
      <c r="AL42" s="235">
        <v>42.194307213065727</v>
      </c>
      <c r="AM42" s="299">
        <f t="shared" si="36"/>
        <v>133.23668148734959</v>
      </c>
      <c r="AN42" s="299">
        <f t="shared" si="23"/>
        <v>416.66666666666652</v>
      </c>
      <c r="AO42" s="235">
        <v>83.333333333333329</v>
      </c>
      <c r="AP42" s="299">
        <f t="shared" si="5"/>
        <v>333.3333333333332</v>
      </c>
      <c r="AQ42" s="299">
        <f t="shared" si="6"/>
        <v>466.57001482068279</v>
      </c>
      <c r="AR42" s="40">
        <f t="shared" si="41"/>
        <v>1166425.037051707</v>
      </c>
      <c r="AS42" s="21"/>
      <c r="AU42" s="115">
        <f t="shared" si="25"/>
        <v>47208</v>
      </c>
      <c r="AV42" s="298">
        <f>SUMIFS(Inputs!$O$20:$O$31,Inputs!$L$20:$L$31,"&lt;="&amp;AU42,Inputs!$L$20:$L$31,"&gt;"&amp;AU41)</f>
        <v>0</v>
      </c>
      <c r="AW42" s="21">
        <f t="shared" si="37"/>
        <v>5000</v>
      </c>
      <c r="AX42" s="299">
        <f t="shared" si="26"/>
        <v>2446.3712174220327</v>
      </c>
      <c r="AY42" s="299">
        <f t="shared" si="27"/>
        <v>1446.3712174220327</v>
      </c>
      <c r="AZ42" s="299">
        <f>AX42*_xlfn.XLOOKUP(AU42,Caixa!$D$3:$BK$3,Caixa!$D$55:$BK$55,0,0)</f>
        <v>66.500266973146239</v>
      </c>
      <c r="BA42" s="231"/>
      <c r="BB42" s="299">
        <f t="shared" si="28"/>
        <v>1512.8714843951789</v>
      </c>
      <c r="BC42" s="299">
        <f t="shared" si="29"/>
        <v>1000</v>
      </c>
      <c r="BD42" s="231"/>
      <c r="BE42" s="299">
        <f t="shared" si="30"/>
        <v>1000</v>
      </c>
      <c r="BF42" s="299">
        <f t="shared" si="31"/>
        <v>2512.8714843951789</v>
      </c>
      <c r="BG42" s="40">
        <f t="shared" si="32"/>
        <v>12564357.421975894</v>
      </c>
      <c r="BH42" s="271"/>
    </row>
    <row r="43" spans="2:60" x14ac:dyDescent="0.3">
      <c r="B43" s="115">
        <f t="shared" si="9"/>
        <v>47238</v>
      </c>
      <c r="C43" s="298">
        <f t="shared" si="10"/>
        <v>0</v>
      </c>
      <c r="D43" s="298">
        <f t="shared" si="11"/>
        <v>10000</v>
      </c>
      <c r="E43" s="150">
        <f t="shared" si="12"/>
        <v>2118.414055232628</v>
      </c>
      <c r="F43" s="299">
        <f t="shared" si="33"/>
        <v>1118.4140552326282</v>
      </c>
      <c r="G43" s="150">
        <f>E43*_xlfn.XLOOKUP(B43,Caixa!$D$3:$BK$3,Caixa!$D$54:$BK$54,0,0)</f>
        <v>55.163214403515909</v>
      </c>
      <c r="H43" s="150">
        <v>0</v>
      </c>
      <c r="I43" s="150">
        <f t="shared" si="13"/>
        <v>1173.5772696361441</v>
      </c>
      <c r="J43" s="150">
        <f t="shared" si="14"/>
        <v>1000</v>
      </c>
      <c r="K43" s="150"/>
      <c r="L43" s="150">
        <f t="shared" si="15"/>
        <v>1000</v>
      </c>
      <c r="M43" s="150">
        <f t="shared" si="16"/>
        <v>2173.5772696361441</v>
      </c>
      <c r="N43" s="152">
        <f t="shared" si="17"/>
        <v>21735772.696361441</v>
      </c>
      <c r="O43" s="150"/>
      <c r="Q43" s="115">
        <f t="shared" si="38"/>
        <v>47238</v>
      </c>
      <c r="R43" s="298">
        <f>SUMIFS(Inputs!$E$20:$E$31,Inputs!$B$20:$B$31,"&lt;="&amp;Q43,Inputs!$B$20:$B$31,"&gt;"&amp;Q42)</f>
        <v>0</v>
      </c>
      <c r="S43" s="21">
        <f>SUMIFS(Inputs!$C$20:$C$31,Inputs!$B$20:$B$31,"&lt;="&amp;Q43,Inputs!$B$20:$B$31,"&gt;="&amp;Q42)+S42</f>
        <v>2500</v>
      </c>
      <c r="T43" s="299">
        <f t="shared" si="19"/>
        <v>3.3744494241604804E-14</v>
      </c>
      <c r="U43" s="299">
        <f t="shared" si="39"/>
        <v>3.3744494241604804E-14</v>
      </c>
      <c r="V43" s="299">
        <f>T43*(((1+_xlfn.XLOOKUP(Q43,'Curva DI'!$A$2:$A$352,'Curva DI'!$H$2:$H$352,0,-1))*(1+$R$4))^(NETWORKDAYS(Q42,Q43)/252)-1)</f>
        <v>4.4177083859152645E-16</v>
      </c>
      <c r="W43" s="235"/>
      <c r="X43" s="299">
        <f t="shared" si="34"/>
        <v>3.4186265080196333E-14</v>
      </c>
      <c r="Y43" s="299">
        <f t="shared" si="20"/>
        <v>0</v>
      </c>
      <c r="Z43" s="235"/>
      <c r="AA43" s="299">
        <f t="shared" si="2"/>
        <v>0</v>
      </c>
      <c r="AB43" s="299">
        <f t="shared" si="3"/>
        <v>3.4186265080196333E-14</v>
      </c>
      <c r="AC43" s="40">
        <f t="shared" ref="AC43:AC70" si="42">AB43*S43</f>
        <v>8.5465662700490825E-11</v>
      </c>
      <c r="AD43" s="21"/>
      <c r="AF43" s="115">
        <f t="shared" si="21"/>
        <v>47238</v>
      </c>
      <c r="AG43" s="298">
        <f>SUMIFS(Inputs!$J$20:$J$31,Inputs!$G$20:$G$31,"&lt;="&amp;AF43,Inputs!$G$20:$G$31,"&gt;"&amp;AF42)</f>
        <v>0</v>
      </c>
      <c r="AH43" s="21">
        <f t="shared" si="35"/>
        <v>2500</v>
      </c>
      <c r="AI43" s="299">
        <f t="shared" si="22"/>
        <v>466.57001482068279</v>
      </c>
      <c r="AJ43" s="299">
        <f t="shared" si="40"/>
        <v>133.23668148734959</v>
      </c>
      <c r="AK43" s="299">
        <f>AI43*(((1+_xlfn.XLOOKUP(AF43,'Curva DI'!$A$2:$A$352,'Curva DI'!$H$2:$H$352,0,-1))*(1+AG$4))^(NETWORKDAYS(AF42,AF43)/252)-1)</f>
        <v>6.492618123156479</v>
      </c>
      <c r="AL43" s="235">
        <v>39.801788494993986</v>
      </c>
      <c r="AM43" s="299">
        <f t="shared" si="36"/>
        <v>99.92751111551209</v>
      </c>
      <c r="AN43" s="299">
        <f t="shared" si="23"/>
        <v>333.3333333333332</v>
      </c>
      <c r="AO43" s="235">
        <v>83.333333333333329</v>
      </c>
      <c r="AP43" s="299">
        <f t="shared" si="5"/>
        <v>249.99999999999989</v>
      </c>
      <c r="AQ43" s="299">
        <f t="shared" si="6"/>
        <v>349.92751111551195</v>
      </c>
      <c r="AR43" s="40">
        <f t="shared" si="41"/>
        <v>874818.77778877981</v>
      </c>
      <c r="AS43" s="21"/>
      <c r="AU43" s="115">
        <f t="shared" si="25"/>
        <v>47238</v>
      </c>
      <c r="AV43" s="298">
        <f>SUMIFS(Inputs!$O$20:$O$31,Inputs!$L$20:$L$31,"&lt;="&amp;AU43,Inputs!$L$20:$L$31,"&gt;"&amp;AU42)</f>
        <v>0</v>
      </c>
      <c r="AW43" s="21">
        <f t="shared" si="37"/>
        <v>5000</v>
      </c>
      <c r="AX43" s="299">
        <f t="shared" si="26"/>
        <v>2512.8714843951789</v>
      </c>
      <c r="AY43" s="299">
        <f t="shared" si="27"/>
        <v>1512.8714843951789</v>
      </c>
      <c r="AZ43" s="299">
        <f>AX43*_xlfn.XLOOKUP(AU43,Caixa!$D$3:$BK$3,Caixa!$D$55:$BK$55,0,0)</f>
        <v>68.263233168323382</v>
      </c>
      <c r="BA43" s="231"/>
      <c r="BB43" s="299">
        <f t="shared" si="28"/>
        <v>1581.1347175635024</v>
      </c>
      <c r="BC43" s="299">
        <f t="shared" si="29"/>
        <v>1000</v>
      </c>
      <c r="BD43" s="231"/>
      <c r="BE43" s="299">
        <f t="shared" si="30"/>
        <v>1000</v>
      </c>
      <c r="BF43" s="299">
        <f t="shared" si="31"/>
        <v>2581.1347175635024</v>
      </c>
      <c r="BG43" s="40">
        <f t="shared" si="32"/>
        <v>12905673.587817512</v>
      </c>
      <c r="BH43" s="271"/>
    </row>
    <row r="44" spans="2:60" x14ac:dyDescent="0.3">
      <c r="B44" s="115">
        <f t="shared" si="9"/>
        <v>47269</v>
      </c>
      <c r="C44" s="298">
        <f t="shared" si="10"/>
        <v>0</v>
      </c>
      <c r="D44" s="298">
        <f t="shared" si="11"/>
        <v>10000</v>
      </c>
      <c r="E44" s="150">
        <f t="shared" si="12"/>
        <v>2173.5772696361441</v>
      </c>
      <c r="F44" s="299">
        <f t="shared" si="33"/>
        <v>1173.5772696361441</v>
      </c>
      <c r="G44" s="150">
        <f>E44*_xlfn.XLOOKUP(B44,Caixa!$D$3:$BK$3,Caixa!$D$54:$BK$54,0,0)</f>
        <v>61.952185393759429</v>
      </c>
      <c r="H44" s="150">
        <v>0</v>
      </c>
      <c r="I44" s="150">
        <f t="shared" si="13"/>
        <v>1235.5294550299036</v>
      </c>
      <c r="J44" s="150">
        <f t="shared" si="14"/>
        <v>1000</v>
      </c>
      <c r="K44" s="150"/>
      <c r="L44" s="150">
        <f t="shared" si="15"/>
        <v>1000</v>
      </c>
      <c r="M44" s="150">
        <f t="shared" si="16"/>
        <v>2235.5294550299036</v>
      </c>
      <c r="N44" s="152">
        <f t="shared" si="17"/>
        <v>22355294.550299037</v>
      </c>
      <c r="O44" s="150"/>
      <c r="Q44" s="115">
        <f t="shared" si="38"/>
        <v>47269</v>
      </c>
      <c r="R44" s="298">
        <f>SUMIFS(Inputs!$E$20:$E$31,Inputs!$B$20:$B$31,"&lt;="&amp;Q44,Inputs!$B$20:$B$31,"&gt;"&amp;Q43)</f>
        <v>0</v>
      </c>
      <c r="S44" s="21">
        <f>SUMIFS(Inputs!$C$20:$C$31,Inputs!$B$20:$B$31,"&lt;="&amp;Q44,Inputs!$B$20:$B$31,"&gt;="&amp;Q43)+S43</f>
        <v>2500</v>
      </c>
      <c r="T44" s="299">
        <f t="shared" si="19"/>
        <v>3.4186265080196333E-14</v>
      </c>
      <c r="U44" s="299">
        <f t="shared" si="39"/>
        <v>3.4186265080196333E-14</v>
      </c>
      <c r="V44" s="299">
        <f>T44*(((1+_xlfn.XLOOKUP(Q44,'Curva DI'!$A$2:$A$352,'Curva DI'!$H$2:$H$352,0,-1))*(1+$R$4))^(NETWORKDAYS(Q43,Q44)/252)-1)</f>
        <v>5.1196720464722143E-16</v>
      </c>
      <c r="W44" s="235"/>
      <c r="X44" s="299">
        <f t="shared" si="34"/>
        <v>3.4698232284843552E-14</v>
      </c>
      <c r="Y44" s="299">
        <f t="shared" si="20"/>
        <v>0</v>
      </c>
      <c r="Z44" s="235"/>
      <c r="AA44" s="299">
        <f t="shared" si="2"/>
        <v>0</v>
      </c>
      <c r="AB44" s="299">
        <f t="shared" si="3"/>
        <v>3.4698232284843552E-14</v>
      </c>
      <c r="AC44" s="40">
        <f t="shared" si="42"/>
        <v>8.6745580712108873E-11</v>
      </c>
      <c r="AD44" s="21"/>
      <c r="AF44" s="115">
        <f t="shared" si="21"/>
        <v>47269</v>
      </c>
      <c r="AG44" s="298">
        <f>SUMIFS(Inputs!$J$20:$J$31,Inputs!$G$20:$G$31,"&lt;="&amp;AF44,Inputs!$G$20:$G$31,"&gt;"&amp;AF43)</f>
        <v>0</v>
      </c>
      <c r="AH44" s="21">
        <f t="shared" si="35"/>
        <v>2500</v>
      </c>
      <c r="AI44" s="299">
        <f t="shared" si="22"/>
        <v>349.92751111551195</v>
      </c>
      <c r="AJ44" s="299">
        <f t="shared" si="40"/>
        <v>99.92751111551209</v>
      </c>
      <c r="AK44" s="299">
        <f>AI44*(((1+_xlfn.XLOOKUP(AF44,'Curva DI'!$A$2:$A$352,'Curva DI'!$H$2:$H$352,0,-1))*(1+AG$4))^(NETWORKDAYS(AF43,AF44)/252)-1)</f>
        <v>5.5706109620958477</v>
      </c>
      <c r="AL44" s="235">
        <v>38.879781333933352</v>
      </c>
      <c r="AM44" s="299">
        <f t="shared" si="36"/>
        <v>66.61834074367458</v>
      </c>
      <c r="AN44" s="299">
        <f t="shared" si="23"/>
        <v>249.99999999999989</v>
      </c>
      <c r="AO44" s="235">
        <v>83.333333333333329</v>
      </c>
      <c r="AP44" s="299">
        <f t="shared" si="5"/>
        <v>166.66666666666657</v>
      </c>
      <c r="AQ44" s="299">
        <f t="shared" si="6"/>
        <v>233.28500741034117</v>
      </c>
      <c r="AR44" s="40">
        <f t="shared" si="41"/>
        <v>583212.51852585294</v>
      </c>
      <c r="AS44" s="21"/>
      <c r="AU44" s="115">
        <f t="shared" si="25"/>
        <v>47269</v>
      </c>
      <c r="AV44" s="298">
        <f>SUMIFS(Inputs!$O$20:$O$31,Inputs!$L$20:$L$31,"&lt;="&amp;AU44,Inputs!$L$20:$L$31,"&gt;"&amp;AU43)</f>
        <v>0</v>
      </c>
      <c r="AW44" s="21">
        <f t="shared" si="37"/>
        <v>5000</v>
      </c>
      <c r="AX44" s="299">
        <f t="shared" si="26"/>
        <v>2581.1347175635024</v>
      </c>
      <c r="AY44" s="299">
        <f t="shared" si="27"/>
        <v>1581.1347175635024</v>
      </c>
      <c r="AZ44" s="299">
        <f>AX44*_xlfn.XLOOKUP(AU44,Caixa!$D$3:$BK$3,Caixa!$D$55:$BK$55,0,0)</f>
        <v>75.770136718091138</v>
      </c>
      <c r="BA44" s="231"/>
      <c r="BB44" s="299">
        <f t="shared" si="28"/>
        <v>1656.9048542815935</v>
      </c>
      <c r="BC44" s="299">
        <f t="shared" si="29"/>
        <v>1000</v>
      </c>
      <c r="BD44" s="231"/>
      <c r="BE44" s="299">
        <f t="shared" si="30"/>
        <v>1000</v>
      </c>
      <c r="BF44" s="299">
        <f t="shared" si="31"/>
        <v>2656.9048542815935</v>
      </c>
      <c r="BG44" s="40">
        <f t="shared" si="32"/>
        <v>13284524.271407967</v>
      </c>
      <c r="BH44" s="271"/>
    </row>
    <row r="45" spans="2:60" x14ac:dyDescent="0.3">
      <c r="B45" s="115">
        <f t="shared" si="9"/>
        <v>47299</v>
      </c>
      <c r="C45" s="298">
        <f t="shared" si="10"/>
        <v>0</v>
      </c>
      <c r="D45" s="298">
        <f t="shared" si="11"/>
        <v>10000</v>
      </c>
      <c r="E45" s="150">
        <f t="shared" si="12"/>
        <v>2235.5294550299036</v>
      </c>
      <c r="F45" s="299">
        <f t="shared" si="33"/>
        <v>1235.5294550299036</v>
      </c>
      <c r="G45" s="150">
        <f>E45*_xlfn.XLOOKUP(B45,Caixa!$D$3:$BK$3,Caixa!$D$54:$BK$54,0,0)</f>
        <v>57.731292660900138</v>
      </c>
      <c r="H45" s="150">
        <v>0</v>
      </c>
      <c r="I45" s="150">
        <f t="shared" si="13"/>
        <v>1293.2607476908038</v>
      </c>
      <c r="J45" s="150">
        <f t="shared" si="14"/>
        <v>1000</v>
      </c>
      <c r="K45" s="150"/>
      <c r="L45" s="150">
        <f t="shared" si="15"/>
        <v>1000</v>
      </c>
      <c r="M45" s="150">
        <f t="shared" si="16"/>
        <v>2293.2607476908038</v>
      </c>
      <c r="N45" s="152">
        <f t="shared" si="17"/>
        <v>22932607.476908039</v>
      </c>
      <c r="O45" s="150"/>
      <c r="Q45" s="115">
        <f t="shared" si="38"/>
        <v>47299</v>
      </c>
      <c r="R45" s="298">
        <f>SUMIFS(Inputs!$E$20:$E$31,Inputs!$B$20:$B$31,"&lt;="&amp;Q45,Inputs!$B$20:$B$31,"&gt;"&amp;Q44)</f>
        <v>0</v>
      </c>
      <c r="S45" s="21">
        <f>SUMIFS(Inputs!$C$20:$C$31,Inputs!$B$20:$B$31,"&lt;="&amp;Q45,Inputs!$B$20:$B$31,"&gt;="&amp;Q44)+S44</f>
        <v>2500</v>
      </c>
      <c r="T45" s="299">
        <f t="shared" si="19"/>
        <v>3.4698232284843552E-14</v>
      </c>
      <c r="U45" s="299">
        <f t="shared" si="39"/>
        <v>3.4698232284843552E-14</v>
      </c>
      <c r="V45" s="299">
        <f>T45*(((1+_xlfn.XLOOKUP(Q45,'Curva DI'!$A$2:$A$352,'Curva DI'!$H$2:$H$352,0,-1))*(1+$R$4))^(NETWORKDAYS(Q44,Q45)/252)-1)</f>
        <v>4.7630378277184924E-16</v>
      </c>
      <c r="W45" s="235"/>
      <c r="X45" s="299">
        <f t="shared" si="34"/>
        <v>3.5174536067615402E-14</v>
      </c>
      <c r="Y45" s="299">
        <f t="shared" si="20"/>
        <v>0</v>
      </c>
      <c r="Z45" s="235"/>
      <c r="AA45" s="299">
        <f t="shared" si="2"/>
        <v>0</v>
      </c>
      <c r="AB45" s="299">
        <f t="shared" si="3"/>
        <v>3.5174536067615402E-14</v>
      </c>
      <c r="AC45" s="40">
        <f t="shared" si="42"/>
        <v>8.793634016903851E-11</v>
      </c>
      <c r="AD45" s="21"/>
      <c r="AF45" s="115">
        <f t="shared" si="21"/>
        <v>47299</v>
      </c>
      <c r="AG45" s="298">
        <f>SUMIFS(Inputs!$J$20:$J$31,Inputs!$G$20:$G$31,"&lt;="&amp;AF45,Inputs!$G$20:$G$31,"&gt;"&amp;AF44)</f>
        <v>0</v>
      </c>
      <c r="AH45" s="21">
        <f t="shared" si="35"/>
        <v>2500</v>
      </c>
      <c r="AI45" s="299">
        <f t="shared" si="22"/>
        <v>233.28500741034117</v>
      </c>
      <c r="AJ45" s="299">
        <f t="shared" si="40"/>
        <v>66.61834074367458</v>
      </c>
      <c r="AK45" s="299">
        <f>AI45*(((1+_xlfn.XLOOKUP(AF45,'Curva DI'!$A$2:$A$352,'Curva DI'!$H$2:$H$352,0,-1))*(1+AG$4))^(NETWORKDAYS(AF44,AF45)/252)-1)</f>
        <v>3.4038200591355787</v>
      </c>
      <c r="AL45" s="235">
        <v>36.712990430973079</v>
      </c>
      <c r="AM45" s="299">
        <f t="shared" si="36"/>
        <v>33.309170371837084</v>
      </c>
      <c r="AN45" s="299">
        <f t="shared" si="23"/>
        <v>166.66666666666657</v>
      </c>
      <c r="AO45" s="235">
        <v>83.333333333333329</v>
      </c>
      <c r="AP45" s="299">
        <f t="shared" si="5"/>
        <v>83.333333333333243</v>
      </c>
      <c r="AQ45" s="299">
        <f t="shared" si="6"/>
        <v>116.64250370517033</v>
      </c>
      <c r="AR45" s="40">
        <f t="shared" si="41"/>
        <v>291606.25926292583</v>
      </c>
      <c r="AS45" s="21"/>
      <c r="AU45" s="115">
        <f t="shared" si="25"/>
        <v>47299</v>
      </c>
      <c r="AV45" s="298">
        <f>SUMIFS(Inputs!$O$20:$O$31,Inputs!$L$20:$L$31,"&lt;="&amp;AU45,Inputs!$L$20:$L$31,"&gt;"&amp;AU44)</f>
        <v>0</v>
      </c>
      <c r="AW45" s="21">
        <f t="shared" si="37"/>
        <v>5000</v>
      </c>
      <c r="AX45" s="299">
        <f t="shared" si="26"/>
        <v>2656.9048542815935</v>
      </c>
      <c r="AY45" s="299">
        <f t="shared" si="27"/>
        <v>1656.9048542815935</v>
      </c>
      <c r="AZ45" s="299">
        <f>AX45*_xlfn.XLOOKUP(AU45,Caixa!$D$3:$BK$3,Caixa!$D$55:$BK$55,0,0)</f>
        <v>69.923392814254242</v>
      </c>
      <c r="BA45" s="231"/>
      <c r="BB45" s="299">
        <f t="shared" si="28"/>
        <v>1726.8282470958477</v>
      </c>
      <c r="BC45" s="299">
        <f t="shared" si="29"/>
        <v>1000</v>
      </c>
      <c r="BD45" s="231"/>
      <c r="BE45" s="299">
        <f t="shared" si="30"/>
        <v>1000</v>
      </c>
      <c r="BF45" s="299">
        <f t="shared" si="31"/>
        <v>2726.8282470958475</v>
      </c>
      <c r="BG45" s="40">
        <f t="shared" si="32"/>
        <v>13634141.235479238</v>
      </c>
      <c r="BH45" s="271"/>
    </row>
    <row r="46" spans="2:60" x14ac:dyDescent="0.3">
      <c r="B46" s="115">
        <f t="shared" si="9"/>
        <v>47330</v>
      </c>
      <c r="C46" s="298">
        <f t="shared" si="10"/>
        <v>0</v>
      </c>
      <c r="D46" s="298">
        <f t="shared" si="11"/>
        <v>10000</v>
      </c>
      <c r="E46" s="150">
        <f t="shared" si="12"/>
        <v>2293.2607476908038</v>
      </c>
      <c r="F46" s="299">
        <f t="shared" si="33"/>
        <v>1293.2607476908038</v>
      </c>
      <c r="G46" s="150">
        <f>E46*_xlfn.XLOOKUP(B46,Caixa!$D$3:$BK$3,Caixa!$D$54:$BK$54,0,0)</f>
        <v>59.571485930858962</v>
      </c>
      <c r="H46" s="150">
        <v>0</v>
      </c>
      <c r="I46" s="150">
        <f t="shared" si="13"/>
        <v>1352.8322336216627</v>
      </c>
      <c r="J46" s="150">
        <f t="shared" si="14"/>
        <v>1000</v>
      </c>
      <c r="K46" s="150"/>
      <c r="L46" s="150">
        <f t="shared" si="15"/>
        <v>1000</v>
      </c>
      <c r="M46" s="150">
        <f t="shared" si="16"/>
        <v>2352.8322336216625</v>
      </c>
      <c r="N46" s="152">
        <f t="shared" si="17"/>
        <v>23528322.336216625</v>
      </c>
      <c r="O46" s="150"/>
      <c r="Q46" s="115">
        <f t="shared" si="38"/>
        <v>47330</v>
      </c>
      <c r="R46" s="298">
        <f>SUMIFS(Inputs!$E$20:$E$31,Inputs!$B$20:$B$31,"&lt;="&amp;Q46,Inputs!$B$20:$B$31,"&gt;"&amp;Q45)</f>
        <v>0</v>
      </c>
      <c r="S46" s="21">
        <f>SUMIFS(Inputs!$C$20:$C$31,Inputs!$B$20:$B$31,"&lt;="&amp;Q46,Inputs!$B$20:$B$31,"&gt;="&amp;Q45)+S45</f>
        <v>2500</v>
      </c>
      <c r="T46" s="299">
        <f t="shared" si="19"/>
        <v>3.5174536067615402E-14</v>
      </c>
      <c r="U46" s="299">
        <f t="shared" si="39"/>
        <v>3.5174536067615402E-14</v>
      </c>
      <c r="V46" s="299">
        <f>T46*(((1+_xlfn.XLOOKUP(Q46,'Curva DI'!$A$2:$A$352,'Curva DI'!$H$2:$H$352,0,-1))*(1+$R$4))^(NETWORKDAYS(Q45,Q46)/252)-1)</f>
        <v>4.8338520140457348E-16</v>
      </c>
      <c r="W46" s="235"/>
      <c r="X46" s="299">
        <f t="shared" si="34"/>
        <v>3.5657921269019976E-14</v>
      </c>
      <c r="Y46" s="299">
        <f t="shared" si="20"/>
        <v>0</v>
      </c>
      <c r="Z46" s="235"/>
      <c r="AA46" s="299">
        <f t="shared" si="2"/>
        <v>0</v>
      </c>
      <c r="AB46" s="299">
        <f t="shared" si="3"/>
        <v>3.5657921269019976E-14</v>
      </c>
      <c r="AC46" s="40">
        <f t="shared" si="42"/>
        <v>8.9144803172549943E-11</v>
      </c>
      <c r="AD46" s="21"/>
      <c r="AF46" s="115">
        <f t="shared" si="21"/>
        <v>47330</v>
      </c>
      <c r="AG46" s="298">
        <f>SUMIFS(Inputs!$J$20:$J$31,Inputs!$G$20:$G$31,"&lt;="&amp;AF46,Inputs!$G$20:$G$31,"&gt;"&amp;AF45)</f>
        <v>0</v>
      </c>
      <c r="AH46" s="21">
        <f t="shared" si="35"/>
        <v>2500</v>
      </c>
      <c r="AI46" s="299">
        <f t="shared" si="22"/>
        <v>116.64250370517033</v>
      </c>
      <c r="AJ46" s="299">
        <f t="shared" si="40"/>
        <v>33.309170371837084</v>
      </c>
      <c r="AK46" s="299">
        <f>AI46*(((1+_xlfn.XLOOKUP(AF46,'Curva DI'!$A$2:$A$352,'Curva DI'!$H$2:$H$352,0,-1))*(1+AG$4))^(NETWORKDAYS(AF45,AF46)/252)-1)</f>
        <v>1.7037128098654843</v>
      </c>
      <c r="AL46" s="235">
        <v>35.012883181702989</v>
      </c>
      <c r="AM46" s="299">
        <f t="shared" si="36"/>
        <v>-4.1922021409845911E-13</v>
      </c>
      <c r="AN46" s="299">
        <f t="shared" si="23"/>
        <v>83.333333333333243</v>
      </c>
      <c r="AO46" s="235">
        <v>83.333333333333329</v>
      </c>
      <c r="AP46" s="299">
        <f t="shared" si="5"/>
        <v>0</v>
      </c>
      <c r="AQ46" s="299">
        <f t="shared" si="6"/>
        <v>-4.1922021409845911E-13</v>
      </c>
      <c r="AR46" s="40">
        <f t="shared" si="41"/>
        <v>-1.0480505352461478E-9</v>
      </c>
      <c r="AS46" s="21"/>
      <c r="AU46" s="115">
        <f t="shared" si="25"/>
        <v>47330</v>
      </c>
      <c r="AV46" s="298">
        <f>SUMIFS(Inputs!$O$20:$O$31,Inputs!$L$20:$L$31,"&lt;="&amp;AU46,Inputs!$L$20:$L$31,"&gt;"&amp;AU45)</f>
        <v>0</v>
      </c>
      <c r="AW46" s="21">
        <f t="shared" si="37"/>
        <v>5000</v>
      </c>
      <c r="AX46" s="299">
        <f t="shared" si="26"/>
        <v>2726.8282470958475</v>
      </c>
      <c r="AY46" s="299">
        <f t="shared" si="27"/>
        <v>1726.8282470958477</v>
      </c>
      <c r="AZ46" s="299">
        <f>AX46*_xlfn.XLOOKUP(AU46,Caixa!$D$3:$BK$3,Caixa!$D$55:$BK$55,0,0)</f>
        <v>71.497305965291403</v>
      </c>
      <c r="BA46" s="231"/>
      <c r="BB46" s="299">
        <f t="shared" si="28"/>
        <v>1798.3255530611391</v>
      </c>
      <c r="BC46" s="299">
        <f t="shared" si="29"/>
        <v>1000</v>
      </c>
      <c r="BD46" s="231"/>
      <c r="BE46" s="299">
        <f t="shared" si="30"/>
        <v>1000</v>
      </c>
      <c r="BF46" s="299">
        <f t="shared" si="31"/>
        <v>2798.3255530611391</v>
      </c>
      <c r="BG46" s="40">
        <f t="shared" si="32"/>
        <v>13991627.765305696</v>
      </c>
      <c r="BH46" s="271"/>
    </row>
    <row r="47" spans="2:60" x14ac:dyDescent="0.3">
      <c r="B47" s="115">
        <f t="shared" si="9"/>
        <v>47361</v>
      </c>
      <c r="C47" s="298">
        <f t="shared" si="10"/>
        <v>0</v>
      </c>
      <c r="D47" s="298">
        <f t="shared" si="11"/>
        <v>10000</v>
      </c>
      <c r="E47" s="150">
        <f t="shared" si="12"/>
        <v>2352.8322336216625</v>
      </c>
      <c r="F47" s="299">
        <f t="shared" si="33"/>
        <v>1352.8322336216627</v>
      </c>
      <c r="G47" s="150">
        <f>E47*_xlfn.XLOOKUP(B47,Caixa!$D$3:$BK$3,Caixa!$D$54:$BK$54,0,0)</f>
        <v>66.745950496517764</v>
      </c>
      <c r="H47" s="150">
        <v>0</v>
      </c>
      <c r="I47" s="150">
        <f t="shared" si="13"/>
        <v>1419.5781841181804</v>
      </c>
      <c r="J47" s="150">
        <f t="shared" si="14"/>
        <v>1000</v>
      </c>
      <c r="K47" s="150"/>
      <c r="L47" s="150">
        <f t="shared" si="15"/>
        <v>1000</v>
      </c>
      <c r="M47" s="150">
        <f t="shared" si="16"/>
        <v>2419.5781841181806</v>
      </c>
      <c r="N47" s="152">
        <f t="shared" si="17"/>
        <v>24195781.841181807</v>
      </c>
      <c r="O47" s="150"/>
      <c r="Q47" s="115">
        <f t="shared" si="38"/>
        <v>47361</v>
      </c>
      <c r="R47" s="298">
        <f>SUMIFS(Inputs!$E$20:$E$31,Inputs!$B$20:$B$31,"&lt;="&amp;Q47,Inputs!$B$20:$B$31,"&gt;"&amp;Q46)</f>
        <v>0</v>
      </c>
      <c r="S47" s="21">
        <f>SUMIFS(Inputs!$C$20:$C$31,Inputs!$B$20:$B$31,"&lt;="&amp;Q47,Inputs!$B$20:$B$31,"&gt;="&amp;Q46)+S46</f>
        <v>2500</v>
      </c>
      <c r="T47" s="299">
        <f t="shared" si="19"/>
        <v>3.5657921269019976E-14</v>
      </c>
      <c r="U47" s="299">
        <f t="shared" si="39"/>
        <v>3.5657921269019976E-14</v>
      </c>
      <c r="V47" s="299">
        <f>T47*(((1+_xlfn.XLOOKUP(Q47,'Curva DI'!$A$2:$A$352,'Curva DI'!$H$2:$H$352,0,-1))*(1+$R$4))^(NETWORKDAYS(Q46,Q47)/252)-1)</f>
        <v>5.352093556473995E-16</v>
      </c>
      <c r="W47" s="235"/>
      <c r="X47" s="299">
        <f t="shared" si="34"/>
        <v>3.6193130624667377E-14</v>
      </c>
      <c r="Y47" s="299">
        <f t="shared" si="20"/>
        <v>0</v>
      </c>
      <c r="Z47" s="235"/>
      <c r="AA47" s="299">
        <f t="shared" si="2"/>
        <v>0</v>
      </c>
      <c r="AB47" s="299">
        <f t="shared" si="3"/>
        <v>3.6193130624667377E-14</v>
      </c>
      <c r="AC47" s="40">
        <f t="shared" si="42"/>
        <v>9.0482826561668441E-11</v>
      </c>
      <c r="AD47" s="21"/>
      <c r="AF47" s="115">
        <f t="shared" si="21"/>
        <v>47361</v>
      </c>
      <c r="AG47" s="298">
        <f>SUMIFS(Inputs!$J$20:$J$31,Inputs!$G$20:$G$31,"&lt;="&amp;AF47,Inputs!$G$20:$G$31,"&gt;"&amp;AF46)</f>
        <v>0</v>
      </c>
      <c r="AH47" s="21">
        <f t="shared" si="35"/>
        <v>2500</v>
      </c>
      <c r="AI47" s="299">
        <f t="shared" si="22"/>
        <v>-4.1922021409845911E-13</v>
      </c>
      <c r="AJ47" s="299">
        <f t="shared" si="40"/>
        <v>-4.1922021409845911E-13</v>
      </c>
      <c r="AK47" s="299">
        <f>AI47*(((1+_xlfn.XLOOKUP(AF47,'Curva DI'!$A$2:$A$352,'Curva DI'!$H$2:$H$352,0,-1))*(1+AG$4))^(NETWORKDAYS(AF46,AF47)/252)-1)</f>
        <v>-6.6878595516721452E-15</v>
      </c>
      <c r="AL47" s="235"/>
      <c r="AM47" s="299">
        <f t="shared" si="36"/>
        <v>-4.2590807365013126E-13</v>
      </c>
      <c r="AN47" s="299">
        <f t="shared" si="23"/>
        <v>0</v>
      </c>
      <c r="AO47" s="235"/>
      <c r="AP47" s="299">
        <f t="shared" si="5"/>
        <v>0</v>
      </c>
      <c r="AQ47" s="299">
        <f t="shared" si="6"/>
        <v>-4.2590807365013126E-13</v>
      </c>
      <c r="AR47" s="40">
        <f t="shared" si="41"/>
        <v>-1.0647701841253282E-9</v>
      </c>
      <c r="AS47" s="21"/>
      <c r="AU47" s="115">
        <f t="shared" si="25"/>
        <v>47361</v>
      </c>
      <c r="AV47" s="298">
        <f>SUMIFS(Inputs!$O$20:$O$31,Inputs!$L$20:$L$31,"&lt;="&amp;AU47,Inputs!$L$20:$L$31,"&gt;"&amp;AU46)</f>
        <v>0</v>
      </c>
      <c r="AW47" s="21">
        <f t="shared" si="37"/>
        <v>5000</v>
      </c>
      <c r="AX47" s="299">
        <f t="shared" si="26"/>
        <v>2798.3255530611391</v>
      </c>
      <c r="AY47" s="299">
        <f t="shared" si="27"/>
        <v>1798.3255530611391</v>
      </c>
      <c r="AZ47" s="299">
        <f>AX47*_xlfn.XLOOKUP(AU47,Caixa!$D$3:$BK$3,Caixa!$D$55:$BK$55,0,0)</f>
        <v>79.383857535077183</v>
      </c>
      <c r="BA47" s="231"/>
      <c r="BB47" s="299">
        <f t="shared" si="28"/>
        <v>1877.7094105962162</v>
      </c>
      <c r="BC47" s="299">
        <f t="shared" si="29"/>
        <v>1000</v>
      </c>
      <c r="BD47" s="231"/>
      <c r="BE47" s="299">
        <f t="shared" si="30"/>
        <v>1000</v>
      </c>
      <c r="BF47" s="299">
        <f t="shared" si="31"/>
        <v>2877.709410596216</v>
      </c>
      <c r="BG47" s="40">
        <f t="shared" si="32"/>
        <v>14388547.05298108</v>
      </c>
      <c r="BH47" s="271"/>
    </row>
    <row r="48" spans="2:60" x14ac:dyDescent="0.3">
      <c r="B48" s="115">
        <f t="shared" si="9"/>
        <v>47391</v>
      </c>
      <c r="C48" s="298">
        <f t="shared" si="10"/>
        <v>0</v>
      </c>
      <c r="D48" s="298">
        <f t="shared" si="11"/>
        <v>10000</v>
      </c>
      <c r="E48" s="150">
        <f t="shared" si="12"/>
        <v>2419.5781841181806</v>
      </c>
      <c r="F48" s="299">
        <f t="shared" si="33"/>
        <v>1419.5781841181804</v>
      </c>
      <c r="G48" s="150">
        <f>E48*_xlfn.XLOOKUP(B48,Caixa!$D$3:$BK$3,Caixa!$D$54:$BK$54,0,0)</f>
        <v>60.501539186962134</v>
      </c>
      <c r="H48" s="150">
        <v>0</v>
      </c>
      <c r="I48" s="150">
        <f t="shared" si="13"/>
        <v>1480.0797233051426</v>
      </c>
      <c r="J48" s="150">
        <f t="shared" si="14"/>
        <v>1000</v>
      </c>
      <c r="K48" s="150"/>
      <c r="L48" s="150">
        <f t="shared" si="15"/>
        <v>1000</v>
      </c>
      <c r="M48" s="150">
        <f t="shared" si="16"/>
        <v>2480.0797233051426</v>
      </c>
      <c r="N48" s="152">
        <f t="shared" si="17"/>
        <v>24800797.233051427</v>
      </c>
      <c r="O48" s="150"/>
      <c r="Q48" s="115">
        <f t="shared" si="38"/>
        <v>47391</v>
      </c>
      <c r="R48" s="298">
        <f>SUMIFS(Inputs!$E$20:$E$31,Inputs!$B$20:$B$31,"&lt;="&amp;Q48,Inputs!$B$20:$B$31,"&gt;"&amp;Q47)</f>
        <v>0</v>
      </c>
      <c r="S48" s="21">
        <f>SUMIFS(Inputs!$C$20:$C$31,Inputs!$B$20:$B$31,"&lt;="&amp;Q48,Inputs!$B$20:$B$31,"&gt;="&amp;Q47)+S47</f>
        <v>2500</v>
      </c>
      <c r="T48" s="299">
        <f t="shared" si="19"/>
        <v>3.6193130624667377E-14</v>
      </c>
      <c r="U48" s="299">
        <f t="shared" si="39"/>
        <v>3.6193130624667377E-14</v>
      </c>
      <c r="V48" s="299">
        <f>T48*(((1+_xlfn.XLOOKUP(Q48,'Curva DI'!$A$2:$A$352,'Curva DI'!$H$2:$H$352,0,-1))*(1+$R$4))^(NETWORKDAYS(Q47,Q48)/252)-1)</f>
        <v>4.7516039304620319E-16</v>
      </c>
      <c r="W48" s="235"/>
      <c r="X48" s="299">
        <f t="shared" si="34"/>
        <v>3.6668291017713583E-14</v>
      </c>
      <c r="Y48" s="299">
        <f t="shared" si="20"/>
        <v>0</v>
      </c>
      <c r="Z48" s="235"/>
      <c r="AA48" s="299">
        <f t="shared" si="2"/>
        <v>0</v>
      </c>
      <c r="AB48" s="299">
        <f t="shared" si="3"/>
        <v>3.6668291017713583E-14</v>
      </c>
      <c r="AC48" s="40">
        <f t="shared" si="42"/>
        <v>9.1670727544283956E-11</v>
      </c>
      <c r="AD48" s="21"/>
      <c r="AF48" s="115">
        <f t="shared" si="21"/>
        <v>47391</v>
      </c>
      <c r="AG48" s="298">
        <f>SUMIFS(Inputs!$J$20:$J$31,Inputs!$G$20:$G$31,"&lt;="&amp;AF48,Inputs!$G$20:$G$31,"&gt;"&amp;AF47)</f>
        <v>0</v>
      </c>
      <c r="AH48" s="21">
        <f t="shared" si="35"/>
        <v>2500</v>
      </c>
      <c r="AI48" s="299">
        <f t="shared" si="22"/>
        <v>-4.2590807365013126E-13</v>
      </c>
      <c r="AJ48" s="299">
        <f t="shared" si="40"/>
        <v>-4.2590807365013126E-13</v>
      </c>
      <c r="AK48" s="299">
        <f>AI48*(((1+_xlfn.XLOOKUP(AF48,'Curva DI'!$A$2:$A$352,'Curva DI'!$H$2:$H$352,0,-1))*(1+AG$4))^(NETWORKDAYS(AF47,AF48)/252)-1)</f>
        <v>-5.9424790462149709E-15</v>
      </c>
      <c r="AL48" s="235"/>
      <c r="AM48" s="299">
        <f t="shared" si="36"/>
        <v>-4.3185055269634625E-13</v>
      </c>
      <c r="AN48" s="299">
        <f t="shared" si="23"/>
        <v>0</v>
      </c>
      <c r="AO48" s="235"/>
      <c r="AP48" s="299">
        <f t="shared" si="5"/>
        <v>0</v>
      </c>
      <c r="AQ48" s="299">
        <f t="shared" si="6"/>
        <v>-4.3185055269634625E-13</v>
      </c>
      <c r="AR48" s="40">
        <f t="shared" si="41"/>
        <v>-1.0796263817408656E-9</v>
      </c>
      <c r="AS48" s="21"/>
      <c r="AU48" s="115">
        <f t="shared" si="25"/>
        <v>47391</v>
      </c>
      <c r="AV48" s="298">
        <f>SUMIFS(Inputs!$O$20:$O$31,Inputs!$L$20:$L$31,"&lt;="&amp;AU48,Inputs!$L$20:$L$31,"&gt;"&amp;AU47)</f>
        <v>0</v>
      </c>
      <c r="AW48" s="21">
        <f t="shared" si="37"/>
        <v>5000</v>
      </c>
      <c r="AX48" s="299">
        <f t="shared" si="26"/>
        <v>2877.709410596216</v>
      </c>
      <c r="AY48" s="299">
        <f t="shared" si="27"/>
        <v>1877.7094105962162</v>
      </c>
      <c r="AZ48" s="299">
        <f>AX48*_xlfn.XLOOKUP(AU48,Caixa!$D$3:$BK$3,Caixa!$D$55:$BK$55,0,0)</f>
        <v>71.957107985468895</v>
      </c>
      <c r="BA48" s="231"/>
      <c r="BB48" s="299">
        <f t="shared" si="28"/>
        <v>1949.6665185816851</v>
      </c>
      <c r="BC48" s="299">
        <f t="shared" si="29"/>
        <v>1000</v>
      </c>
      <c r="BD48" s="231"/>
      <c r="BE48" s="299">
        <f t="shared" si="30"/>
        <v>1000</v>
      </c>
      <c r="BF48" s="299">
        <f t="shared" si="31"/>
        <v>2949.6665185816851</v>
      </c>
      <c r="BG48" s="40">
        <f t="shared" si="32"/>
        <v>14748332.592908425</v>
      </c>
      <c r="BH48" s="271"/>
    </row>
    <row r="49" spans="2:60" x14ac:dyDescent="0.3">
      <c r="B49" s="115">
        <f t="shared" si="9"/>
        <v>47422</v>
      </c>
      <c r="C49" s="298">
        <f t="shared" si="10"/>
        <v>0</v>
      </c>
      <c r="D49" s="298">
        <f t="shared" si="11"/>
        <v>10000</v>
      </c>
      <c r="E49" s="150">
        <f t="shared" si="12"/>
        <v>2480.0797233051426</v>
      </c>
      <c r="F49" s="299">
        <f t="shared" si="33"/>
        <v>1480.0797233051426</v>
      </c>
      <c r="G49" s="150">
        <f>E49*_xlfn.XLOOKUP(B49,Caixa!$D$3:$BK$3,Caixa!$D$54:$BK$54,0,0)</f>
        <v>61.232594419460909</v>
      </c>
      <c r="H49" s="150">
        <v>0</v>
      </c>
      <c r="I49" s="150">
        <f t="shared" si="13"/>
        <v>1541.3123177246034</v>
      </c>
      <c r="J49" s="150">
        <f t="shared" si="14"/>
        <v>1000</v>
      </c>
      <c r="K49" s="150"/>
      <c r="L49" s="150">
        <f t="shared" si="15"/>
        <v>1000</v>
      </c>
      <c r="M49" s="150">
        <f t="shared" si="16"/>
        <v>2541.3123177246034</v>
      </c>
      <c r="N49" s="152">
        <f t="shared" si="17"/>
        <v>25413123.177246034</v>
      </c>
      <c r="O49" s="150"/>
      <c r="Q49" s="115">
        <f t="shared" si="38"/>
        <v>47422</v>
      </c>
      <c r="R49" s="298">
        <f>SUMIFS(Inputs!$E$20:$E$31,Inputs!$B$20:$B$31,"&lt;="&amp;Q49,Inputs!$B$20:$B$31,"&gt;"&amp;Q48)</f>
        <v>0</v>
      </c>
      <c r="S49" s="21">
        <f>SUMIFS(Inputs!$C$20:$C$31,Inputs!$B$20:$B$31,"&lt;="&amp;Q49,Inputs!$B$20:$B$31,"&gt;="&amp;Q48)+S48</f>
        <v>2500</v>
      </c>
      <c r="T49" s="299">
        <f t="shared" si="19"/>
        <v>3.6668291017713583E-14</v>
      </c>
      <c r="U49" s="299">
        <f t="shared" si="39"/>
        <v>3.6668291017713583E-14</v>
      </c>
      <c r="V49" s="299">
        <f>T49*(((1+_xlfn.XLOOKUP(Q49,'Curva DI'!$A$2:$A$352,'Curva DI'!$H$2:$H$352,0,-1))*(1+$R$4))^(NETWORKDAYS(Q48,Q49)/252)-1)</f>
        <v>5.2816648465488598E-16</v>
      </c>
      <c r="W49" s="235"/>
      <c r="X49" s="299">
        <f t="shared" si="34"/>
        <v>3.7196457502368469E-14</v>
      </c>
      <c r="Y49" s="299">
        <f t="shared" si="20"/>
        <v>0</v>
      </c>
      <c r="Z49" s="235"/>
      <c r="AA49" s="299">
        <f t="shared" si="2"/>
        <v>0</v>
      </c>
      <c r="AB49" s="299">
        <f t="shared" si="3"/>
        <v>3.7196457502368469E-14</v>
      </c>
      <c r="AC49" s="40">
        <f t="shared" si="42"/>
        <v>9.2991143755921175E-11</v>
      </c>
      <c r="AD49" s="21"/>
      <c r="AF49" s="115">
        <f t="shared" si="21"/>
        <v>47422</v>
      </c>
      <c r="AG49" s="298">
        <f>SUMIFS(Inputs!$J$20:$J$31,Inputs!$G$20:$G$31,"&lt;="&amp;AF49,Inputs!$G$20:$G$31,"&gt;"&amp;AF48)</f>
        <v>0</v>
      </c>
      <c r="AH49" s="21">
        <f t="shared" si="35"/>
        <v>2500</v>
      </c>
      <c r="AI49" s="299">
        <f t="shared" si="22"/>
        <v>-4.3185055269634625E-13</v>
      </c>
      <c r="AJ49" s="299">
        <f t="shared" si="40"/>
        <v>-4.3185055269634625E-13</v>
      </c>
      <c r="AK49" s="299">
        <f>AI49*(((1+_xlfn.XLOOKUP(AF49,'Curva DI'!$A$2:$A$352,'Curva DI'!$H$2:$H$352,0,-1))*(1+AG$4))^(NETWORKDAYS(AF48,AF49)/252)-1)</f>
        <v>-6.6105847592282504E-15</v>
      </c>
      <c r="AL49" s="235"/>
      <c r="AM49" s="299">
        <f t="shared" si="36"/>
        <v>-4.3846113745557452E-13</v>
      </c>
      <c r="AN49" s="299">
        <f t="shared" si="23"/>
        <v>0</v>
      </c>
      <c r="AO49" s="235"/>
      <c r="AP49" s="299">
        <f t="shared" si="5"/>
        <v>0</v>
      </c>
      <c r="AQ49" s="299">
        <f t="shared" si="6"/>
        <v>-4.3846113745557452E-13</v>
      </c>
      <c r="AR49" s="40">
        <f t="shared" si="41"/>
        <v>-1.0961528436389363E-9</v>
      </c>
      <c r="AS49" s="21"/>
      <c r="AU49" s="115">
        <f t="shared" si="25"/>
        <v>47422</v>
      </c>
      <c r="AV49" s="298">
        <f>SUMIFS(Inputs!$O$20:$O$31,Inputs!$L$20:$L$31,"&lt;="&amp;AU49,Inputs!$L$20:$L$31,"&gt;"&amp;AU48)</f>
        <v>0</v>
      </c>
      <c r="AW49" s="21">
        <f t="shared" si="37"/>
        <v>5000</v>
      </c>
      <c r="AX49" s="299">
        <f t="shared" si="26"/>
        <v>2949.6665185816851</v>
      </c>
      <c r="AY49" s="299">
        <f t="shared" si="27"/>
        <v>1949.6665185816851</v>
      </c>
      <c r="AZ49" s="299">
        <f>AX49*_xlfn.XLOOKUP(AU49,Caixa!$D$3:$BK$3,Caixa!$D$55:$BK$55,0,0)</f>
        <v>72.826583721378654</v>
      </c>
      <c r="BA49" s="231"/>
      <c r="BB49" s="299">
        <f t="shared" si="28"/>
        <v>2022.4931023030638</v>
      </c>
      <c r="BC49" s="299">
        <f t="shared" si="29"/>
        <v>1000</v>
      </c>
      <c r="BD49" s="231"/>
      <c r="BE49" s="299">
        <f t="shared" si="30"/>
        <v>1000</v>
      </c>
      <c r="BF49" s="299">
        <f t="shared" si="31"/>
        <v>3022.493102303064</v>
      </c>
      <c r="BG49" s="40">
        <f t="shared" si="32"/>
        <v>15112465.511515319</v>
      </c>
      <c r="BH49" s="271"/>
    </row>
    <row r="50" spans="2:60" x14ac:dyDescent="0.3">
      <c r="B50" s="115">
        <f t="shared" si="9"/>
        <v>47452</v>
      </c>
      <c r="C50" s="298">
        <f t="shared" si="10"/>
        <v>0</v>
      </c>
      <c r="D50" s="298">
        <f t="shared" si="11"/>
        <v>10000</v>
      </c>
      <c r="E50" s="150">
        <f t="shared" si="12"/>
        <v>2541.3123177246034</v>
      </c>
      <c r="F50" s="299">
        <f t="shared" si="33"/>
        <v>1541.3123177246034</v>
      </c>
      <c r="G50" s="150">
        <f>E50*_xlfn.XLOOKUP(B50,Caixa!$D$3:$BK$3,Caixa!$D$54:$BK$54,0,0)</f>
        <v>72.550912840257723</v>
      </c>
      <c r="H50" s="150">
        <v>0</v>
      </c>
      <c r="I50" s="150">
        <f t="shared" si="13"/>
        <v>1613.8632305648612</v>
      </c>
      <c r="J50" s="150">
        <f t="shared" si="14"/>
        <v>1000</v>
      </c>
      <c r="K50" s="150"/>
      <c r="L50" s="150">
        <f t="shared" si="15"/>
        <v>1000</v>
      </c>
      <c r="M50" s="150">
        <f t="shared" si="16"/>
        <v>2613.8632305648612</v>
      </c>
      <c r="N50" s="152">
        <f t="shared" si="17"/>
        <v>26138632.30564861</v>
      </c>
      <c r="O50" s="150"/>
      <c r="Q50" s="115">
        <f t="shared" si="38"/>
        <v>47452</v>
      </c>
      <c r="R50" s="298">
        <f>SUMIFS(Inputs!$E$20:$E$31,Inputs!$B$20:$B$31,"&lt;="&amp;Q50,Inputs!$B$20:$B$31,"&gt;"&amp;Q49)</f>
        <v>0</v>
      </c>
      <c r="S50" s="21">
        <f>SUMIFS(Inputs!$C$20:$C$31,Inputs!$B$20:$B$31,"&lt;="&amp;Q50,Inputs!$B$20:$B$31,"&gt;="&amp;Q49)+S49</f>
        <v>2500</v>
      </c>
      <c r="T50" s="299">
        <f t="shared" si="19"/>
        <v>3.7196457502368469E-14</v>
      </c>
      <c r="U50" s="299">
        <f t="shared" si="39"/>
        <v>3.7196457502368469E-14</v>
      </c>
      <c r="V50" s="299">
        <f>T50*(((1+_xlfn.XLOOKUP(Q50,'Curva DI'!$A$2:$A$352,'Curva DI'!$H$2:$H$352,0,-1))*(1+$R$4))^(NETWORKDAYS(Q49,Q50)/252)-1)</f>
        <v>5.3607445520172913E-16</v>
      </c>
      <c r="W50" s="235"/>
      <c r="X50" s="299">
        <f t="shared" si="34"/>
        <v>3.77325319575702E-14</v>
      </c>
      <c r="Y50" s="299">
        <f t="shared" si="20"/>
        <v>0</v>
      </c>
      <c r="Z50" s="235"/>
      <c r="AA50" s="299">
        <f t="shared" si="2"/>
        <v>0</v>
      </c>
      <c r="AB50" s="299">
        <f t="shared" si="3"/>
        <v>3.77325319575702E-14</v>
      </c>
      <c r="AC50" s="40">
        <f t="shared" si="42"/>
        <v>9.4331329893925503E-11</v>
      </c>
      <c r="AD50" s="21"/>
      <c r="AF50" s="115">
        <f t="shared" si="21"/>
        <v>47452</v>
      </c>
      <c r="AG50" s="298">
        <f>SUMIFS(Inputs!$J$20:$J$31,Inputs!$G$20:$G$31,"&lt;="&amp;AF50,Inputs!$G$20:$G$31,"&gt;"&amp;AF49)</f>
        <v>0</v>
      </c>
      <c r="AH50" s="21">
        <f t="shared" si="35"/>
        <v>2500</v>
      </c>
      <c r="AI50" s="299">
        <f t="shared" si="22"/>
        <v>-4.3846113745557452E-13</v>
      </c>
      <c r="AJ50" s="299">
        <f t="shared" si="40"/>
        <v>-4.3846113745557452E-13</v>
      </c>
      <c r="AK50" s="299">
        <f>AI50*(((1+_xlfn.XLOOKUP(AF50,'Curva DI'!$A$2:$A$352,'Curva DI'!$H$2:$H$352,0,-1))*(1+AG$4))^(NETWORKDAYS(AF49,AF50)/252)-1)</f>
        <v>-6.7153199274274146E-15</v>
      </c>
      <c r="AL50" s="235"/>
      <c r="AM50" s="299">
        <f t="shared" si="36"/>
        <v>-4.4517645738300192E-13</v>
      </c>
      <c r="AN50" s="299">
        <f t="shared" si="23"/>
        <v>0</v>
      </c>
      <c r="AO50" s="235"/>
      <c r="AP50" s="299">
        <f t="shared" si="5"/>
        <v>0</v>
      </c>
      <c r="AQ50" s="299">
        <f t="shared" si="6"/>
        <v>-4.4517645738300192E-13</v>
      </c>
      <c r="AR50" s="40">
        <f t="shared" si="41"/>
        <v>-1.1129411434575047E-9</v>
      </c>
      <c r="AS50" s="21"/>
      <c r="AU50" s="115">
        <f t="shared" si="25"/>
        <v>47452</v>
      </c>
      <c r="AV50" s="298">
        <f>SUMIFS(Inputs!$O$20:$O$31,Inputs!$L$20:$L$31,"&lt;="&amp;AU50,Inputs!$L$20:$L$31,"&gt;"&amp;AU49)</f>
        <v>0</v>
      </c>
      <c r="AW50" s="21">
        <f t="shared" si="37"/>
        <v>5000</v>
      </c>
      <c r="AX50" s="299">
        <f t="shared" si="26"/>
        <v>3022.493102303064</v>
      </c>
      <c r="AY50" s="299">
        <f t="shared" si="27"/>
        <v>2022.4931023030638</v>
      </c>
      <c r="AZ50" s="299">
        <f>AX50*_xlfn.XLOOKUP(AU50,Caixa!$D$3:$BK$3,Caixa!$D$55:$BK$55,0,0)</f>
        <v>86.287951345472209</v>
      </c>
      <c r="BA50" s="231"/>
      <c r="BB50" s="299">
        <f t="shared" si="28"/>
        <v>2108.7810536485358</v>
      </c>
      <c r="BC50" s="299">
        <f t="shared" si="29"/>
        <v>1000</v>
      </c>
      <c r="BD50" s="231"/>
      <c r="BE50" s="299">
        <f t="shared" si="30"/>
        <v>1000</v>
      </c>
      <c r="BF50" s="299">
        <f t="shared" si="31"/>
        <v>3108.7810536485358</v>
      </c>
      <c r="BG50" s="40">
        <f t="shared" si="32"/>
        <v>15543905.26824268</v>
      </c>
      <c r="BH50" s="271"/>
    </row>
    <row r="51" spans="2:60" x14ac:dyDescent="0.3">
      <c r="B51" s="115">
        <f t="shared" si="9"/>
        <v>47483</v>
      </c>
      <c r="C51" s="298">
        <f t="shared" si="10"/>
        <v>0</v>
      </c>
      <c r="D51" s="298">
        <f t="shared" si="11"/>
        <v>10000</v>
      </c>
      <c r="E51" s="150">
        <f t="shared" si="12"/>
        <v>2613.8632305648612</v>
      </c>
      <c r="F51" s="299">
        <f t="shared" si="33"/>
        <v>1613.8632305648612</v>
      </c>
      <c r="G51" s="150">
        <f>E51*_xlfn.XLOOKUP(B51,Caixa!$D$3:$BK$3,Caixa!$D$54:$BK$54,0,0)</f>
        <v>65.763509151593212</v>
      </c>
      <c r="H51" s="150">
        <v>0</v>
      </c>
      <c r="I51" s="150">
        <f t="shared" si="13"/>
        <v>1679.6267397164543</v>
      </c>
      <c r="J51" s="150">
        <f t="shared" si="14"/>
        <v>1000</v>
      </c>
      <c r="K51" s="150"/>
      <c r="L51" s="150">
        <f t="shared" si="15"/>
        <v>1000</v>
      </c>
      <c r="M51" s="150">
        <f t="shared" si="16"/>
        <v>2679.6267397164543</v>
      </c>
      <c r="N51" s="152">
        <f t="shared" si="17"/>
        <v>26796267.397164542</v>
      </c>
      <c r="O51" s="150"/>
      <c r="Q51" s="115">
        <f t="shared" si="38"/>
        <v>47483</v>
      </c>
      <c r="R51" s="298">
        <f>SUMIFS(Inputs!$E$20:$E$31,Inputs!$B$20:$B$31,"&lt;="&amp;Q51,Inputs!$B$20:$B$31,"&gt;"&amp;Q50)</f>
        <v>0</v>
      </c>
      <c r="S51" s="21">
        <f>SUMIFS(Inputs!$C$20:$C$31,Inputs!$B$20:$B$31,"&lt;="&amp;Q51,Inputs!$B$20:$B$31,"&gt;="&amp;Q50)+S50</f>
        <v>2500</v>
      </c>
      <c r="T51" s="299">
        <f t="shared" si="19"/>
        <v>3.77325319575702E-14</v>
      </c>
      <c r="U51" s="299">
        <f t="shared" si="39"/>
        <v>3.77325319575702E-14</v>
      </c>
      <c r="V51" s="299">
        <f>T51*(((1+_xlfn.XLOOKUP(Q51,'Curva DI'!$A$2:$A$352,'Curva DI'!$H$2:$H$352,0,-1))*(1+$R$4))^(NETWORKDAYS(Q50,Q51)/252)-1)</f>
        <v>5.202858884547675E-16</v>
      </c>
      <c r="W51" s="235"/>
      <c r="X51" s="299">
        <f t="shared" si="34"/>
        <v>3.8252817846024965E-14</v>
      </c>
      <c r="Y51" s="299">
        <f t="shared" si="20"/>
        <v>0</v>
      </c>
      <c r="Z51" s="235"/>
      <c r="AA51" s="299">
        <f t="shared" si="2"/>
        <v>0</v>
      </c>
      <c r="AB51" s="299">
        <f t="shared" si="3"/>
        <v>3.8252817846024965E-14</v>
      </c>
      <c r="AC51" s="40">
        <f t="shared" si="42"/>
        <v>9.5632044615062411E-11</v>
      </c>
      <c r="AD51" s="21"/>
      <c r="AF51" s="115">
        <f t="shared" si="21"/>
        <v>47483</v>
      </c>
      <c r="AG51" s="298">
        <f>SUMIFS(Inputs!$J$20:$J$31,Inputs!$G$20:$G$31,"&lt;="&amp;AF51,Inputs!$G$20:$G$31,"&gt;"&amp;AF50)</f>
        <v>0</v>
      </c>
      <c r="AH51" s="21">
        <f t="shared" si="35"/>
        <v>2500</v>
      </c>
      <c r="AI51" s="299">
        <f t="shared" si="22"/>
        <v>-4.4517645738300192E-13</v>
      </c>
      <c r="AJ51" s="299">
        <f t="shared" si="40"/>
        <v>-4.4517645738300192E-13</v>
      </c>
      <c r="AK51" s="299">
        <f>AI51*(((1+_xlfn.XLOOKUP(AF51,'Curva DI'!$A$2:$A$352,'Curva DI'!$H$2:$H$352,0,-1))*(1+AG$4))^(NETWORKDAYS(AF50,AF51)/252)-1)</f>
        <v>-6.5230058374113579E-15</v>
      </c>
      <c r="AL51" s="235"/>
      <c r="AM51" s="299">
        <f t="shared" si="36"/>
        <v>-4.516994632204133E-13</v>
      </c>
      <c r="AN51" s="299">
        <f t="shared" si="23"/>
        <v>0</v>
      </c>
      <c r="AO51" s="235"/>
      <c r="AP51" s="299">
        <f t="shared" si="5"/>
        <v>0</v>
      </c>
      <c r="AQ51" s="299">
        <f t="shared" si="6"/>
        <v>-4.516994632204133E-13</v>
      </c>
      <c r="AR51" s="40">
        <f t="shared" si="41"/>
        <v>-1.1292486580510333E-9</v>
      </c>
      <c r="AS51" s="21"/>
      <c r="AU51" s="115">
        <f t="shared" si="25"/>
        <v>47483</v>
      </c>
      <c r="AV51" s="298">
        <f>SUMIFS(Inputs!$O$20:$O$31,Inputs!$L$20:$L$31,"&lt;="&amp;AU51,Inputs!$L$20:$L$31,"&gt;"&amp;AU50)</f>
        <v>0</v>
      </c>
      <c r="AW51" s="21">
        <f t="shared" si="37"/>
        <v>5000</v>
      </c>
      <c r="AX51" s="299">
        <f t="shared" si="26"/>
        <v>3108.7810536485358</v>
      </c>
      <c r="AY51" s="299">
        <f t="shared" si="27"/>
        <v>2108.7810536485358</v>
      </c>
      <c r="AZ51" s="299">
        <f>AX51*_xlfn.XLOOKUP(AU51,Caixa!$D$3:$BK$3,Caixa!$D$55:$BK$55,0,0)</f>
        <v>78.215397378589785</v>
      </c>
      <c r="BA51" s="231"/>
      <c r="BB51" s="299">
        <f t="shared" si="28"/>
        <v>2186.9964510271257</v>
      </c>
      <c r="BC51" s="299">
        <f t="shared" si="29"/>
        <v>1000</v>
      </c>
      <c r="BD51" s="231"/>
      <c r="BE51" s="299">
        <f t="shared" si="30"/>
        <v>1000</v>
      </c>
      <c r="BF51" s="299">
        <f t="shared" si="31"/>
        <v>3186.9964510271257</v>
      </c>
      <c r="BG51" s="40">
        <f t="shared" si="32"/>
        <v>15934982.255135627</v>
      </c>
      <c r="BH51" s="271"/>
    </row>
    <row r="52" spans="2:60" x14ac:dyDescent="0.3">
      <c r="B52" s="115">
        <f t="shared" si="9"/>
        <v>47514</v>
      </c>
      <c r="C52" s="298">
        <f t="shared" si="10"/>
        <v>0</v>
      </c>
      <c r="D52" s="298">
        <f t="shared" si="11"/>
        <v>10000</v>
      </c>
      <c r="E52" s="150">
        <f t="shared" si="12"/>
        <v>2679.6267397164543</v>
      </c>
      <c r="F52" s="299">
        <f t="shared" si="33"/>
        <v>1679.6267397164543</v>
      </c>
      <c r="G52" s="150">
        <f>E52*_xlfn.XLOOKUP(B52,Caixa!$D$3:$BK$3,Caixa!$D$54:$BK$54,0,0)</f>
        <v>66.557892662323098</v>
      </c>
      <c r="H52" s="150">
        <v>0</v>
      </c>
      <c r="I52" s="150">
        <f t="shared" si="13"/>
        <v>1746.1846323787775</v>
      </c>
      <c r="J52" s="150">
        <f t="shared" si="14"/>
        <v>1000</v>
      </c>
      <c r="K52" s="150"/>
      <c r="L52" s="150">
        <f t="shared" si="15"/>
        <v>1000</v>
      </c>
      <c r="M52" s="150">
        <f t="shared" si="16"/>
        <v>2746.1846323787777</v>
      </c>
      <c r="N52" s="152">
        <f t="shared" si="17"/>
        <v>27461846.323787779</v>
      </c>
      <c r="O52" s="150"/>
      <c r="Q52" s="115">
        <f t="shared" si="38"/>
        <v>47514</v>
      </c>
      <c r="R52" s="298">
        <f>SUMIFS(Inputs!$E$20:$E$31,Inputs!$B$20:$B$31,"&lt;="&amp;Q52,Inputs!$B$20:$B$31,"&gt;"&amp;Q51)</f>
        <v>0</v>
      </c>
      <c r="S52" s="21">
        <f>SUMIFS(Inputs!$C$20:$C$31,Inputs!$B$20:$B$31,"&lt;="&amp;Q52,Inputs!$B$20:$B$31,"&gt;="&amp;Q51)+S51</f>
        <v>2500</v>
      </c>
      <c r="T52" s="299">
        <f t="shared" si="19"/>
        <v>3.8252817846024965E-14</v>
      </c>
      <c r="U52" s="299">
        <f t="shared" si="39"/>
        <v>3.8252817846024965E-14</v>
      </c>
      <c r="V52" s="299">
        <f>T52*(((1+_xlfn.XLOOKUP(Q52,'Curva DI'!$A$2:$A$352,'Curva DI'!$H$2:$H$352,0,-1))*(1+$R$4))^(NETWORKDAYS(Q51,Q52)/252)-1)</f>
        <v>5.7609247693324841E-16</v>
      </c>
      <c r="W52" s="235"/>
      <c r="X52" s="299">
        <f t="shared" si="34"/>
        <v>3.8828910322958213E-14</v>
      </c>
      <c r="Y52" s="299">
        <f t="shared" si="20"/>
        <v>0</v>
      </c>
      <c r="Z52" s="235"/>
      <c r="AA52" s="299">
        <f t="shared" si="2"/>
        <v>0</v>
      </c>
      <c r="AB52" s="299">
        <f t="shared" si="3"/>
        <v>3.8828910322958213E-14</v>
      </c>
      <c r="AC52" s="40">
        <f t="shared" si="42"/>
        <v>9.7072275807395534E-11</v>
      </c>
      <c r="AD52" s="21"/>
      <c r="AF52" s="115">
        <f t="shared" si="21"/>
        <v>47514</v>
      </c>
      <c r="AG52" s="298">
        <f>SUMIFS(Inputs!$J$20:$J$31,Inputs!$G$20:$G$31,"&lt;="&amp;AF52,Inputs!$G$20:$G$31,"&gt;"&amp;AF51)</f>
        <v>0</v>
      </c>
      <c r="AH52" s="21">
        <f t="shared" si="35"/>
        <v>2500</v>
      </c>
      <c r="AI52" s="299">
        <f t="shared" si="22"/>
        <v>-4.516994632204133E-13</v>
      </c>
      <c r="AJ52" s="299">
        <f t="shared" si="40"/>
        <v>-4.516994632204133E-13</v>
      </c>
      <c r="AK52" s="299">
        <f>AI52*(((1+_xlfn.XLOOKUP(AF52,'Curva DI'!$A$2:$A$352,'Curva DI'!$H$2:$H$352,0,-1))*(1+AG$4))^(NETWORKDAYS(AF51,AF52)/252)-1)</f>
        <v>-7.2288730201123375E-15</v>
      </c>
      <c r="AL52" s="235"/>
      <c r="AM52" s="299">
        <f t="shared" si="36"/>
        <v>-4.5892833624052562E-13</v>
      </c>
      <c r="AN52" s="299">
        <f t="shared" si="23"/>
        <v>0</v>
      </c>
      <c r="AO52" s="235"/>
      <c r="AP52" s="299">
        <f t="shared" si="5"/>
        <v>0</v>
      </c>
      <c r="AQ52" s="299">
        <f t="shared" si="6"/>
        <v>-4.5892833624052562E-13</v>
      </c>
      <c r="AR52" s="40">
        <f t="shared" si="41"/>
        <v>-1.1473208406013141E-9</v>
      </c>
      <c r="AS52" s="21"/>
      <c r="AU52" s="115">
        <f t="shared" si="25"/>
        <v>47514</v>
      </c>
      <c r="AV52" s="298">
        <f>SUMIFS(Inputs!$O$20:$O$31,Inputs!$L$20:$L$31,"&lt;="&amp;AU52,Inputs!$L$20:$L$31,"&gt;"&amp;AU51)</f>
        <v>0</v>
      </c>
      <c r="AW52" s="21">
        <f t="shared" si="37"/>
        <v>5000</v>
      </c>
      <c r="AX52" s="299">
        <f t="shared" si="26"/>
        <v>3186.9964510271257</v>
      </c>
      <c r="AY52" s="299">
        <f t="shared" si="27"/>
        <v>2186.9964510271257</v>
      </c>
      <c r="AZ52" s="299">
        <f>AX52*_xlfn.XLOOKUP(AU52,Caixa!$D$3:$BK$3,Caixa!$D$55:$BK$55,0,0)</f>
        <v>79.160192185988407</v>
      </c>
      <c r="BA52" s="231"/>
      <c r="BB52" s="299">
        <f t="shared" si="28"/>
        <v>2266.156643213114</v>
      </c>
      <c r="BC52" s="299">
        <f t="shared" si="29"/>
        <v>1000</v>
      </c>
      <c r="BD52" s="231"/>
      <c r="BE52" s="299">
        <f t="shared" si="30"/>
        <v>1000</v>
      </c>
      <c r="BF52" s="299">
        <f t="shared" si="31"/>
        <v>3266.156643213114</v>
      </c>
      <c r="BG52" s="40">
        <f t="shared" si="32"/>
        <v>16330783.216065571</v>
      </c>
      <c r="BH52" s="271"/>
    </row>
    <row r="53" spans="2:60" x14ac:dyDescent="0.3">
      <c r="B53" s="115">
        <f t="shared" si="9"/>
        <v>47542</v>
      </c>
      <c r="C53" s="298">
        <f t="shared" si="10"/>
        <v>0</v>
      </c>
      <c r="D53" s="298">
        <f t="shared" si="11"/>
        <v>10000</v>
      </c>
      <c r="E53" s="150">
        <f t="shared" si="12"/>
        <v>2746.1846323787777</v>
      </c>
      <c r="F53" s="299">
        <f t="shared" si="33"/>
        <v>1746.1846323787775</v>
      </c>
      <c r="G53" s="150">
        <f>E53*_xlfn.XLOOKUP(B53,Caixa!$D$3:$BK$3,Caixa!$D$54:$BK$54,0,0)</f>
        <v>78.860171057076855</v>
      </c>
      <c r="H53" s="150">
        <v>0</v>
      </c>
      <c r="I53" s="150">
        <f t="shared" si="13"/>
        <v>1825.0448034358542</v>
      </c>
      <c r="J53" s="150">
        <f t="shared" si="14"/>
        <v>1000</v>
      </c>
      <c r="K53" s="150"/>
      <c r="L53" s="150">
        <f t="shared" si="15"/>
        <v>1000</v>
      </c>
      <c r="M53" s="150">
        <f t="shared" si="16"/>
        <v>2825.0448034358542</v>
      </c>
      <c r="N53" s="152">
        <f t="shared" si="17"/>
        <v>28250448.034358542</v>
      </c>
      <c r="O53" s="150"/>
      <c r="Q53" s="115">
        <f t="shared" si="38"/>
        <v>47542</v>
      </c>
      <c r="R53" s="298">
        <f>SUMIFS(Inputs!$E$20:$E$31,Inputs!$B$20:$B$31,"&lt;="&amp;Q53,Inputs!$B$20:$B$31,"&gt;"&amp;Q52)</f>
        <v>0</v>
      </c>
      <c r="S53" s="21">
        <f>SUMIFS(Inputs!$C$20:$C$31,Inputs!$B$20:$B$31,"&lt;="&amp;Q53,Inputs!$B$20:$B$31,"&gt;="&amp;Q52)+S52</f>
        <v>2500</v>
      </c>
      <c r="T53" s="299">
        <f t="shared" si="19"/>
        <v>3.8828910322958213E-14</v>
      </c>
      <c r="U53" s="299">
        <f t="shared" si="39"/>
        <v>3.8828910322958213E-14</v>
      </c>
      <c r="V53" s="299">
        <f>T53*(((1+_xlfn.XLOOKUP(Q53,'Curva DI'!$A$2:$A$352,'Curva DI'!$H$2:$H$352,0,-1))*(1+$R$4))^(NETWORKDAYS(Q52,Q53)/252)-1)</f>
        <v>5.111935248396997E-16</v>
      </c>
      <c r="W53" s="235"/>
      <c r="X53" s="299">
        <f t="shared" si="34"/>
        <v>3.9340103847797915E-14</v>
      </c>
      <c r="Y53" s="299">
        <f t="shared" si="20"/>
        <v>0</v>
      </c>
      <c r="Z53" s="235"/>
      <c r="AA53" s="299">
        <f t="shared" si="2"/>
        <v>0</v>
      </c>
      <c r="AB53" s="299">
        <f t="shared" si="3"/>
        <v>3.9340103847797915E-14</v>
      </c>
      <c r="AC53" s="40">
        <f t="shared" si="42"/>
        <v>9.8350259619494782E-11</v>
      </c>
      <c r="AD53" s="21"/>
      <c r="AF53" s="115">
        <f t="shared" si="21"/>
        <v>47542</v>
      </c>
      <c r="AG53" s="298">
        <f>SUMIFS(Inputs!$J$20:$J$31,Inputs!$G$20:$G$31,"&lt;="&amp;AF53,Inputs!$G$20:$G$31,"&gt;"&amp;AF52)</f>
        <v>0</v>
      </c>
      <c r="AH53" s="21">
        <f t="shared" si="35"/>
        <v>2500</v>
      </c>
      <c r="AI53" s="299">
        <f t="shared" si="22"/>
        <v>-4.5892833624052562E-13</v>
      </c>
      <c r="AJ53" s="299">
        <f t="shared" si="40"/>
        <v>-4.5892833624052562E-13</v>
      </c>
      <c r="AK53" s="299">
        <f>AI53*(((1+_xlfn.XLOOKUP(AF53,'Curva DI'!$A$2:$A$352,'Curva DI'!$H$2:$H$352,0,-1))*(1+AG$4))^(NETWORKDAYS(AF52,AF53)/252)-1)</f>
        <v>-6.4201019280723718E-15</v>
      </c>
      <c r="AL53" s="235"/>
      <c r="AM53" s="299">
        <f t="shared" si="36"/>
        <v>-4.6534843816859795E-13</v>
      </c>
      <c r="AN53" s="299">
        <f t="shared" si="23"/>
        <v>0</v>
      </c>
      <c r="AO53" s="235"/>
      <c r="AP53" s="299">
        <f t="shared" si="5"/>
        <v>0</v>
      </c>
      <c r="AQ53" s="299">
        <f t="shared" si="6"/>
        <v>-4.6534843816859795E-13</v>
      </c>
      <c r="AR53" s="40">
        <f t="shared" si="41"/>
        <v>-1.163371095421495E-9</v>
      </c>
      <c r="AS53" s="21"/>
      <c r="AU53" s="115">
        <f t="shared" si="25"/>
        <v>47542</v>
      </c>
      <c r="AV53" s="298">
        <f>SUMIFS(Inputs!$O$20:$O$31,Inputs!$L$20:$L$31,"&lt;="&amp;AU53,Inputs!$L$20:$L$31,"&gt;"&amp;AU52)</f>
        <v>0</v>
      </c>
      <c r="AW53" s="21">
        <f t="shared" si="37"/>
        <v>5000</v>
      </c>
      <c r="AX53" s="299">
        <f t="shared" si="26"/>
        <v>3266.156643213114</v>
      </c>
      <c r="AY53" s="299">
        <f t="shared" si="27"/>
        <v>2266.156643213114</v>
      </c>
      <c r="AZ53" s="299">
        <f>AX53*_xlfn.XLOOKUP(AU53,Caixa!$D$3:$BK$3,Caixa!$D$55:$BK$55,0,0)</f>
        <v>93.791826138027076</v>
      </c>
      <c r="BA53" s="231"/>
      <c r="BB53" s="299">
        <f t="shared" si="28"/>
        <v>2359.9484693511408</v>
      </c>
      <c r="BC53" s="299">
        <f t="shared" si="29"/>
        <v>1000</v>
      </c>
      <c r="BD53" s="231"/>
      <c r="BE53" s="299">
        <f t="shared" si="30"/>
        <v>1000</v>
      </c>
      <c r="BF53" s="299">
        <f t="shared" si="31"/>
        <v>3359.9484693511408</v>
      </c>
      <c r="BG53" s="40">
        <f t="shared" si="32"/>
        <v>16799742.346755706</v>
      </c>
      <c r="BH53" s="271"/>
    </row>
    <row r="54" spans="2:60" x14ac:dyDescent="0.3">
      <c r="B54" s="115">
        <f t="shared" si="9"/>
        <v>47573</v>
      </c>
      <c r="C54" s="298">
        <f t="shared" si="10"/>
        <v>0</v>
      </c>
      <c r="D54" s="298">
        <f t="shared" si="11"/>
        <v>10000</v>
      </c>
      <c r="E54" s="150">
        <f t="shared" si="12"/>
        <v>2825.0448034358542</v>
      </c>
      <c r="F54" s="299">
        <f t="shared" si="33"/>
        <v>1825.0448034358542</v>
      </c>
      <c r="G54" s="150">
        <f>E54*_xlfn.XLOOKUP(B54,Caixa!$D$3:$BK$3,Caixa!$D$54:$BK$54,0,0)</f>
        <v>71.482799842948623</v>
      </c>
      <c r="H54" s="150">
        <v>0</v>
      </c>
      <c r="I54" s="150">
        <f t="shared" si="13"/>
        <v>1896.5276032788029</v>
      </c>
      <c r="J54" s="150">
        <f t="shared" si="14"/>
        <v>1000</v>
      </c>
      <c r="K54" s="150"/>
      <c r="L54" s="150">
        <f t="shared" si="15"/>
        <v>1000</v>
      </c>
      <c r="M54" s="150">
        <f t="shared" si="16"/>
        <v>2896.5276032788029</v>
      </c>
      <c r="N54" s="152">
        <f t="shared" si="17"/>
        <v>28965276.032788027</v>
      </c>
      <c r="O54" s="150"/>
      <c r="Q54" s="115">
        <f t="shared" si="38"/>
        <v>47573</v>
      </c>
      <c r="R54" s="298">
        <f>SUMIFS(Inputs!$E$20:$E$31,Inputs!$B$20:$B$31,"&lt;="&amp;Q54,Inputs!$B$20:$B$31,"&gt;"&amp;Q53)</f>
        <v>0</v>
      </c>
      <c r="S54" s="21">
        <f>SUMIFS(Inputs!$C$20:$C$31,Inputs!$B$20:$B$31,"&lt;="&amp;Q54,Inputs!$B$20:$B$31,"&gt;="&amp;Q53)+S53</f>
        <v>2500</v>
      </c>
      <c r="T54" s="299">
        <f t="shared" si="19"/>
        <v>3.9340103847797915E-14</v>
      </c>
      <c r="U54" s="299">
        <f t="shared" si="39"/>
        <v>3.9340103847797915E-14</v>
      </c>
      <c r="V54" s="299">
        <f>T54*(((1+_xlfn.XLOOKUP(Q54,'Curva DI'!$A$2:$A$352,'Curva DI'!$H$2:$H$352,0,-1))*(1+$R$4))^(NETWORKDAYS(Q53,Q54)/252)-1)</f>
        <v>5.4336300139740948E-16</v>
      </c>
      <c r="W54" s="235"/>
      <c r="X54" s="299">
        <f t="shared" si="34"/>
        <v>3.9883466849195326E-14</v>
      </c>
      <c r="Y54" s="299">
        <f t="shared" si="20"/>
        <v>0</v>
      </c>
      <c r="Z54" s="235"/>
      <c r="AA54" s="299">
        <f t="shared" si="2"/>
        <v>0</v>
      </c>
      <c r="AB54" s="299">
        <f t="shared" si="3"/>
        <v>3.9883466849195326E-14</v>
      </c>
      <c r="AC54" s="40">
        <f t="shared" si="42"/>
        <v>9.9708667122988312E-11</v>
      </c>
      <c r="AD54" s="21"/>
      <c r="AF54" s="115">
        <f t="shared" si="21"/>
        <v>47573</v>
      </c>
      <c r="AG54" s="298">
        <f>SUMIFS(Inputs!$J$20:$J$31,Inputs!$G$20:$G$31,"&lt;="&amp;AF54,Inputs!$G$20:$G$31,"&gt;"&amp;AF53)</f>
        <v>0</v>
      </c>
      <c r="AH54" s="21">
        <f t="shared" si="35"/>
        <v>2500</v>
      </c>
      <c r="AI54" s="299">
        <f t="shared" si="22"/>
        <v>-4.6534843816859795E-13</v>
      </c>
      <c r="AJ54" s="299">
        <f t="shared" si="40"/>
        <v>-4.6534843816859795E-13</v>
      </c>
      <c r="AK54" s="299">
        <f>AI54*(((1+_xlfn.XLOOKUP(AF54,'Curva DI'!$A$2:$A$352,'Curva DI'!$H$2:$H$352,0,-1))*(1+AG$4))^(NETWORKDAYS(AF53,AF54)/252)-1)</f>
        <v>-6.8293594694186106E-15</v>
      </c>
      <c r="AL54" s="235"/>
      <c r="AM54" s="299">
        <f t="shared" si="36"/>
        <v>-4.7217779763801651E-13</v>
      </c>
      <c r="AN54" s="299">
        <f t="shared" si="23"/>
        <v>0</v>
      </c>
      <c r="AO54" s="235"/>
      <c r="AP54" s="299">
        <f t="shared" si="5"/>
        <v>0</v>
      </c>
      <c r="AQ54" s="299">
        <f t="shared" si="6"/>
        <v>-4.7217779763801651E-13</v>
      </c>
      <c r="AR54" s="40">
        <f t="shared" si="41"/>
        <v>-1.1804444940950412E-9</v>
      </c>
      <c r="AS54" s="21"/>
      <c r="AU54" s="115">
        <f t="shared" si="25"/>
        <v>47573</v>
      </c>
      <c r="AV54" s="298">
        <f>SUMIFS(Inputs!$O$20:$O$31,Inputs!$L$20:$L$31,"&lt;="&amp;AU54,Inputs!$L$20:$L$31,"&gt;"&amp;AU53)</f>
        <v>0</v>
      </c>
      <c r="AW54" s="21">
        <f t="shared" si="37"/>
        <v>5000</v>
      </c>
      <c r="AX54" s="299">
        <f t="shared" si="26"/>
        <v>3359.9484693511408</v>
      </c>
      <c r="AY54" s="299">
        <f t="shared" si="27"/>
        <v>2359.9484693511408</v>
      </c>
      <c r="AZ54" s="299">
        <f>AX54*_xlfn.XLOOKUP(AU54,Caixa!$D$3:$BK$3,Caixa!$D$55:$BK$55,0,0)</f>
        <v>85.01759817229842</v>
      </c>
      <c r="BA54" s="231"/>
      <c r="BB54" s="299">
        <f t="shared" si="28"/>
        <v>2444.9660675234391</v>
      </c>
      <c r="BC54" s="299">
        <f t="shared" si="29"/>
        <v>1000</v>
      </c>
      <c r="BD54" s="231"/>
      <c r="BE54" s="299">
        <f t="shared" si="30"/>
        <v>1000</v>
      </c>
      <c r="BF54" s="299">
        <f t="shared" si="31"/>
        <v>3444.9660675234391</v>
      </c>
      <c r="BG54" s="40">
        <f t="shared" si="32"/>
        <v>17224830.337617196</v>
      </c>
      <c r="BH54" s="271"/>
    </row>
    <row r="55" spans="2:60" x14ac:dyDescent="0.3">
      <c r="B55" s="115">
        <f t="shared" si="9"/>
        <v>47603</v>
      </c>
      <c r="C55" s="298">
        <f t="shared" si="10"/>
        <v>0</v>
      </c>
      <c r="D55" s="298">
        <f t="shared" si="11"/>
        <v>10000</v>
      </c>
      <c r="E55" s="150">
        <f t="shared" si="12"/>
        <v>2896.5276032788029</v>
      </c>
      <c r="F55" s="299">
        <f t="shared" si="33"/>
        <v>1896.5276032788029</v>
      </c>
      <c r="G55" s="150">
        <f>E55*_xlfn.XLOOKUP(B55,Caixa!$D$3:$BK$3,Caixa!$D$54:$BK$54,0,0)</f>
        <v>72.34650160322829</v>
      </c>
      <c r="H55" s="150">
        <v>0</v>
      </c>
      <c r="I55" s="150">
        <f t="shared" si="13"/>
        <v>1968.8741048820311</v>
      </c>
      <c r="J55" s="150">
        <f t="shared" si="14"/>
        <v>1000</v>
      </c>
      <c r="K55" s="150"/>
      <c r="L55" s="150">
        <f t="shared" si="15"/>
        <v>1000</v>
      </c>
      <c r="M55" s="150">
        <f t="shared" si="16"/>
        <v>2968.8741048820311</v>
      </c>
      <c r="N55" s="152">
        <f t="shared" si="17"/>
        <v>29688741.048820313</v>
      </c>
      <c r="O55" s="150"/>
      <c r="Q55" s="115">
        <f t="shared" si="38"/>
        <v>47603</v>
      </c>
      <c r="R55" s="298">
        <f>SUMIFS(Inputs!$E$20:$E$31,Inputs!$B$20:$B$31,"&lt;="&amp;Q55,Inputs!$B$20:$B$31,"&gt;"&amp;Q54)</f>
        <v>0</v>
      </c>
      <c r="S55" s="21">
        <f>SUMIFS(Inputs!$C$20:$C$31,Inputs!$B$20:$B$31,"&lt;="&amp;Q55,Inputs!$B$20:$B$31,"&gt;="&amp;Q54)+S54</f>
        <v>2500</v>
      </c>
      <c r="T55" s="299">
        <f t="shared" si="19"/>
        <v>3.9883466849195326E-14</v>
      </c>
      <c r="U55" s="299">
        <f t="shared" si="39"/>
        <v>3.9883466849195326E-14</v>
      </c>
      <c r="V55" s="299">
        <f>T55*(((1+_xlfn.XLOOKUP(Q55,'Curva DI'!$A$2:$A$352,'Curva DI'!$H$2:$H$352,0,-1))*(1+$R$4))^(NETWORKDAYS(Q54,Q55)/252)-1)</f>
        <v>5.5148325573789886E-16</v>
      </c>
      <c r="W55" s="235"/>
      <c r="X55" s="299">
        <f t="shared" si="34"/>
        <v>4.0434950104933227E-14</v>
      </c>
      <c r="Y55" s="299">
        <f t="shared" si="20"/>
        <v>0</v>
      </c>
      <c r="Z55" s="235"/>
      <c r="AA55" s="299">
        <f t="shared" si="2"/>
        <v>0</v>
      </c>
      <c r="AB55" s="299">
        <f t="shared" si="3"/>
        <v>4.0434950104933227E-14</v>
      </c>
      <c r="AC55" s="40">
        <f t="shared" si="42"/>
        <v>1.0108737526233307E-10</v>
      </c>
      <c r="AD55" s="21"/>
      <c r="AF55" s="115">
        <f t="shared" si="21"/>
        <v>47603</v>
      </c>
      <c r="AG55" s="298">
        <f>SUMIFS(Inputs!$J$20:$J$31,Inputs!$G$20:$G$31,"&lt;="&amp;AF55,Inputs!$G$20:$G$31,"&gt;"&amp;AF54)</f>
        <v>0</v>
      </c>
      <c r="AH55" s="21">
        <f t="shared" si="35"/>
        <v>2500</v>
      </c>
      <c r="AI55" s="299">
        <f t="shared" si="22"/>
        <v>-4.7217779763801651E-13</v>
      </c>
      <c r="AJ55" s="299">
        <f t="shared" si="40"/>
        <v>-4.7217779763801651E-13</v>
      </c>
      <c r="AK55" s="299">
        <f>AI55*(((1+_xlfn.XLOOKUP(AF55,'Curva DI'!$A$2:$A$352,'Curva DI'!$H$2:$H$352,0,-1))*(1+AG$4))^(NETWORKDAYS(AF54,AF55)/252)-1)</f>
        <v>-6.9368771729066295E-15</v>
      </c>
      <c r="AL55" s="235"/>
      <c r="AM55" s="299">
        <f t="shared" si="36"/>
        <v>-4.7911467481092313E-13</v>
      </c>
      <c r="AN55" s="299">
        <f t="shared" si="23"/>
        <v>0</v>
      </c>
      <c r="AO55" s="235"/>
      <c r="AP55" s="299">
        <f t="shared" si="5"/>
        <v>0</v>
      </c>
      <c r="AQ55" s="299">
        <f t="shared" si="6"/>
        <v>-4.7911467481092313E-13</v>
      </c>
      <c r="AR55" s="40">
        <f t="shared" si="41"/>
        <v>-1.1977866870273079E-9</v>
      </c>
      <c r="AS55" s="21"/>
      <c r="AU55" s="115">
        <f t="shared" si="25"/>
        <v>47603</v>
      </c>
      <c r="AV55" s="298">
        <f>SUMIFS(Inputs!$O$20:$O$31,Inputs!$L$20:$L$31,"&lt;="&amp;AU55,Inputs!$L$20:$L$31,"&gt;"&amp;AU54)</f>
        <v>0</v>
      </c>
      <c r="AW55" s="21">
        <f t="shared" si="37"/>
        <v>5000</v>
      </c>
      <c r="AX55" s="299">
        <f t="shared" si="26"/>
        <v>3444.9660675234391</v>
      </c>
      <c r="AY55" s="299">
        <f t="shared" si="27"/>
        <v>2444.9660675234391</v>
      </c>
      <c r="AZ55" s="299">
        <f>AX55*_xlfn.XLOOKUP(AU55,Caixa!$D$3:$BK$3,Caixa!$D$55:$BK$55,0,0)</f>
        <v>86.044836184204655</v>
      </c>
      <c r="BA55" s="231"/>
      <c r="BB55" s="299">
        <f t="shared" si="28"/>
        <v>2531.0109037076436</v>
      </c>
      <c r="BC55" s="299">
        <f t="shared" si="29"/>
        <v>1000</v>
      </c>
      <c r="BD55" s="231"/>
      <c r="BE55" s="299">
        <f t="shared" si="30"/>
        <v>1000</v>
      </c>
      <c r="BF55" s="299">
        <f t="shared" si="31"/>
        <v>3531.0109037076436</v>
      </c>
      <c r="BG55" s="40">
        <f t="shared" si="32"/>
        <v>17655054.518538218</v>
      </c>
      <c r="BH55" s="271"/>
    </row>
    <row r="56" spans="2:60" x14ac:dyDescent="0.3">
      <c r="B56" s="115">
        <f t="shared" si="9"/>
        <v>47634</v>
      </c>
      <c r="C56" s="298">
        <f t="shared" si="10"/>
        <v>0</v>
      </c>
      <c r="D56" s="298">
        <f t="shared" si="11"/>
        <v>10000</v>
      </c>
      <c r="E56" s="150">
        <f t="shared" si="12"/>
        <v>2968.8741048820311</v>
      </c>
      <c r="F56" s="299">
        <f t="shared" si="33"/>
        <v>1968.8741048820311</v>
      </c>
      <c r="G56" s="150">
        <f>E56*_xlfn.XLOOKUP(B56,Caixa!$D$3:$BK$3,Caixa!$D$54:$BK$54,0,0)</f>
        <v>85.718543336656467</v>
      </c>
      <c r="H56" s="150">
        <v>0</v>
      </c>
      <c r="I56" s="150">
        <f t="shared" si="13"/>
        <v>2054.5926482186878</v>
      </c>
      <c r="J56" s="150">
        <f t="shared" si="14"/>
        <v>1000</v>
      </c>
      <c r="K56" s="150"/>
      <c r="L56" s="150">
        <f t="shared" si="15"/>
        <v>1000</v>
      </c>
      <c r="M56" s="150">
        <f t="shared" si="16"/>
        <v>3054.5926482186878</v>
      </c>
      <c r="N56" s="152">
        <f t="shared" si="17"/>
        <v>30545926.48218688</v>
      </c>
      <c r="O56" s="150"/>
      <c r="Q56" s="115">
        <f t="shared" si="38"/>
        <v>47634</v>
      </c>
      <c r="R56" s="298">
        <f>SUMIFS(Inputs!$E$20:$E$31,Inputs!$B$20:$B$31,"&lt;="&amp;Q56,Inputs!$B$20:$B$31,"&gt;"&amp;Q55)</f>
        <v>0</v>
      </c>
      <c r="S56" s="21">
        <f>SUMIFS(Inputs!$C$20:$C$31,Inputs!$B$20:$B$31,"&lt;="&amp;Q56,Inputs!$B$20:$B$31,"&gt;="&amp;Q55)+S55</f>
        <v>2500</v>
      </c>
      <c r="T56" s="299">
        <f t="shared" si="19"/>
        <v>4.0434950104933227E-14</v>
      </c>
      <c r="U56" s="299">
        <f t="shared" si="39"/>
        <v>4.0434950104933227E-14</v>
      </c>
      <c r="V56" s="299">
        <f>T56*(((1+_xlfn.XLOOKUP(Q56,'Curva DI'!$A$2:$A$352,'Curva DI'!$H$2:$H$352,0,-1))*(1+$R$4))^(NETWORKDAYS(Q55,Q56)/252)-1)</f>
        <v>6.1031864989196833E-16</v>
      </c>
      <c r="W56" s="235"/>
      <c r="X56" s="299">
        <f t="shared" si="34"/>
        <v>4.1045268754825198E-14</v>
      </c>
      <c r="Y56" s="299">
        <f t="shared" si="20"/>
        <v>0</v>
      </c>
      <c r="Z56" s="235"/>
      <c r="AA56" s="299">
        <f t="shared" si="2"/>
        <v>0</v>
      </c>
      <c r="AB56" s="299">
        <f t="shared" si="3"/>
        <v>4.1045268754825198E-14</v>
      </c>
      <c r="AC56" s="40">
        <f t="shared" si="42"/>
        <v>1.0261317188706299E-10</v>
      </c>
      <c r="AD56" s="21"/>
      <c r="AF56" s="115">
        <f t="shared" si="21"/>
        <v>47634</v>
      </c>
      <c r="AG56" s="298">
        <f>SUMIFS(Inputs!$J$20:$J$31,Inputs!$G$20:$G$31,"&lt;="&amp;AF56,Inputs!$G$20:$G$31,"&gt;"&amp;AF55)</f>
        <v>0</v>
      </c>
      <c r="AH56" s="21">
        <f t="shared" si="35"/>
        <v>2500</v>
      </c>
      <c r="AI56" s="299">
        <f t="shared" si="22"/>
        <v>-4.7911467481092313E-13</v>
      </c>
      <c r="AJ56" s="299">
        <f t="shared" si="40"/>
        <v>-4.7911467481092313E-13</v>
      </c>
      <c r="AK56" s="299">
        <f>AI56*(((1+_xlfn.XLOOKUP(AF56,'Curva DI'!$A$2:$A$352,'Curva DI'!$H$2:$H$352,0,-1))*(1+AG$4))^(NETWORKDAYS(AF55,AF56)/252)-1)</f>
        <v>-7.6837833875622137E-15</v>
      </c>
      <c r="AL56" s="235"/>
      <c r="AM56" s="299">
        <f t="shared" si="36"/>
        <v>-4.8679845819848535E-13</v>
      </c>
      <c r="AN56" s="299">
        <f t="shared" si="23"/>
        <v>0</v>
      </c>
      <c r="AO56" s="235"/>
      <c r="AP56" s="299">
        <f t="shared" si="5"/>
        <v>0</v>
      </c>
      <c r="AQ56" s="299">
        <f t="shared" si="6"/>
        <v>-4.8679845819848535E-13</v>
      </c>
      <c r="AR56" s="40">
        <f t="shared" si="41"/>
        <v>-1.2169961454962134E-9</v>
      </c>
      <c r="AS56" s="21"/>
      <c r="AU56" s="115">
        <f t="shared" si="25"/>
        <v>47634</v>
      </c>
      <c r="AV56" s="298">
        <f>SUMIFS(Inputs!$O$20:$O$31,Inputs!$L$20:$L$31,"&lt;="&amp;AU56,Inputs!$L$20:$L$31,"&gt;"&amp;AU55)</f>
        <v>0</v>
      </c>
      <c r="AW56" s="21">
        <f t="shared" si="37"/>
        <v>5000</v>
      </c>
      <c r="AX56" s="299">
        <f t="shared" si="26"/>
        <v>3531.0109037076436</v>
      </c>
      <c r="AY56" s="299">
        <f t="shared" si="27"/>
        <v>2531.0109037076436</v>
      </c>
      <c r="AZ56" s="299">
        <f>AX56*_xlfn.XLOOKUP(AU56,Caixa!$D$3:$BK$3,Caixa!$D$55:$BK$55,0,0)</f>
        <v>101.94878613207378</v>
      </c>
      <c r="BA56" s="231"/>
      <c r="BB56" s="299">
        <f t="shared" si="28"/>
        <v>2632.9596898397172</v>
      </c>
      <c r="BC56" s="299">
        <f t="shared" si="29"/>
        <v>1000</v>
      </c>
      <c r="BD56" s="231"/>
      <c r="BE56" s="299">
        <f t="shared" si="30"/>
        <v>1000</v>
      </c>
      <c r="BF56" s="299">
        <f t="shared" si="31"/>
        <v>3632.9596898397172</v>
      </c>
      <c r="BG56" s="40">
        <f t="shared" si="32"/>
        <v>18164798.449198585</v>
      </c>
      <c r="BH56" s="271"/>
    </row>
    <row r="57" spans="2:60" x14ac:dyDescent="0.3">
      <c r="B57" s="115">
        <f t="shared" si="9"/>
        <v>47664</v>
      </c>
      <c r="C57" s="298">
        <f t="shared" si="10"/>
        <v>0</v>
      </c>
      <c r="D57" s="298">
        <f t="shared" si="11"/>
        <v>10000</v>
      </c>
      <c r="E57" s="150">
        <f t="shared" si="12"/>
        <v>3054.5926482186878</v>
      </c>
      <c r="F57" s="299">
        <f t="shared" si="33"/>
        <v>2054.5926482186878</v>
      </c>
      <c r="G57" s="150">
        <f>E57*_xlfn.XLOOKUP(B57,Caixa!$D$3:$BK$3,Caixa!$D$54:$BK$54,0,0)</f>
        <v>77.699178486201575</v>
      </c>
      <c r="H57" s="150">
        <v>0</v>
      </c>
      <c r="I57" s="150">
        <f t="shared" si="13"/>
        <v>2132.2918267048894</v>
      </c>
      <c r="J57" s="150">
        <f t="shared" si="14"/>
        <v>1000</v>
      </c>
      <c r="K57" s="150"/>
      <c r="L57" s="150">
        <f t="shared" si="15"/>
        <v>1000</v>
      </c>
      <c r="M57" s="150">
        <f t="shared" si="16"/>
        <v>3132.2918267048894</v>
      </c>
      <c r="N57" s="152">
        <f t="shared" si="17"/>
        <v>31322918.267048895</v>
      </c>
      <c r="O57" s="150"/>
      <c r="Q57" s="115">
        <f t="shared" si="38"/>
        <v>47664</v>
      </c>
      <c r="R57" s="298">
        <f>SUMIFS(Inputs!$E$20:$E$31,Inputs!$B$20:$B$31,"&lt;="&amp;Q57,Inputs!$B$20:$B$31,"&gt;"&amp;Q56)</f>
        <v>0</v>
      </c>
      <c r="S57" s="21">
        <f>SUMIFS(Inputs!$C$20:$C$31,Inputs!$B$20:$B$31,"&lt;="&amp;Q57,Inputs!$B$20:$B$31,"&gt;="&amp;Q56)+S56</f>
        <v>2500</v>
      </c>
      <c r="T57" s="299">
        <f t="shared" si="19"/>
        <v>4.1045268754825198E-14</v>
      </c>
      <c r="U57" s="299">
        <f t="shared" si="39"/>
        <v>4.1045268754825198E-14</v>
      </c>
      <c r="V57" s="299">
        <f>T57*(((1+_xlfn.XLOOKUP(Q57,'Curva DI'!$A$2:$A$352,'Curva DI'!$H$2:$H$352,0,-1))*(1+$R$4))^(NETWORKDAYS(Q56,Q57)/252)-1)</f>
        <v>5.415808474118486E-16</v>
      </c>
      <c r="W57" s="235"/>
      <c r="X57" s="299">
        <f t="shared" si="34"/>
        <v>4.1586849602237047E-14</v>
      </c>
      <c r="Y57" s="299">
        <f t="shared" si="20"/>
        <v>0</v>
      </c>
      <c r="Z57" s="235"/>
      <c r="AA57" s="299">
        <f t="shared" si="2"/>
        <v>0</v>
      </c>
      <c r="AB57" s="299">
        <f t="shared" si="3"/>
        <v>4.1586849602237047E-14</v>
      </c>
      <c r="AC57" s="40">
        <f t="shared" si="42"/>
        <v>1.0396712400559262E-10</v>
      </c>
      <c r="AD57" s="21"/>
      <c r="AF57" s="115">
        <f t="shared" si="21"/>
        <v>47664</v>
      </c>
      <c r="AG57" s="298">
        <f>SUMIFS(Inputs!$J$20:$J$31,Inputs!$G$20:$G$31,"&lt;="&amp;AF57,Inputs!$G$20:$G$31,"&gt;"&amp;AF56)</f>
        <v>0</v>
      </c>
      <c r="AH57" s="21">
        <f t="shared" si="35"/>
        <v>2500</v>
      </c>
      <c r="AI57" s="299">
        <f t="shared" si="22"/>
        <v>-4.8679845819848535E-13</v>
      </c>
      <c r="AJ57" s="299">
        <f t="shared" si="40"/>
        <v>-4.8679845819848535E-13</v>
      </c>
      <c r="AK57" s="299">
        <f>AI57*(((1+_xlfn.XLOOKUP(AF57,'Curva DI'!$A$2:$A$352,'Curva DI'!$H$2:$H$352,0,-1))*(1+AG$4))^(NETWORKDAYS(AF56,AF57)/252)-1)</f>
        <v>-6.8243290022106426E-15</v>
      </c>
      <c r="AL57" s="235"/>
      <c r="AM57" s="299">
        <f t="shared" si="36"/>
        <v>-4.9362278720069599E-13</v>
      </c>
      <c r="AN57" s="299">
        <f t="shared" si="23"/>
        <v>0</v>
      </c>
      <c r="AO57" s="235"/>
      <c r="AP57" s="299">
        <f t="shared" si="5"/>
        <v>0</v>
      </c>
      <c r="AQ57" s="299">
        <f t="shared" si="6"/>
        <v>-4.9362278720069599E-13</v>
      </c>
      <c r="AR57" s="40">
        <f t="shared" si="41"/>
        <v>-1.23405696800174E-9</v>
      </c>
      <c r="AS57" s="21"/>
      <c r="AU57" s="115">
        <f t="shared" si="25"/>
        <v>47664</v>
      </c>
      <c r="AV57" s="298">
        <f>SUMIFS(Inputs!$O$20:$O$31,Inputs!$L$20:$L$31,"&lt;="&amp;AU57,Inputs!$L$20:$L$31,"&gt;"&amp;AU56)</f>
        <v>0</v>
      </c>
      <c r="AW57" s="21">
        <f t="shared" si="37"/>
        <v>5000</v>
      </c>
      <c r="AX57" s="299">
        <f t="shared" si="26"/>
        <v>3632.9596898397172</v>
      </c>
      <c r="AY57" s="299">
        <f t="shared" si="27"/>
        <v>2632.9596898397172</v>
      </c>
      <c r="AZ57" s="299">
        <f>AX57*_xlfn.XLOOKUP(AU57,Caixa!$D$3:$BK$3,Caixa!$D$55:$BK$55,0,0)</f>
        <v>92.411007254484346</v>
      </c>
      <c r="BA57" s="231"/>
      <c r="BB57" s="299">
        <f t="shared" si="28"/>
        <v>2725.3706970942017</v>
      </c>
      <c r="BC57" s="299">
        <f t="shared" si="29"/>
        <v>1000</v>
      </c>
      <c r="BD57" s="231"/>
      <c r="BE57" s="299">
        <f t="shared" si="30"/>
        <v>1000</v>
      </c>
      <c r="BF57" s="299">
        <f t="shared" si="31"/>
        <v>3725.3706970942017</v>
      </c>
      <c r="BG57" s="40">
        <f t="shared" si="32"/>
        <v>18626853.485471006</v>
      </c>
      <c r="BH57" s="271"/>
    </row>
    <row r="58" spans="2:60" x14ac:dyDescent="0.3">
      <c r="B58" s="115">
        <f t="shared" si="9"/>
        <v>47695</v>
      </c>
      <c r="C58" s="298">
        <f t="shared" si="10"/>
        <v>0</v>
      </c>
      <c r="D58" s="298">
        <f t="shared" si="11"/>
        <v>10000</v>
      </c>
      <c r="E58" s="150">
        <f t="shared" si="12"/>
        <v>3132.2918267048894</v>
      </c>
      <c r="F58" s="299">
        <f t="shared" si="33"/>
        <v>2132.2918267048894</v>
      </c>
      <c r="G58" s="150">
        <f>E58*_xlfn.XLOOKUP(B58,Caixa!$D$3:$BK$3,Caixa!$D$54:$BK$54,0,0)</f>
        <v>78.637743210805453</v>
      </c>
      <c r="H58" s="150">
        <v>0</v>
      </c>
      <c r="I58" s="150">
        <f t="shared" si="13"/>
        <v>2210.9295699156951</v>
      </c>
      <c r="J58" s="150">
        <f t="shared" si="14"/>
        <v>1000</v>
      </c>
      <c r="K58" s="150"/>
      <c r="L58" s="150">
        <f t="shared" si="15"/>
        <v>1000</v>
      </c>
      <c r="M58" s="150">
        <f t="shared" si="16"/>
        <v>3210.9295699156951</v>
      </c>
      <c r="N58" s="152">
        <f t="shared" si="17"/>
        <v>32109295.699156951</v>
      </c>
      <c r="O58" s="150"/>
      <c r="Q58" s="115">
        <f t="shared" si="38"/>
        <v>47695</v>
      </c>
      <c r="R58" s="298">
        <f>SUMIFS(Inputs!$E$20:$E$31,Inputs!$B$20:$B$31,"&lt;="&amp;Q58,Inputs!$B$20:$B$31,"&gt;"&amp;Q57)</f>
        <v>0</v>
      </c>
      <c r="S58" s="21">
        <f>SUMIFS(Inputs!$C$20:$C$31,Inputs!$B$20:$B$31,"&lt;="&amp;Q58,Inputs!$B$20:$B$31,"&gt;="&amp;Q57)+S57</f>
        <v>2500</v>
      </c>
      <c r="T58" s="299">
        <f t="shared" si="19"/>
        <v>4.1586849602237047E-14</v>
      </c>
      <c r="U58" s="299">
        <f t="shared" si="39"/>
        <v>4.1586849602237047E-14</v>
      </c>
      <c r="V58" s="299">
        <f>T58*(((1+_xlfn.XLOOKUP(Q58,'Curva DI'!$A$2:$A$352,'Curva DI'!$H$2:$H$352,0,-1))*(1+$R$4))^(NETWORKDAYS(Q57,Q58)/252)-1)</f>
        <v>6.0169824691539196E-16</v>
      </c>
      <c r="W58" s="235"/>
      <c r="X58" s="299">
        <f t="shared" si="34"/>
        <v>4.2188547849152438E-14</v>
      </c>
      <c r="Y58" s="299">
        <f t="shared" si="20"/>
        <v>0</v>
      </c>
      <c r="Z58" s="235"/>
      <c r="AA58" s="299">
        <f t="shared" si="2"/>
        <v>0</v>
      </c>
      <c r="AB58" s="299">
        <f t="shared" si="3"/>
        <v>4.2188547849152438E-14</v>
      </c>
      <c r="AC58" s="40">
        <f t="shared" si="42"/>
        <v>1.054713696228811E-10</v>
      </c>
      <c r="AD58" s="21"/>
      <c r="AF58" s="115">
        <f t="shared" si="21"/>
        <v>47695</v>
      </c>
      <c r="AG58" s="298">
        <f>SUMIFS(Inputs!$J$20:$J$31,Inputs!$G$20:$G$31,"&lt;="&amp;AF58,Inputs!$G$20:$G$31,"&gt;"&amp;AF57)</f>
        <v>0</v>
      </c>
      <c r="AH58" s="21">
        <f t="shared" si="35"/>
        <v>2500</v>
      </c>
      <c r="AI58" s="299">
        <f t="shared" si="22"/>
        <v>-4.9362278720069599E-13</v>
      </c>
      <c r="AJ58" s="299">
        <f t="shared" si="40"/>
        <v>-4.9362278720069599E-13</v>
      </c>
      <c r="AK58" s="299">
        <f>AI58*(((1+_xlfn.XLOOKUP(AF58,'Curva DI'!$A$2:$A$352,'Curva DI'!$H$2:$H$352,0,-1))*(1+AG$4))^(NETWORKDAYS(AF57,AF58)/252)-1)</f>
        <v>-7.5880702263247154E-15</v>
      </c>
      <c r="AL58" s="235"/>
      <c r="AM58" s="299">
        <f t="shared" si="36"/>
        <v>-5.0121085742702069E-13</v>
      </c>
      <c r="AN58" s="299">
        <f t="shared" si="23"/>
        <v>0</v>
      </c>
      <c r="AO58" s="235"/>
      <c r="AP58" s="299">
        <f t="shared" si="5"/>
        <v>0</v>
      </c>
      <c r="AQ58" s="299">
        <f t="shared" si="6"/>
        <v>-5.0121085742702069E-13</v>
      </c>
      <c r="AR58" s="40">
        <f t="shared" si="41"/>
        <v>-1.2530271435675517E-9</v>
      </c>
      <c r="AS58" s="21"/>
      <c r="AU58" s="115">
        <f t="shared" si="25"/>
        <v>47695</v>
      </c>
      <c r="AV58" s="298">
        <f>SUMIFS(Inputs!$O$20:$O$31,Inputs!$L$20:$L$31,"&lt;="&amp;AU58,Inputs!$L$20:$L$31,"&gt;"&amp;AU57)</f>
        <v>0</v>
      </c>
      <c r="AW58" s="21">
        <f t="shared" si="37"/>
        <v>5000</v>
      </c>
      <c r="AX58" s="299">
        <f t="shared" si="26"/>
        <v>3725.3706970942017</v>
      </c>
      <c r="AY58" s="299">
        <f t="shared" si="27"/>
        <v>2725.3706970942017</v>
      </c>
      <c r="AZ58" s="299">
        <f>AX58*_xlfn.XLOOKUP(AU58,Caixa!$D$3:$BK$3,Caixa!$D$55:$BK$55,0,0)</f>
        <v>93.527283040972549</v>
      </c>
      <c r="BA58" s="231"/>
      <c r="BB58" s="299">
        <f t="shared" si="28"/>
        <v>2818.8979801351743</v>
      </c>
      <c r="BC58" s="299">
        <f t="shared" si="29"/>
        <v>1000</v>
      </c>
      <c r="BD58" s="231"/>
      <c r="BE58" s="299">
        <f t="shared" si="30"/>
        <v>1000</v>
      </c>
      <c r="BF58" s="299">
        <f t="shared" si="31"/>
        <v>3818.8979801351743</v>
      </c>
      <c r="BG58" s="40">
        <f t="shared" si="32"/>
        <v>19094489.90067587</v>
      </c>
      <c r="BH58" s="271"/>
    </row>
    <row r="59" spans="2:60" x14ac:dyDescent="0.3">
      <c r="B59" s="115">
        <f t="shared" si="9"/>
        <v>47726</v>
      </c>
      <c r="C59" s="298">
        <f t="shared" si="10"/>
        <v>0</v>
      </c>
      <c r="D59" s="298">
        <f t="shared" si="11"/>
        <v>10000</v>
      </c>
      <c r="E59" s="150">
        <f t="shared" si="12"/>
        <v>3210.9295699156951</v>
      </c>
      <c r="F59" s="299">
        <f t="shared" si="33"/>
        <v>2210.9295699156951</v>
      </c>
      <c r="G59" s="150">
        <f>E59*_xlfn.XLOOKUP(B59,Caixa!$D$3:$BK$3,Caixa!$D$54:$BK$54,0,0)</f>
        <v>93.172571181922621</v>
      </c>
      <c r="H59" s="150">
        <v>0</v>
      </c>
      <c r="I59" s="150">
        <f t="shared" si="13"/>
        <v>2304.1021410976177</v>
      </c>
      <c r="J59" s="150">
        <f t="shared" si="14"/>
        <v>1000</v>
      </c>
      <c r="K59" s="150"/>
      <c r="L59" s="150">
        <f t="shared" si="15"/>
        <v>1000</v>
      </c>
      <c r="M59" s="150">
        <f t="shared" si="16"/>
        <v>3304.1021410976177</v>
      </c>
      <c r="N59" s="152">
        <f t="shared" si="17"/>
        <v>33041021.410976179</v>
      </c>
      <c r="O59" s="150"/>
      <c r="Q59" s="115">
        <f t="shared" si="38"/>
        <v>47726</v>
      </c>
      <c r="R59" s="298">
        <f>SUMIFS(Inputs!$E$20:$E$31,Inputs!$B$20:$B$31,"&lt;="&amp;Q59,Inputs!$B$20:$B$31,"&gt;"&amp;Q58)</f>
        <v>0</v>
      </c>
      <c r="S59" s="21">
        <f>SUMIFS(Inputs!$C$20:$C$31,Inputs!$B$20:$B$31,"&lt;="&amp;Q59,Inputs!$B$20:$B$31,"&gt;="&amp;Q58)+S58</f>
        <v>2500</v>
      </c>
      <c r="T59" s="299">
        <f t="shared" ref="T59:T69" si="43">AB58</f>
        <v>4.2188547849152438E-14</v>
      </c>
      <c r="U59" s="299">
        <f t="shared" ref="U59:U69" si="44">X58</f>
        <v>4.2188547849152438E-14</v>
      </c>
      <c r="V59" s="299">
        <f>T59*(((1+_xlfn.XLOOKUP(Q59,'Curva DI'!$A$2:$A$352,'Curva DI'!$H$2:$H$352,0,-1))*(1+$R$4))^(NETWORKDAYS(Q58,Q59)/252)-1)</f>
        <v>6.1040390228010079E-16</v>
      </c>
      <c r="W59" s="235"/>
      <c r="X59" s="299">
        <f t="shared" ref="X59:X69" si="45">U59+V59-W59</f>
        <v>4.2798951751432539E-14</v>
      </c>
      <c r="Y59" s="299">
        <f t="shared" ref="Y59:Y69" si="46">Y58-Z58</f>
        <v>0</v>
      </c>
      <c r="Z59" s="235"/>
      <c r="AA59" s="299">
        <f t="shared" si="2"/>
        <v>0</v>
      </c>
      <c r="AB59" s="299">
        <f t="shared" ref="AB59:AB69" si="47">AA59+X59</f>
        <v>4.2798951751432539E-14</v>
      </c>
      <c r="AC59" s="40">
        <f t="shared" si="42"/>
        <v>1.0699737937858135E-10</v>
      </c>
      <c r="AD59" s="21"/>
      <c r="AF59" s="115">
        <f t="shared" si="21"/>
        <v>47726</v>
      </c>
      <c r="AG59" s="298">
        <f>SUMIFS(Inputs!$J$20:$J$31,Inputs!$G$20:$G$31,"&lt;="&amp;AF59,Inputs!$G$20:$G$31,"&gt;"&amp;AF58)</f>
        <v>0</v>
      </c>
      <c r="AH59" s="21">
        <f t="shared" si="35"/>
        <v>2500</v>
      </c>
      <c r="AI59" s="299">
        <f t="shared" si="22"/>
        <v>-5.0121085742702069E-13</v>
      </c>
      <c r="AJ59" s="299">
        <f t="shared" si="40"/>
        <v>-5.0121085742702069E-13</v>
      </c>
      <c r="AK59" s="299">
        <f>AI59*(((1+_xlfn.XLOOKUP(AF59,'Curva DI'!$A$2:$A$352,'Curva DI'!$H$2:$H$352,0,-1))*(1+AG$4))^(NETWORKDAYS(AF58,AF59)/252)-1)</f>
        <v>-7.704715590462302E-15</v>
      </c>
      <c r="AL59" s="235"/>
      <c r="AM59" s="299">
        <f t="shared" si="36"/>
        <v>-5.0891557301748303E-13</v>
      </c>
      <c r="AN59" s="299">
        <f t="shared" si="23"/>
        <v>0</v>
      </c>
      <c r="AO59" s="235"/>
      <c r="AP59" s="299">
        <f t="shared" si="5"/>
        <v>0</v>
      </c>
      <c r="AQ59" s="299">
        <f t="shared" si="6"/>
        <v>-5.0891557301748303E-13</v>
      </c>
      <c r="AR59" s="40">
        <f t="shared" si="41"/>
        <v>-1.2722889325437075E-9</v>
      </c>
      <c r="AS59" s="21"/>
      <c r="AU59" s="115">
        <f t="shared" si="25"/>
        <v>47726</v>
      </c>
      <c r="AV59" s="298">
        <f>SUMIFS(Inputs!$O$20:$O$31,Inputs!$L$20:$L$31,"&lt;="&amp;AU59,Inputs!$L$20:$L$31,"&gt;"&amp;AU58)</f>
        <v>0</v>
      </c>
      <c r="AW59" s="21">
        <f t="shared" si="37"/>
        <v>5000</v>
      </c>
      <c r="AX59" s="299">
        <f t="shared" si="26"/>
        <v>3818.8979801351743</v>
      </c>
      <c r="AY59" s="299">
        <f t="shared" si="27"/>
        <v>2818.8979801351743</v>
      </c>
      <c r="AZ59" s="299">
        <f>AX59*_xlfn.XLOOKUP(AU59,Caixa!$D$3:$BK$3,Caixa!$D$55:$BK$55,0,0)</f>
        <v>110.81418515822109</v>
      </c>
      <c r="BA59" s="231"/>
      <c r="BB59" s="299">
        <f t="shared" si="28"/>
        <v>2929.7121652933952</v>
      </c>
      <c r="BC59" s="299">
        <f t="shared" si="29"/>
        <v>1000</v>
      </c>
      <c r="BD59" s="231"/>
      <c r="BE59" s="299">
        <f t="shared" si="30"/>
        <v>1000</v>
      </c>
      <c r="BF59" s="299">
        <f t="shared" si="31"/>
        <v>3929.7121652933952</v>
      </c>
      <c r="BG59" s="40">
        <f t="shared" si="32"/>
        <v>19648560.826466978</v>
      </c>
      <c r="BH59" s="271"/>
    </row>
    <row r="60" spans="2:60" x14ac:dyDescent="0.3">
      <c r="B60" s="115">
        <f t="shared" si="9"/>
        <v>47756</v>
      </c>
      <c r="C60" s="298">
        <f t="shared" si="10"/>
        <v>0</v>
      </c>
      <c r="D60" s="298">
        <f t="shared" si="11"/>
        <v>10000</v>
      </c>
      <c r="E60" s="150">
        <f t="shared" si="12"/>
        <v>3304.1021410976177</v>
      </c>
      <c r="F60" s="299">
        <f t="shared" si="33"/>
        <v>2304.1021410976177</v>
      </c>
      <c r="G60" s="150">
        <f>E60*_xlfn.XLOOKUP(B60,Caixa!$D$3:$BK$3,Caixa!$D$54:$BK$54,0,0)</f>
        <v>84.45611170288727</v>
      </c>
      <c r="H60" s="150">
        <v>0</v>
      </c>
      <c r="I60" s="150">
        <f t="shared" si="13"/>
        <v>2388.5582528005052</v>
      </c>
      <c r="J60" s="150">
        <f t="shared" si="14"/>
        <v>1000</v>
      </c>
      <c r="K60" s="150"/>
      <c r="L60" s="150">
        <f t="shared" si="15"/>
        <v>1000</v>
      </c>
      <c r="M60" s="150">
        <f t="shared" si="16"/>
        <v>3388.5582528005052</v>
      </c>
      <c r="N60" s="152">
        <f t="shared" si="17"/>
        <v>33885582.528005049</v>
      </c>
      <c r="O60" s="150"/>
      <c r="Q60" s="115">
        <f t="shared" si="38"/>
        <v>47756</v>
      </c>
      <c r="R60" s="298">
        <f>SUMIFS(Inputs!$E$20:$E$31,Inputs!$B$20:$B$31,"&lt;="&amp;Q60,Inputs!$B$20:$B$31,"&gt;"&amp;Q59)</f>
        <v>0</v>
      </c>
      <c r="S60" s="21">
        <f>SUMIFS(Inputs!$C$20:$C$31,Inputs!$B$20:$B$31,"&lt;="&amp;Q60,Inputs!$B$20:$B$31,"&gt;="&amp;Q59)+S59</f>
        <v>2500</v>
      </c>
      <c r="T60" s="299">
        <f t="shared" si="43"/>
        <v>4.2798951751432539E-14</v>
      </c>
      <c r="U60" s="299">
        <f t="shared" si="44"/>
        <v>4.2798951751432539E-14</v>
      </c>
      <c r="V60" s="299">
        <f>T60*(((1+_xlfn.XLOOKUP(Q60,'Curva DI'!$A$2:$A$352,'Curva DI'!$H$2:$H$352,0,-1))*(1+$R$4))^(NETWORKDAYS(Q59,Q60)/252)-1)</f>
        <v>5.653500371080873E-16</v>
      </c>
      <c r="W60" s="235"/>
      <c r="X60" s="299">
        <f t="shared" si="45"/>
        <v>4.3364301788540627E-14</v>
      </c>
      <c r="Y60" s="299">
        <f t="shared" si="46"/>
        <v>0</v>
      </c>
      <c r="Z60" s="235"/>
      <c r="AA60" s="299">
        <f t="shared" si="2"/>
        <v>0</v>
      </c>
      <c r="AB60" s="299">
        <f t="shared" si="47"/>
        <v>4.3364301788540627E-14</v>
      </c>
      <c r="AC60" s="40">
        <f t="shared" si="42"/>
        <v>1.0841075447135157E-10</v>
      </c>
      <c r="AD60" s="21"/>
      <c r="AF60" s="115">
        <f t="shared" si="21"/>
        <v>47756</v>
      </c>
      <c r="AG60" s="298">
        <f>SUMIFS(Inputs!$J$20:$J$31,Inputs!$G$20:$G$31,"&lt;="&amp;AF60,Inputs!$G$20:$G$31,"&gt;"&amp;AF59)</f>
        <v>0</v>
      </c>
      <c r="AH60" s="21">
        <f t="shared" si="35"/>
        <v>2500</v>
      </c>
      <c r="AI60" s="299">
        <f t="shared" si="22"/>
        <v>-5.0891557301748303E-13</v>
      </c>
      <c r="AJ60" s="299">
        <f t="shared" si="40"/>
        <v>-5.0891557301748303E-13</v>
      </c>
      <c r="AK60" s="299">
        <f>AI60*(((1+_xlfn.XLOOKUP(AF60,'Curva DI'!$A$2:$A$352,'Curva DI'!$H$2:$H$352,0,-1))*(1+AG$4))^(NETWORKDAYS(AF59,AF60)/252)-1)</f>
        <v>-7.1418796892685659E-15</v>
      </c>
      <c r="AL60" s="235"/>
      <c r="AM60" s="299">
        <f t="shared" si="36"/>
        <v>-5.1605745270675162E-13</v>
      </c>
      <c r="AN60" s="299">
        <f t="shared" si="23"/>
        <v>0</v>
      </c>
      <c r="AO60" s="235"/>
      <c r="AP60" s="299">
        <f t="shared" si="5"/>
        <v>0</v>
      </c>
      <c r="AQ60" s="299">
        <f t="shared" si="6"/>
        <v>-5.1605745270675162E-13</v>
      </c>
      <c r="AR60" s="40">
        <f t="shared" si="41"/>
        <v>-1.290143631766879E-9</v>
      </c>
      <c r="AS60" s="21"/>
      <c r="AU60" s="115">
        <f t="shared" si="25"/>
        <v>47756</v>
      </c>
      <c r="AV60" s="298">
        <f>SUMIFS(Inputs!$O$20:$O$31,Inputs!$L$20:$L$31,"&lt;="&amp;AU60,Inputs!$L$20:$L$31,"&gt;"&amp;AU59)</f>
        <v>0</v>
      </c>
      <c r="AW60" s="21">
        <f t="shared" si="37"/>
        <v>5000</v>
      </c>
      <c r="AX60" s="299">
        <f t="shared" si="26"/>
        <v>3929.7121652933952</v>
      </c>
      <c r="AY60" s="299">
        <f t="shared" si="27"/>
        <v>2929.7121652933952</v>
      </c>
      <c r="AZ60" s="299">
        <f>AX60*_xlfn.XLOOKUP(AU60,Caixa!$D$3:$BK$3,Caixa!$D$55:$BK$55,0,0)</f>
        <v>100.447321365786</v>
      </c>
      <c r="BA60" s="231"/>
      <c r="BB60" s="299">
        <f t="shared" si="28"/>
        <v>3030.1594866591813</v>
      </c>
      <c r="BC60" s="299">
        <f t="shared" si="29"/>
        <v>1000</v>
      </c>
      <c r="BD60" s="231"/>
      <c r="BE60" s="299">
        <f t="shared" si="30"/>
        <v>1000</v>
      </c>
      <c r="BF60" s="299">
        <f t="shared" si="31"/>
        <v>4030.1594866591813</v>
      </c>
      <c r="BG60" s="40">
        <f t="shared" si="32"/>
        <v>20150797.433295906</v>
      </c>
      <c r="BH60" s="271"/>
    </row>
    <row r="61" spans="2:60" x14ac:dyDescent="0.3">
      <c r="B61" s="115">
        <f t="shared" si="9"/>
        <v>47787</v>
      </c>
      <c r="C61" s="298">
        <f t="shared" si="10"/>
        <v>0</v>
      </c>
      <c r="D61" s="298">
        <f t="shared" si="11"/>
        <v>10000</v>
      </c>
      <c r="E61" s="150">
        <f t="shared" si="12"/>
        <v>3388.5582528005052</v>
      </c>
      <c r="F61" s="299">
        <f t="shared" si="33"/>
        <v>2388.5582528005052</v>
      </c>
      <c r="G61" s="150">
        <f>E61*_xlfn.XLOOKUP(B61,Caixa!$D$3:$BK$3,Caixa!$D$54:$BK$54,0,0)</f>
        <v>85.425104648317046</v>
      </c>
      <c r="H61" s="150">
        <v>0</v>
      </c>
      <c r="I61" s="150">
        <f t="shared" si="13"/>
        <v>2473.9833574488221</v>
      </c>
      <c r="J61" s="150">
        <f t="shared" si="14"/>
        <v>1000</v>
      </c>
      <c r="K61" s="150"/>
      <c r="L61" s="150">
        <f t="shared" si="15"/>
        <v>1000</v>
      </c>
      <c r="M61" s="150">
        <f t="shared" si="16"/>
        <v>3473.9833574488221</v>
      </c>
      <c r="N61" s="152">
        <f t="shared" si="17"/>
        <v>34739833.574488223</v>
      </c>
      <c r="O61" s="150"/>
      <c r="Q61" s="115">
        <f t="shared" si="38"/>
        <v>47787</v>
      </c>
      <c r="R61" s="298">
        <f>SUMIFS(Inputs!$E$20:$E$31,Inputs!$B$20:$B$31,"&lt;="&amp;Q61,Inputs!$B$20:$B$31,"&gt;"&amp;Q60)</f>
        <v>0</v>
      </c>
      <c r="S61" s="21">
        <f>SUMIFS(Inputs!$C$20:$C$31,Inputs!$B$20:$B$31,"&lt;="&amp;Q61,Inputs!$B$20:$B$31,"&gt;="&amp;Q60)+S60</f>
        <v>2500</v>
      </c>
      <c r="T61" s="299">
        <f t="shared" si="43"/>
        <v>4.3364301788540627E-14</v>
      </c>
      <c r="U61" s="299">
        <f t="shared" si="44"/>
        <v>4.3364301788540627E-14</v>
      </c>
      <c r="V61" s="299">
        <f>T61*(((1+_xlfn.XLOOKUP(Q61,'Curva DI'!$A$2:$A$352,'Curva DI'!$H$2:$H$352,0,-1))*(1+$R$4))^(NETWORKDAYS(Q60,Q61)/252)-1)</f>
        <v>6.5526449919085827E-16</v>
      </c>
      <c r="W61" s="235"/>
      <c r="X61" s="299">
        <f t="shared" si="45"/>
        <v>4.4019566287731487E-14</v>
      </c>
      <c r="Y61" s="299">
        <f t="shared" si="46"/>
        <v>0</v>
      </c>
      <c r="Z61" s="235"/>
      <c r="AA61" s="299">
        <f t="shared" si="2"/>
        <v>0</v>
      </c>
      <c r="AB61" s="299">
        <f t="shared" si="47"/>
        <v>4.4019566287731487E-14</v>
      </c>
      <c r="AC61" s="40">
        <f t="shared" si="42"/>
        <v>1.1004891571932872E-10</v>
      </c>
      <c r="AD61" s="21"/>
      <c r="AF61" s="115">
        <f t="shared" si="21"/>
        <v>47787</v>
      </c>
      <c r="AG61" s="298">
        <f>SUMIFS(Inputs!$J$20:$J$31,Inputs!$G$20:$G$31,"&lt;="&amp;AF61,Inputs!$G$20:$G$31,"&gt;"&amp;AF60)</f>
        <v>0</v>
      </c>
      <c r="AH61" s="21">
        <f t="shared" si="35"/>
        <v>2500</v>
      </c>
      <c r="AI61" s="299">
        <f t="shared" si="22"/>
        <v>-5.1605745270675162E-13</v>
      </c>
      <c r="AJ61" s="299">
        <f t="shared" si="40"/>
        <v>-5.1605745270675162E-13</v>
      </c>
      <c r="AK61" s="299">
        <f>AI61*(((1+_xlfn.XLOOKUP(AF61,'Curva DI'!$A$2:$A$352,'Curva DI'!$H$2:$H$352,0,-1))*(1+AG$4))^(NETWORKDAYS(AF60,AF61)/252)-1)</f>
        <v>-8.2849553931963552E-15</v>
      </c>
      <c r="AL61" s="235"/>
      <c r="AM61" s="299">
        <f t="shared" si="36"/>
        <v>-5.2434240809994798E-13</v>
      </c>
      <c r="AN61" s="299">
        <f t="shared" si="23"/>
        <v>0</v>
      </c>
      <c r="AO61" s="235"/>
      <c r="AP61" s="299">
        <f t="shared" si="5"/>
        <v>0</v>
      </c>
      <c r="AQ61" s="299">
        <f t="shared" si="6"/>
        <v>-5.2434240809994798E-13</v>
      </c>
      <c r="AR61" s="40">
        <f t="shared" si="41"/>
        <v>-1.31085602024987E-9</v>
      </c>
      <c r="AS61" s="21"/>
      <c r="AU61" s="115">
        <f t="shared" si="25"/>
        <v>47787</v>
      </c>
      <c r="AV61" s="298">
        <f>SUMIFS(Inputs!$O$20:$O$31,Inputs!$L$20:$L$31,"&lt;="&amp;AU61,Inputs!$L$20:$L$31,"&gt;"&amp;AU60)</f>
        <v>0</v>
      </c>
      <c r="AW61" s="21">
        <f t="shared" si="37"/>
        <v>5000</v>
      </c>
      <c r="AX61" s="299">
        <f t="shared" si="26"/>
        <v>4030.1594866591813</v>
      </c>
      <c r="AY61" s="299">
        <f t="shared" si="27"/>
        <v>3030.1594866591813</v>
      </c>
      <c r="AZ61" s="299">
        <f>AX61*_xlfn.XLOOKUP(AU61,Caixa!$D$3:$BK$3,Caixa!$D$55:$BK$55,0,0)</f>
        <v>101.59978675672392</v>
      </c>
      <c r="BA61" s="231"/>
      <c r="BB61" s="299">
        <f t="shared" si="28"/>
        <v>3131.7592734159052</v>
      </c>
      <c r="BC61" s="299">
        <f t="shared" si="29"/>
        <v>1000</v>
      </c>
      <c r="BD61" s="231"/>
      <c r="BE61" s="299">
        <f t="shared" si="30"/>
        <v>1000</v>
      </c>
      <c r="BF61" s="299">
        <f t="shared" si="31"/>
        <v>4131.7592734159052</v>
      </c>
      <c r="BG61" s="40">
        <f t="shared" si="32"/>
        <v>20658796.367079526</v>
      </c>
      <c r="BH61" s="271"/>
    </row>
    <row r="62" spans="2:60" x14ac:dyDescent="0.3">
      <c r="B62" s="115">
        <f t="shared" si="9"/>
        <v>47817</v>
      </c>
      <c r="C62" s="298">
        <f t="shared" si="10"/>
        <v>0</v>
      </c>
      <c r="D62" s="298">
        <f t="shared" si="11"/>
        <v>10000</v>
      </c>
      <c r="E62" s="150">
        <f t="shared" si="12"/>
        <v>3473.9833574488221</v>
      </c>
      <c r="F62" s="299">
        <f t="shared" si="33"/>
        <v>2473.9833574488221</v>
      </c>
      <c r="G62" s="150">
        <f>E62*_xlfn.XLOOKUP(B62,Caixa!$D$3:$BK$3,Caixa!$D$54:$BK$54,0,0)</f>
        <v>101.22407212645935</v>
      </c>
      <c r="H62" s="150">
        <v>0</v>
      </c>
      <c r="I62" s="150">
        <f t="shared" si="13"/>
        <v>2575.2074295752814</v>
      </c>
      <c r="J62" s="150">
        <f t="shared" si="14"/>
        <v>1000</v>
      </c>
      <c r="K62" s="150"/>
      <c r="L62" s="150">
        <f t="shared" si="15"/>
        <v>1000</v>
      </c>
      <c r="M62" s="150">
        <f t="shared" si="16"/>
        <v>3575.2074295752814</v>
      </c>
      <c r="N62" s="152">
        <f t="shared" si="17"/>
        <v>35752074.295752816</v>
      </c>
      <c r="O62" s="150"/>
      <c r="Q62" s="115">
        <f t="shared" si="38"/>
        <v>47817</v>
      </c>
      <c r="R62" s="298">
        <f>SUMIFS(Inputs!$E$20:$E$31,Inputs!$B$20:$B$31,"&lt;="&amp;Q62,Inputs!$B$20:$B$31,"&gt;"&amp;Q61)</f>
        <v>0</v>
      </c>
      <c r="S62" s="21">
        <f>SUMIFS(Inputs!$C$20:$C$31,Inputs!$B$20:$B$31,"&lt;="&amp;Q62,Inputs!$B$20:$B$31,"&gt;="&amp;Q61)+S61</f>
        <v>2500</v>
      </c>
      <c r="T62" s="299">
        <f t="shared" si="43"/>
        <v>4.4019566287731487E-14</v>
      </c>
      <c r="U62" s="299">
        <f t="shared" si="44"/>
        <v>4.4019566287731487E-14</v>
      </c>
      <c r="V62" s="299">
        <f>T62*(((1+_xlfn.XLOOKUP(Q62,'Curva DI'!$A$2:$A$352,'Curva DI'!$H$2:$H$352,0,-1))*(1+$R$4))^(NETWORKDAYS(Q61,Q62)/252)-1)</f>
        <v>6.0969317231015034E-16</v>
      </c>
      <c r="W62" s="235"/>
      <c r="X62" s="299">
        <f t="shared" si="45"/>
        <v>4.4629259460041638E-14</v>
      </c>
      <c r="Y62" s="299">
        <f t="shared" si="46"/>
        <v>0</v>
      </c>
      <c r="Z62" s="235"/>
      <c r="AA62" s="299">
        <f t="shared" si="2"/>
        <v>0</v>
      </c>
      <c r="AB62" s="299">
        <f t="shared" si="47"/>
        <v>4.4629259460041638E-14</v>
      </c>
      <c r="AC62" s="40">
        <f t="shared" si="42"/>
        <v>1.115731486501041E-10</v>
      </c>
      <c r="AD62" s="21"/>
      <c r="AF62" s="115">
        <f t="shared" si="21"/>
        <v>47817</v>
      </c>
      <c r="AG62" s="298">
        <f>SUMIFS(Inputs!$J$20:$J$31,Inputs!$G$20:$G$31,"&lt;="&amp;AF62,Inputs!$G$20:$G$31,"&gt;"&amp;AF61)</f>
        <v>0</v>
      </c>
      <c r="AH62" s="21">
        <f t="shared" si="35"/>
        <v>2500</v>
      </c>
      <c r="AI62" s="299">
        <f t="shared" si="22"/>
        <v>-5.2434240809994798E-13</v>
      </c>
      <c r="AJ62" s="299">
        <f t="shared" si="40"/>
        <v>-5.2434240809994798E-13</v>
      </c>
      <c r="AK62" s="299">
        <f>AI62*(((1+_xlfn.XLOOKUP(AF62,'Curva DI'!$A$2:$A$352,'Curva DI'!$H$2:$H$352,0,-1))*(1+AG$4))^(NETWORKDAYS(AF61,AF62)/252)-1)</f>
        <v>-7.7153829552144659E-15</v>
      </c>
      <c r="AL62" s="235"/>
      <c r="AM62" s="299">
        <f t="shared" si="36"/>
        <v>-5.3205779105516249E-13</v>
      </c>
      <c r="AN62" s="299">
        <f t="shared" si="23"/>
        <v>0</v>
      </c>
      <c r="AO62" s="235"/>
      <c r="AP62" s="299">
        <f t="shared" si="5"/>
        <v>0</v>
      </c>
      <c r="AQ62" s="299">
        <f t="shared" si="6"/>
        <v>-5.3205779105516249E-13</v>
      </c>
      <c r="AR62" s="40">
        <f t="shared" si="41"/>
        <v>-1.3301444776379062E-9</v>
      </c>
      <c r="AS62" s="21"/>
      <c r="AU62" s="115">
        <f t="shared" si="25"/>
        <v>47817</v>
      </c>
      <c r="AV62" s="298">
        <f>SUMIFS(Inputs!$O$20:$O$31,Inputs!$L$20:$L$31,"&lt;="&amp;AU62,Inputs!$L$20:$L$31,"&gt;"&amp;AU61)</f>
        <v>0</v>
      </c>
      <c r="AW62" s="21">
        <f t="shared" si="37"/>
        <v>5000</v>
      </c>
      <c r="AX62" s="299">
        <f t="shared" si="26"/>
        <v>4131.7592734159052</v>
      </c>
      <c r="AY62" s="299">
        <f t="shared" si="27"/>
        <v>3131.7592734159052</v>
      </c>
      <c r="AZ62" s="299">
        <f>AX62*_xlfn.XLOOKUP(AU62,Caixa!$D$3:$BK$3,Caixa!$D$55:$BK$55,0,0)</f>
        <v>120.39018488809216</v>
      </c>
      <c r="BA62" s="231"/>
      <c r="BB62" s="299">
        <f t="shared" si="28"/>
        <v>3252.1494583039976</v>
      </c>
      <c r="BC62" s="299">
        <f t="shared" si="29"/>
        <v>1000</v>
      </c>
      <c r="BD62" s="231"/>
      <c r="BE62" s="299">
        <f t="shared" si="30"/>
        <v>1000</v>
      </c>
      <c r="BF62" s="299">
        <f t="shared" si="31"/>
        <v>4252.1494583039976</v>
      </c>
      <c r="BG62" s="40">
        <f t="shared" si="32"/>
        <v>21260747.291519988</v>
      </c>
      <c r="BH62" s="271"/>
    </row>
    <row r="63" spans="2:60" x14ac:dyDescent="0.3">
      <c r="B63" s="115">
        <f t="shared" si="9"/>
        <v>47848</v>
      </c>
      <c r="C63" s="298">
        <f t="shared" si="10"/>
        <v>0</v>
      </c>
      <c r="D63" s="298">
        <f t="shared" si="11"/>
        <v>10000</v>
      </c>
      <c r="E63" s="150">
        <f t="shared" si="12"/>
        <v>3575.2074295752814</v>
      </c>
      <c r="F63" s="299">
        <f t="shared" si="33"/>
        <v>2575.2074295752814</v>
      </c>
      <c r="G63" s="150">
        <f>E63*_xlfn.XLOOKUP(B63,Caixa!$D$3:$BK$3,Caixa!$D$54:$BK$54,0,0)</f>
        <v>91.749418203875322</v>
      </c>
      <c r="H63" s="150">
        <v>0</v>
      </c>
      <c r="I63" s="150">
        <f t="shared" si="13"/>
        <v>2666.9568477791568</v>
      </c>
      <c r="J63" s="150">
        <f t="shared" si="14"/>
        <v>1000</v>
      </c>
      <c r="K63" s="150"/>
      <c r="L63" s="150">
        <f t="shared" si="15"/>
        <v>1000</v>
      </c>
      <c r="M63" s="150">
        <f t="shared" si="16"/>
        <v>3666.9568477791568</v>
      </c>
      <c r="N63" s="152">
        <f t="shared" si="17"/>
        <v>36669568.47779157</v>
      </c>
      <c r="O63" s="150"/>
      <c r="Q63" s="115">
        <f t="shared" si="38"/>
        <v>47848</v>
      </c>
      <c r="R63" s="298">
        <f>SUMIFS(Inputs!$E$20:$E$31,Inputs!$B$20:$B$31,"&lt;="&amp;Q63,Inputs!$B$20:$B$31,"&gt;"&amp;Q62)</f>
        <v>0</v>
      </c>
      <c r="S63" s="21">
        <f>SUMIFS(Inputs!$C$20:$C$31,Inputs!$B$20:$B$31,"&lt;="&amp;Q63,Inputs!$B$20:$B$31,"&gt;="&amp;Q62)+S62</f>
        <v>2500</v>
      </c>
      <c r="T63" s="299">
        <f t="shared" si="43"/>
        <v>4.4629259460041638E-14</v>
      </c>
      <c r="U63" s="299">
        <f t="shared" si="44"/>
        <v>4.4629259460041638E-14</v>
      </c>
      <c r="V63" s="299">
        <f>T63*(((1+_xlfn.XLOOKUP(Q63,'Curva DI'!$A$2:$A$352,'Curva DI'!$H$2:$H$352,0,-1))*(1+$R$4))^(NETWORKDAYS(Q62,Q63)/252)-1)</f>
        <v>6.1813772994008812E-16</v>
      </c>
      <c r="W63" s="235"/>
      <c r="X63" s="299">
        <f t="shared" si="45"/>
        <v>4.5247397189981723E-14</v>
      </c>
      <c r="Y63" s="299">
        <f t="shared" si="46"/>
        <v>0</v>
      </c>
      <c r="Z63" s="235"/>
      <c r="AA63" s="299">
        <f t="shared" si="2"/>
        <v>0</v>
      </c>
      <c r="AB63" s="299">
        <f t="shared" si="47"/>
        <v>4.5247397189981723E-14</v>
      </c>
      <c r="AC63" s="40">
        <f t="shared" si="42"/>
        <v>1.1311849297495431E-10</v>
      </c>
      <c r="AD63" s="21"/>
      <c r="AF63" s="115">
        <f t="shared" si="21"/>
        <v>47848</v>
      </c>
      <c r="AG63" s="298">
        <f>SUMIFS(Inputs!$J$20:$J$31,Inputs!$G$20:$G$31,"&lt;="&amp;AF63,Inputs!$G$20:$G$31,"&gt;"&amp;AF62)</f>
        <v>0</v>
      </c>
      <c r="AH63" s="21">
        <f t="shared" si="35"/>
        <v>2500</v>
      </c>
      <c r="AI63" s="299">
        <f t="shared" si="22"/>
        <v>-5.3205779105516249E-13</v>
      </c>
      <c r="AJ63" s="299">
        <f t="shared" si="40"/>
        <v>-5.3205779105516249E-13</v>
      </c>
      <c r="AK63" s="299">
        <f>AI63*(((1+_xlfn.XLOOKUP(AF63,'Curva DI'!$A$2:$A$352,'Curva DI'!$H$2:$H$352,0,-1))*(1+AG$4))^(NETWORKDAYS(AF62,AF63)/252)-1)</f>
        <v>-7.8289101718310318E-15</v>
      </c>
      <c r="AL63" s="235"/>
      <c r="AM63" s="299">
        <f t="shared" si="36"/>
        <v>-5.3988670122699354E-13</v>
      </c>
      <c r="AN63" s="299">
        <f t="shared" si="23"/>
        <v>0</v>
      </c>
      <c r="AO63" s="235"/>
      <c r="AP63" s="299">
        <f t="shared" si="5"/>
        <v>0</v>
      </c>
      <c r="AQ63" s="299">
        <f t="shared" si="6"/>
        <v>-5.3988670122699354E-13</v>
      </c>
      <c r="AR63" s="40">
        <f t="shared" si="41"/>
        <v>-1.3497167530674839E-9</v>
      </c>
      <c r="AS63" s="21"/>
      <c r="AU63" s="115">
        <f t="shared" si="25"/>
        <v>47848</v>
      </c>
      <c r="AV63" s="298">
        <f>SUMIFS(Inputs!$O$20:$O$31,Inputs!$L$20:$L$31,"&lt;="&amp;AU63,Inputs!$L$20:$L$31,"&gt;"&amp;AU62)</f>
        <v>0</v>
      </c>
      <c r="AW63" s="21">
        <f t="shared" si="37"/>
        <v>5000</v>
      </c>
      <c r="AX63" s="299">
        <f t="shared" si="26"/>
        <v>4252.1494583039976</v>
      </c>
      <c r="AY63" s="299">
        <f t="shared" si="27"/>
        <v>3252.1494583039976</v>
      </c>
      <c r="AZ63" s="299">
        <f>AX63*_xlfn.XLOOKUP(AU63,Caixa!$D$3:$BK$3,Caixa!$D$55:$BK$55,0,0)</f>
        <v>109.12156751745768</v>
      </c>
      <c r="BA63" s="231"/>
      <c r="BB63" s="299">
        <f t="shared" si="28"/>
        <v>3361.2710258214552</v>
      </c>
      <c r="BC63" s="299">
        <f t="shared" si="29"/>
        <v>1000</v>
      </c>
      <c r="BD63" s="231"/>
      <c r="BE63" s="299">
        <f t="shared" si="30"/>
        <v>1000</v>
      </c>
      <c r="BF63" s="299">
        <f t="shared" si="31"/>
        <v>4361.2710258214556</v>
      </c>
      <c r="BG63" s="40">
        <f t="shared" si="32"/>
        <v>21806355.129107278</v>
      </c>
      <c r="BH63" s="271"/>
    </row>
    <row r="64" spans="2:60" x14ac:dyDescent="0.3">
      <c r="B64" s="115">
        <f t="shared" si="9"/>
        <v>47879</v>
      </c>
      <c r="C64" s="298">
        <f t="shared" si="10"/>
        <v>0</v>
      </c>
      <c r="D64" s="298">
        <f t="shared" si="11"/>
        <v>10000</v>
      </c>
      <c r="E64" s="150">
        <f t="shared" si="12"/>
        <v>3666.9568477791568</v>
      </c>
      <c r="F64" s="299">
        <f t="shared" si="33"/>
        <v>2666.9568477791568</v>
      </c>
      <c r="G64" s="150">
        <f>E64*_xlfn.XLOOKUP(B64,Caixa!$D$3:$BK$3,Caixa!$D$54:$BK$54,0,0)</f>
        <v>92.853616040316581</v>
      </c>
      <c r="H64" s="150">
        <v>0</v>
      </c>
      <c r="I64" s="150">
        <f t="shared" si="13"/>
        <v>2759.8104638194732</v>
      </c>
      <c r="J64" s="150">
        <f t="shared" si="14"/>
        <v>1000</v>
      </c>
      <c r="K64" s="150"/>
      <c r="L64" s="150">
        <f t="shared" si="15"/>
        <v>1000</v>
      </c>
      <c r="M64" s="150">
        <f t="shared" si="16"/>
        <v>3759.8104638194732</v>
      </c>
      <c r="N64" s="152">
        <f t="shared" si="17"/>
        <v>37598104.638194732</v>
      </c>
      <c r="O64" s="150"/>
      <c r="Q64" s="115">
        <f t="shared" si="38"/>
        <v>47879</v>
      </c>
      <c r="R64" s="298">
        <f>SUMIFS(Inputs!$E$20:$E$31,Inputs!$B$20:$B$31,"&lt;="&amp;Q64,Inputs!$B$20:$B$31,"&gt;"&amp;Q63)</f>
        <v>0</v>
      </c>
      <c r="S64" s="21">
        <f>SUMIFS(Inputs!$C$20:$C$31,Inputs!$B$20:$B$31,"&lt;="&amp;Q64,Inputs!$B$20:$B$31,"&gt;="&amp;Q63)+S63</f>
        <v>2500</v>
      </c>
      <c r="T64" s="299">
        <f t="shared" si="43"/>
        <v>4.5247397189981723E-14</v>
      </c>
      <c r="U64" s="299">
        <f t="shared" si="44"/>
        <v>4.5247397189981723E-14</v>
      </c>
      <c r="V64" s="299">
        <f>T64*(((1+_xlfn.XLOOKUP(Q64,'Curva DI'!$A$2:$A$352,'Curva DI'!$H$2:$H$352,0,-1))*(1+$R$4))^(NETWORKDAYS(Q63,Q64)/252)-1)</f>
        <v>6.8410053147161491E-16</v>
      </c>
      <c r="W64" s="235"/>
      <c r="X64" s="299">
        <f t="shared" si="45"/>
        <v>4.5931497721453336E-14</v>
      </c>
      <c r="Y64" s="299">
        <f t="shared" si="46"/>
        <v>0</v>
      </c>
      <c r="Z64" s="235"/>
      <c r="AA64" s="299">
        <f t="shared" si="2"/>
        <v>0</v>
      </c>
      <c r="AB64" s="299">
        <f t="shared" si="47"/>
        <v>4.5931497721453336E-14</v>
      </c>
      <c r="AC64" s="40">
        <f t="shared" si="42"/>
        <v>1.1482874430363333E-10</v>
      </c>
      <c r="AD64" s="21"/>
      <c r="AF64" s="115">
        <f t="shared" si="21"/>
        <v>47879</v>
      </c>
      <c r="AG64" s="298">
        <f>SUMIFS(Inputs!$J$20:$J$31,Inputs!$G$20:$G$31,"&lt;="&amp;AF64,Inputs!$G$20:$G$31,"&gt;"&amp;AF63)</f>
        <v>0</v>
      </c>
      <c r="AH64" s="21">
        <f t="shared" si="35"/>
        <v>2500</v>
      </c>
      <c r="AI64" s="299">
        <f t="shared" si="22"/>
        <v>-5.3988670122699354E-13</v>
      </c>
      <c r="AJ64" s="299">
        <f t="shared" si="40"/>
        <v>-5.3988670122699354E-13</v>
      </c>
      <c r="AK64" s="299">
        <f>AI64*(((1+_xlfn.XLOOKUP(AF64,'Curva DI'!$A$2:$A$352,'Curva DI'!$H$2:$H$352,0,-1))*(1+AG$4))^(NETWORKDAYS(AF63,AF64)/252)-1)</f>
        <v>-8.6720701680885195E-15</v>
      </c>
      <c r="AL64" s="235"/>
      <c r="AM64" s="299">
        <f t="shared" si="36"/>
        <v>-5.485587713950821E-13</v>
      </c>
      <c r="AN64" s="299">
        <f t="shared" si="23"/>
        <v>0</v>
      </c>
      <c r="AO64" s="235"/>
      <c r="AP64" s="299">
        <f t="shared" si="5"/>
        <v>0</v>
      </c>
      <c r="AQ64" s="299">
        <f t="shared" si="6"/>
        <v>-5.485587713950821E-13</v>
      </c>
      <c r="AR64" s="40">
        <f t="shared" si="41"/>
        <v>-1.3713969284877052E-9</v>
      </c>
      <c r="AS64" s="21"/>
      <c r="AU64" s="115">
        <f t="shared" si="25"/>
        <v>47879</v>
      </c>
      <c r="AV64" s="298">
        <f>SUMIFS(Inputs!$O$20:$O$31,Inputs!$L$20:$L$31,"&lt;="&amp;AU64,Inputs!$L$20:$L$31,"&gt;"&amp;AU63)</f>
        <v>0</v>
      </c>
      <c r="AW64" s="21">
        <f t="shared" si="37"/>
        <v>5000</v>
      </c>
      <c r="AX64" s="299">
        <f t="shared" si="26"/>
        <v>4361.2710258214556</v>
      </c>
      <c r="AY64" s="299">
        <f t="shared" si="27"/>
        <v>3361.2710258214552</v>
      </c>
      <c r="AZ64" s="299">
        <f>AX64*_xlfn.XLOOKUP(AU64,Caixa!$D$3:$BK$3,Caixa!$D$55:$BK$55,0,0)</f>
        <v>110.43483795688556</v>
      </c>
      <c r="BA64" s="231"/>
      <c r="BB64" s="299">
        <f t="shared" si="28"/>
        <v>3471.7058637783407</v>
      </c>
      <c r="BC64" s="299">
        <f t="shared" si="29"/>
        <v>1000</v>
      </c>
      <c r="BD64" s="231"/>
      <c r="BE64" s="299">
        <f t="shared" si="30"/>
        <v>1000</v>
      </c>
      <c r="BF64" s="299">
        <f t="shared" si="31"/>
        <v>4471.7058637783412</v>
      </c>
      <c r="BG64" s="40">
        <f t="shared" si="32"/>
        <v>22358529.318891704</v>
      </c>
      <c r="BH64" s="271"/>
    </row>
    <row r="65" spans="2:61" x14ac:dyDescent="0.3">
      <c r="B65" s="115">
        <f t="shared" si="9"/>
        <v>47907</v>
      </c>
      <c r="C65" s="298">
        <f t="shared" si="10"/>
        <v>0</v>
      </c>
      <c r="D65" s="298">
        <f t="shared" si="11"/>
        <v>10000</v>
      </c>
      <c r="E65" s="150">
        <f t="shared" si="12"/>
        <v>3759.8104638194732</v>
      </c>
      <c r="F65" s="299">
        <f t="shared" si="33"/>
        <v>2759.8104638194732</v>
      </c>
      <c r="G65" s="150">
        <f>E65*_xlfn.XLOOKUP(B65,Caixa!$D$3:$BK$3,Caixa!$D$54:$BK$54,0,0)</f>
        <v>110.96325281153858</v>
      </c>
      <c r="H65" s="150">
        <v>0</v>
      </c>
      <c r="I65" s="150">
        <f t="shared" si="13"/>
        <v>2870.7737166310117</v>
      </c>
      <c r="J65" s="150">
        <f t="shared" si="14"/>
        <v>1000</v>
      </c>
      <c r="K65" s="150"/>
      <c r="L65" s="150">
        <f t="shared" si="15"/>
        <v>1000</v>
      </c>
      <c r="M65" s="150">
        <f t="shared" si="16"/>
        <v>3870.7737166310117</v>
      </c>
      <c r="N65" s="152">
        <f t="shared" si="17"/>
        <v>38707737.166310117</v>
      </c>
      <c r="O65" s="150"/>
      <c r="Q65" s="115">
        <f t="shared" si="38"/>
        <v>47907</v>
      </c>
      <c r="R65" s="298">
        <f>SUMIFS(Inputs!$E$20:$E$31,Inputs!$B$20:$B$31,"&lt;="&amp;Q65,Inputs!$B$20:$B$31,"&gt;"&amp;Q64)</f>
        <v>0</v>
      </c>
      <c r="S65" s="21">
        <f>SUMIFS(Inputs!$C$20:$C$31,Inputs!$B$20:$B$31,"&lt;="&amp;Q65,Inputs!$B$20:$B$31,"&gt;="&amp;Q64)+S64</f>
        <v>2500</v>
      </c>
      <c r="T65" s="299">
        <f t="shared" si="43"/>
        <v>4.5931497721453336E-14</v>
      </c>
      <c r="U65" s="299">
        <f t="shared" si="44"/>
        <v>4.5931497721453336E-14</v>
      </c>
      <c r="V65" s="299">
        <f>T65*(((1+_xlfn.XLOOKUP(Q65,'Curva DI'!$A$2:$A$352,'Curva DI'!$H$2:$H$352,0,-1))*(1+$R$4))^(NETWORKDAYS(Q64,Q65)/252)-1)</f>
        <v>6.0706712960145933E-16</v>
      </c>
      <c r="W65" s="235"/>
      <c r="X65" s="299">
        <f t="shared" si="45"/>
        <v>4.6538564851054796E-14</v>
      </c>
      <c r="Y65" s="299">
        <f t="shared" si="46"/>
        <v>0</v>
      </c>
      <c r="Z65" s="235"/>
      <c r="AA65" s="299">
        <f t="shared" si="2"/>
        <v>0</v>
      </c>
      <c r="AB65" s="299">
        <f t="shared" si="47"/>
        <v>4.6538564851054796E-14</v>
      </c>
      <c r="AC65" s="40">
        <f t="shared" si="42"/>
        <v>1.1634641212763699E-10</v>
      </c>
      <c r="AD65" s="21"/>
      <c r="AF65" s="115">
        <f t="shared" si="21"/>
        <v>47907</v>
      </c>
      <c r="AG65" s="298">
        <f>SUMIFS(Inputs!$J$20:$J$31,Inputs!$G$20:$G$31,"&lt;="&amp;AF65,Inputs!$G$20:$G$31,"&gt;"&amp;AF64)</f>
        <v>0</v>
      </c>
      <c r="AH65" s="21">
        <f t="shared" si="35"/>
        <v>2500</v>
      </c>
      <c r="AI65" s="299">
        <f t="shared" si="22"/>
        <v>-5.485587713950821E-13</v>
      </c>
      <c r="AJ65" s="299">
        <f t="shared" si="40"/>
        <v>-5.485587713950821E-13</v>
      </c>
      <c r="AK65" s="299">
        <f>AI65*(((1+_xlfn.XLOOKUP(AF65,'Curva DI'!$A$2:$A$352,'Curva DI'!$H$2:$H$352,0,-1))*(1+AG$4))^(NETWORKDAYS(AF64,AF65)/252)-1)</f>
        <v>-7.7022526422027627E-15</v>
      </c>
      <c r="AL65" s="235"/>
      <c r="AM65" s="299">
        <f t="shared" si="36"/>
        <v>-5.5626102403728483E-13</v>
      </c>
      <c r="AN65" s="299">
        <f t="shared" si="23"/>
        <v>0</v>
      </c>
      <c r="AO65" s="235"/>
      <c r="AP65" s="299">
        <f t="shared" si="5"/>
        <v>0</v>
      </c>
      <c r="AQ65" s="299">
        <f t="shared" si="6"/>
        <v>-5.5626102403728483E-13</v>
      </c>
      <c r="AR65" s="40">
        <f t="shared" si="41"/>
        <v>-1.3906525600932121E-9</v>
      </c>
      <c r="AS65" s="21"/>
      <c r="AU65" s="115">
        <f t="shared" si="25"/>
        <v>47907</v>
      </c>
      <c r="AV65" s="298">
        <f>SUMIFS(Inputs!$O$20:$O$31,Inputs!$L$20:$L$31,"&lt;="&amp;AU65,Inputs!$L$20:$L$31,"&gt;"&amp;AU64)</f>
        <v>0</v>
      </c>
      <c r="AW65" s="21">
        <f t="shared" si="37"/>
        <v>5000</v>
      </c>
      <c r="AX65" s="299">
        <f t="shared" si="26"/>
        <v>4471.7058637783412</v>
      </c>
      <c r="AY65" s="299">
        <f t="shared" si="27"/>
        <v>3471.7058637783407</v>
      </c>
      <c r="AZ65" s="299">
        <f>AX65*_xlfn.XLOOKUP(AU65,Caixa!$D$3:$BK$3,Caixa!$D$55:$BK$55,0,0)</f>
        <v>131.97341542509741</v>
      </c>
      <c r="BA65" s="231"/>
      <c r="BB65" s="299">
        <f t="shared" si="28"/>
        <v>3603.679279203438</v>
      </c>
      <c r="BC65" s="299">
        <f t="shared" si="29"/>
        <v>1000</v>
      </c>
      <c r="BD65" s="231"/>
      <c r="BE65" s="299">
        <f t="shared" si="30"/>
        <v>1000</v>
      </c>
      <c r="BF65" s="299">
        <f t="shared" si="31"/>
        <v>4603.6792792034375</v>
      </c>
      <c r="BG65" s="40">
        <f t="shared" si="32"/>
        <v>23018396.396017186</v>
      </c>
      <c r="BH65" s="271"/>
    </row>
    <row r="66" spans="2:61" x14ac:dyDescent="0.3">
      <c r="B66" s="115">
        <f t="shared" si="9"/>
        <v>47938</v>
      </c>
      <c r="C66" s="298">
        <f t="shared" si="10"/>
        <v>0</v>
      </c>
      <c r="D66" s="298">
        <f t="shared" si="11"/>
        <v>10000</v>
      </c>
      <c r="E66" s="150">
        <f t="shared" si="12"/>
        <v>3870.7737166310117</v>
      </c>
      <c r="F66" s="299">
        <f t="shared" si="33"/>
        <v>2870.7737166310117</v>
      </c>
      <c r="G66" s="150">
        <f>E66*_xlfn.XLOOKUP(B66,Caixa!$D$3:$BK$3,Caixa!$D$54:$BK$54,0,0)</f>
        <v>100.12626839867775</v>
      </c>
      <c r="H66" s="150">
        <v>0</v>
      </c>
      <c r="I66" s="150">
        <f t="shared" si="13"/>
        <v>2970.8999850296896</v>
      </c>
      <c r="J66" s="150">
        <f t="shared" si="14"/>
        <v>1000</v>
      </c>
      <c r="K66" s="150"/>
      <c r="L66" s="150">
        <f t="shared" si="15"/>
        <v>1000</v>
      </c>
      <c r="M66" s="150">
        <f t="shared" si="16"/>
        <v>3970.8999850296896</v>
      </c>
      <c r="N66" s="152">
        <f t="shared" si="17"/>
        <v>39708999.850296892</v>
      </c>
      <c r="O66" s="150"/>
      <c r="Q66" s="115">
        <f t="shared" si="38"/>
        <v>47938</v>
      </c>
      <c r="R66" s="298">
        <f>SUMIFS(Inputs!$E$20:$E$31,Inputs!$B$20:$B$31,"&lt;="&amp;Q66,Inputs!$B$20:$B$31,"&gt;"&amp;Q65)</f>
        <v>0</v>
      </c>
      <c r="S66" s="21">
        <f>SUMIFS(Inputs!$C$20:$C$31,Inputs!$B$20:$B$31,"&lt;="&amp;Q66,Inputs!$B$20:$B$31,"&gt;="&amp;Q65)+S65</f>
        <v>2500</v>
      </c>
      <c r="T66" s="299">
        <f t="shared" si="43"/>
        <v>4.6538564851054796E-14</v>
      </c>
      <c r="U66" s="299">
        <f t="shared" si="44"/>
        <v>4.6538564851054796E-14</v>
      </c>
      <c r="V66" s="299">
        <f>T66*(((1+_xlfn.XLOOKUP(Q66,'Curva DI'!$A$2:$A$352,'Curva DI'!$H$2:$H$352,0,-1))*(1+$R$4))^(NETWORKDAYS(Q65,Q66)/252)-1)</f>
        <v>6.4458257160769265E-16</v>
      </c>
      <c r="W66" s="235"/>
      <c r="X66" s="299">
        <f t="shared" si="45"/>
        <v>4.7183147422662486E-14</v>
      </c>
      <c r="Y66" s="299">
        <f t="shared" si="46"/>
        <v>0</v>
      </c>
      <c r="Z66" s="235"/>
      <c r="AA66" s="299">
        <f t="shared" si="2"/>
        <v>0</v>
      </c>
      <c r="AB66" s="299">
        <f t="shared" si="47"/>
        <v>4.7183147422662486E-14</v>
      </c>
      <c r="AC66" s="40">
        <f t="shared" si="42"/>
        <v>1.1795786855665622E-10</v>
      </c>
      <c r="AD66" s="21"/>
      <c r="AF66" s="115">
        <f t="shared" si="21"/>
        <v>47938</v>
      </c>
      <c r="AG66" s="298">
        <f>SUMIFS(Inputs!$J$20:$J$31,Inputs!$G$20:$G$31,"&lt;="&amp;AF66,Inputs!$G$20:$G$31,"&gt;"&amp;AF65)</f>
        <v>0</v>
      </c>
      <c r="AH66" s="21">
        <f t="shared" si="35"/>
        <v>2500</v>
      </c>
      <c r="AI66" s="299">
        <f t="shared" si="22"/>
        <v>-5.5626102403728483E-13</v>
      </c>
      <c r="AJ66" s="299">
        <f t="shared" si="40"/>
        <v>-5.5626102403728483E-13</v>
      </c>
      <c r="AK66" s="299">
        <f>AI66*(((1+_xlfn.XLOOKUP(AF66,'Curva DI'!$A$2:$A$352,'Curva DI'!$H$2:$H$352,0,-1))*(1+AG$4))^(NETWORKDAYS(AF65,AF66)/252)-1)</f>
        <v>-8.18504617823957E-15</v>
      </c>
      <c r="AL66" s="235"/>
      <c r="AM66" s="299">
        <f t="shared" si="36"/>
        <v>-5.6444607021552437E-13</v>
      </c>
      <c r="AN66" s="299">
        <f t="shared" si="23"/>
        <v>0</v>
      </c>
      <c r="AO66" s="235"/>
      <c r="AP66" s="299">
        <f t="shared" si="5"/>
        <v>0</v>
      </c>
      <c r="AQ66" s="299">
        <f t="shared" si="6"/>
        <v>-5.6444607021552437E-13</v>
      </c>
      <c r="AR66" s="40">
        <f t="shared" si="41"/>
        <v>-1.4111151755388109E-9</v>
      </c>
      <c r="AS66" s="21"/>
      <c r="AU66" s="115">
        <f t="shared" si="25"/>
        <v>47938</v>
      </c>
      <c r="AV66" s="298">
        <f>SUMIFS(Inputs!$O$20:$O$31,Inputs!$L$20:$L$31,"&lt;="&amp;AU66,Inputs!$L$20:$L$31,"&gt;"&amp;AU65)</f>
        <v>0</v>
      </c>
      <c r="AW66" s="21">
        <f t="shared" si="37"/>
        <v>5000</v>
      </c>
      <c r="AX66" s="299">
        <f t="shared" si="26"/>
        <v>4603.6792792034375</v>
      </c>
      <c r="AY66" s="299">
        <f t="shared" si="27"/>
        <v>3603.679279203438</v>
      </c>
      <c r="AZ66" s="299">
        <f>AX66*_xlfn.XLOOKUP(AU66,Caixa!$D$3:$BK$3,Caixa!$D$55:$BK$55,0,0)</f>
        <v>119.08451923977336</v>
      </c>
      <c r="BA66" s="231"/>
      <c r="BB66" s="299">
        <f t="shared" si="28"/>
        <v>3722.7637984432113</v>
      </c>
      <c r="BC66" s="299">
        <f t="shared" si="29"/>
        <v>1000</v>
      </c>
      <c r="BD66" s="231"/>
      <c r="BE66" s="299">
        <f t="shared" si="30"/>
        <v>1000</v>
      </c>
      <c r="BF66" s="299">
        <f t="shared" si="31"/>
        <v>4722.7637984432113</v>
      </c>
      <c r="BG66" s="40">
        <f t="shared" si="32"/>
        <v>23613818.992216058</v>
      </c>
      <c r="BH66" s="271"/>
    </row>
    <row r="67" spans="2:61" x14ac:dyDescent="0.3">
      <c r="B67" s="115">
        <f t="shared" si="9"/>
        <v>47968</v>
      </c>
      <c r="C67" s="298">
        <f t="shared" si="10"/>
        <v>0</v>
      </c>
      <c r="D67" s="298">
        <f t="shared" si="11"/>
        <v>10000</v>
      </c>
      <c r="E67" s="150">
        <f t="shared" si="12"/>
        <v>3970.8999850296896</v>
      </c>
      <c r="F67" s="299">
        <f t="shared" si="33"/>
        <v>2970.8999850296896</v>
      </c>
      <c r="G67" s="150">
        <f>E67*_xlfn.XLOOKUP(B67,Caixa!$D$3:$BK$3,Caixa!$D$54:$BK$54,0,0)</f>
        <v>100.95530357616498</v>
      </c>
      <c r="H67" s="150">
        <v>0</v>
      </c>
      <c r="I67" s="150">
        <f t="shared" si="13"/>
        <v>3071.8552886058546</v>
      </c>
      <c r="J67" s="150">
        <f t="shared" si="14"/>
        <v>1000</v>
      </c>
      <c r="K67" s="150"/>
      <c r="L67" s="150">
        <f t="shared" si="15"/>
        <v>1000</v>
      </c>
      <c r="M67" s="150">
        <f t="shared" si="16"/>
        <v>4071.8552886058546</v>
      </c>
      <c r="N67" s="152">
        <f t="shared" si="17"/>
        <v>40718552.886058547</v>
      </c>
      <c r="O67" s="150"/>
      <c r="Q67" s="115">
        <f t="shared" si="38"/>
        <v>47968</v>
      </c>
      <c r="R67" s="298">
        <f>SUMIFS(Inputs!$E$20:$E$31,Inputs!$B$20:$B$31,"&lt;="&amp;Q67,Inputs!$B$20:$B$31,"&gt;"&amp;Q66)</f>
        <v>0</v>
      </c>
      <c r="S67" s="21">
        <f>SUMIFS(Inputs!$C$20:$C$31,Inputs!$B$20:$B$31,"&lt;="&amp;Q67,Inputs!$B$20:$B$31,"&gt;="&amp;Q66)+S66</f>
        <v>2500</v>
      </c>
      <c r="T67" s="299">
        <f t="shared" si="43"/>
        <v>4.7183147422662486E-14</v>
      </c>
      <c r="U67" s="299">
        <f t="shared" si="44"/>
        <v>4.7183147422662486E-14</v>
      </c>
      <c r="V67" s="299">
        <f>T67*(((1+_xlfn.XLOOKUP(Q67,'Curva DI'!$A$2:$A$352,'Curva DI'!$H$2:$H$352,0,-1))*(1+$R$4))^(NETWORKDAYS(Q66,Q67)/252)-1)</f>
        <v>6.8381014526239904E-16</v>
      </c>
      <c r="W67" s="235"/>
      <c r="X67" s="299">
        <f t="shared" si="45"/>
        <v>4.7866957567924885E-14</v>
      </c>
      <c r="Y67" s="299">
        <f t="shared" si="46"/>
        <v>0</v>
      </c>
      <c r="Z67" s="235"/>
      <c r="AA67" s="299">
        <f t="shared" si="2"/>
        <v>0</v>
      </c>
      <c r="AB67" s="299">
        <f t="shared" si="47"/>
        <v>4.7866957567924885E-14</v>
      </c>
      <c r="AC67" s="40">
        <f t="shared" si="42"/>
        <v>1.196673939198122E-10</v>
      </c>
      <c r="AD67" s="21"/>
      <c r="AF67" s="115">
        <f t="shared" si="21"/>
        <v>47968</v>
      </c>
      <c r="AG67" s="298">
        <f>SUMIFS(Inputs!$J$20:$J$31,Inputs!$G$20:$G$31,"&lt;="&amp;AF67,Inputs!$G$20:$G$31,"&gt;"&amp;AF66)</f>
        <v>0</v>
      </c>
      <c r="AH67" s="21">
        <f t="shared" si="35"/>
        <v>2500</v>
      </c>
      <c r="AI67" s="299">
        <f t="shared" si="22"/>
        <v>-5.6444607021552437E-13</v>
      </c>
      <c r="AJ67" s="299">
        <f t="shared" si="40"/>
        <v>-5.6444607021552437E-13</v>
      </c>
      <c r="AK67" s="299">
        <f>AI67*(((1+_xlfn.XLOOKUP(AF67,'Curva DI'!$A$2:$A$352,'Curva DI'!$H$2:$H$352,0,-1))*(1+AG$4))^(NETWORKDAYS(AF66,AF67)/252)-1)</f>
        <v>-8.6904540741710712E-15</v>
      </c>
      <c r="AL67" s="235"/>
      <c r="AM67" s="299">
        <f t="shared" si="36"/>
        <v>-5.7313652428969544E-13</v>
      </c>
      <c r="AN67" s="299">
        <f t="shared" si="23"/>
        <v>0</v>
      </c>
      <c r="AO67" s="235"/>
      <c r="AP67" s="299">
        <f t="shared" si="5"/>
        <v>0</v>
      </c>
      <c r="AQ67" s="299">
        <f t="shared" si="6"/>
        <v>-5.7313652428969544E-13</v>
      </c>
      <c r="AR67" s="40">
        <f t="shared" si="41"/>
        <v>-1.4328413107242386E-9</v>
      </c>
      <c r="AS67" s="21"/>
      <c r="AU67" s="115">
        <f t="shared" si="25"/>
        <v>47968</v>
      </c>
      <c r="AV67" s="298">
        <f>SUMIFS(Inputs!$O$20:$O$31,Inputs!$L$20:$L$31,"&lt;="&amp;AU67,Inputs!$L$20:$L$31,"&gt;"&amp;AU66)</f>
        <v>0</v>
      </c>
      <c r="AW67" s="21">
        <f t="shared" si="37"/>
        <v>5000</v>
      </c>
      <c r="AX67" s="299">
        <f t="shared" si="26"/>
        <v>4722.7637984432113</v>
      </c>
      <c r="AY67" s="299">
        <f t="shared" si="27"/>
        <v>3722.7637984432113</v>
      </c>
      <c r="AZ67" s="299">
        <f>AX67*_xlfn.XLOOKUP(AU67,Caixa!$D$3:$BK$3,Caixa!$D$55:$BK$55,0,0)</f>
        <v>120.07052677928165</v>
      </c>
      <c r="BA67" s="231"/>
      <c r="BB67" s="299">
        <f t="shared" si="28"/>
        <v>3842.8343252224931</v>
      </c>
      <c r="BC67" s="299">
        <f t="shared" si="29"/>
        <v>1000</v>
      </c>
      <c r="BD67" s="231"/>
      <c r="BE67" s="299">
        <f t="shared" si="30"/>
        <v>1000</v>
      </c>
      <c r="BF67" s="299">
        <f t="shared" si="31"/>
        <v>4842.8343252224931</v>
      </c>
      <c r="BG67" s="40">
        <f t="shared" si="32"/>
        <v>24214171.626112465</v>
      </c>
      <c r="BH67" s="271"/>
    </row>
    <row r="68" spans="2:61" x14ac:dyDescent="0.3">
      <c r="B68" s="115">
        <f t="shared" si="9"/>
        <v>47999</v>
      </c>
      <c r="C68" s="298">
        <f t="shared" si="10"/>
        <v>0</v>
      </c>
      <c r="D68" s="298">
        <f t="shared" si="11"/>
        <v>10000</v>
      </c>
      <c r="E68" s="150">
        <f t="shared" si="12"/>
        <v>4071.8552886058546</v>
      </c>
      <c r="F68" s="299">
        <f t="shared" si="33"/>
        <v>3071.8552886058546</v>
      </c>
      <c r="G68" s="150">
        <f>E68*_xlfn.XLOOKUP(B68,Caixa!$D$3:$BK$3,Caixa!$D$54:$BK$54,0,0)</f>
        <v>113.86421137301495</v>
      </c>
      <c r="H68" s="150">
        <v>0</v>
      </c>
      <c r="I68" s="150">
        <f t="shared" si="13"/>
        <v>3185.7194999788694</v>
      </c>
      <c r="J68" s="150">
        <f t="shared" si="14"/>
        <v>1000</v>
      </c>
      <c r="K68" s="150"/>
      <c r="L68" s="150">
        <f t="shared" si="15"/>
        <v>1000</v>
      </c>
      <c r="M68" s="150">
        <f t="shared" si="16"/>
        <v>4185.7194999788699</v>
      </c>
      <c r="N68" s="152">
        <f t="shared" si="17"/>
        <v>41857194.999788702</v>
      </c>
      <c r="O68" s="150"/>
      <c r="Q68" s="115">
        <f t="shared" si="38"/>
        <v>47999</v>
      </c>
      <c r="R68" s="298">
        <f>SUMIFS(Inputs!$E$20:$E$31,Inputs!$B$20:$B$31,"&lt;="&amp;Q68,Inputs!$B$20:$B$31,"&gt;"&amp;Q67)</f>
        <v>0</v>
      </c>
      <c r="S68" s="21">
        <f>SUMIFS(Inputs!$C$20:$C$31,Inputs!$B$20:$B$31,"&lt;="&amp;Q68,Inputs!$B$20:$B$31,"&gt;="&amp;Q67)+S67</f>
        <v>2500</v>
      </c>
      <c r="T68" s="299">
        <f t="shared" si="43"/>
        <v>4.7866957567924885E-14</v>
      </c>
      <c r="U68" s="299">
        <f t="shared" si="44"/>
        <v>4.7866957567924885E-14</v>
      </c>
      <c r="V68" s="299">
        <f>T68*(((1+_xlfn.XLOOKUP(Q68,'Curva DI'!$A$2:$A$352,'Curva DI'!$H$2:$H$352,0,-1))*(1+$R$4))^(NETWORKDAYS(Q67,Q68)/252)-1)</f>
        <v>6.9372038525921603E-16</v>
      </c>
      <c r="W68" s="235"/>
      <c r="X68" s="299">
        <f t="shared" si="45"/>
        <v>4.8560677953184098E-14</v>
      </c>
      <c r="Y68" s="299">
        <f t="shared" si="46"/>
        <v>0</v>
      </c>
      <c r="Z68" s="235"/>
      <c r="AA68" s="299">
        <f t="shared" si="2"/>
        <v>0</v>
      </c>
      <c r="AB68" s="299">
        <f t="shared" si="47"/>
        <v>4.8560677953184098E-14</v>
      </c>
      <c r="AC68" s="40">
        <f t="shared" si="42"/>
        <v>1.2140169488296024E-10</v>
      </c>
      <c r="AD68" s="21"/>
      <c r="AF68" s="115">
        <f t="shared" si="21"/>
        <v>47999</v>
      </c>
      <c r="AG68" s="298">
        <f>SUMIFS(Inputs!$J$20:$J$31,Inputs!$G$20:$G$31,"&lt;="&amp;AF68,Inputs!$G$20:$G$31,"&gt;"&amp;AF67)</f>
        <v>0</v>
      </c>
      <c r="AH68" s="21">
        <f t="shared" si="35"/>
        <v>2500</v>
      </c>
      <c r="AI68" s="299">
        <f t="shared" si="22"/>
        <v>-5.7313652428969544E-13</v>
      </c>
      <c r="AJ68" s="299">
        <f t="shared" si="40"/>
        <v>-5.7313652428969544E-13</v>
      </c>
      <c r="AK68" s="299">
        <f>AI68*(((1+_xlfn.XLOOKUP(AF68,'Curva DI'!$A$2:$A$352,'Curva DI'!$H$2:$H$352,0,-1))*(1+AG$4))^(NETWORKDAYS(AF67,AF68)/252)-1)</f>
        <v>-8.8242560368394251E-15</v>
      </c>
      <c r="AL68" s="235"/>
      <c r="AM68" s="299">
        <f t="shared" si="36"/>
        <v>-5.8196078032653486E-13</v>
      </c>
      <c r="AN68" s="299">
        <f t="shared" si="23"/>
        <v>0</v>
      </c>
      <c r="AO68" s="235"/>
      <c r="AP68" s="299">
        <f t="shared" si="5"/>
        <v>0</v>
      </c>
      <c r="AQ68" s="299">
        <f t="shared" si="6"/>
        <v>-5.8196078032653486E-13</v>
      </c>
      <c r="AR68" s="40">
        <f t="shared" si="41"/>
        <v>-1.4549019508163371E-9</v>
      </c>
      <c r="AS68" s="21"/>
      <c r="AU68" s="115">
        <f t="shared" si="25"/>
        <v>47999</v>
      </c>
      <c r="AV68" s="298">
        <f>SUMIFS(Inputs!$O$20:$O$31,Inputs!$L$20:$L$31,"&lt;="&amp;AU68,Inputs!$L$20:$L$31,"&gt;"&amp;AU67)</f>
        <v>0</v>
      </c>
      <c r="AW68" s="21">
        <f t="shared" si="37"/>
        <v>5000</v>
      </c>
      <c r="AX68" s="299">
        <f t="shared" si="26"/>
        <v>4842.8343252224931</v>
      </c>
      <c r="AY68" s="299">
        <f t="shared" si="27"/>
        <v>3842.8343252224931</v>
      </c>
      <c r="AZ68" s="299">
        <f>AX68*_xlfn.XLOOKUP(AU68,Caixa!$D$3:$BK$3,Caixa!$D$55:$BK$55,0,0)</f>
        <v>135.42365142363064</v>
      </c>
      <c r="BA68" s="231"/>
      <c r="BB68" s="299">
        <f t="shared" si="28"/>
        <v>3978.257976646124</v>
      </c>
      <c r="BC68" s="299">
        <f t="shared" si="29"/>
        <v>1000</v>
      </c>
      <c r="BD68" s="231"/>
      <c r="BE68" s="299">
        <f t="shared" si="30"/>
        <v>1000</v>
      </c>
      <c r="BF68" s="299">
        <f t="shared" si="31"/>
        <v>4978.257976646124</v>
      </c>
      <c r="BG68" s="40">
        <f t="shared" si="32"/>
        <v>24891289.883230619</v>
      </c>
      <c r="BH68" s="271"/>
    </row>
    <row r="69" spans="2:61" x14ac:dyDescent="0.3">
      <c r="B69" s="115">
        <f t="shared" si="9"/>
        <v>48029</v>
      </c>
      <c r="C69" s="298">
        <f t="shared" si="10"/>
        <v>0</v>
      </c>
      <c r="D69" s="298">
        <f t="shared" si="11"/>
        <v>10000</v>
      </c>
      <c r="E69" s="150">
        <f t="shared" si="12"/>
        <v>4185.7194999788699</v>
      </c>
      <c r="F69" s="299">
        <f t="shared" si="33"/>
        <v>3185.7194999788694</v>
      </c>
      <c r="G69" s="150">
        <f>E69*_xlfn.XLOOKUP(B69,Caixa!$D$3:$BK$3,Caixa!$D$54:$BK$54,0,0)</f>
        <v>115.17974010924854</v>
      </c>
      <c r="H69" s="150">
        <v>0</v>
      </c>
      <c r="I69" s="150">
        <f t="shared" si="13"/>
        <v>3300.8992400881179</v>
      </c>
      <c r="J69" s="150">
        <f t="shared" si="14"/>
        <v>1000</v>
      </c>
      <c r="K69" s="150"/>
      <c r="L69" s="150">
        <f t="shared" si="15"/>
        <v>1000</v>
      </c>
      <c r="M69" s="150">
        <f t="shared" si="16"/>
        <v>4300.8992400881179</v>
      </c>
      <c r="N69" s="152">
        <f t="shared" si="17"/>
        <v>43008992.400881179</v>
      </c>
      <c r="O69" s="150"/>
      <c r="Q69" s="115">
        <f t="shared" si="38"/>
        <v>48029</v>
      </c>
      <c r="R69" s="298">
        <f>SUMIFS(Inputs!$E$20:$E$31,Inputs!$B$20:$B$31,"&lt;="&amp;Q69,Inputs!$B$20:$B$31,"&gt;"&amp;Q68)</f>
        <v>0</v>
      </c>
      <c r="S69" s="21">
        <f>SUMIFS(Inputs!$C$20:$C$31,Inputs!$B$20:$B$31,"&lt;="&amp;Q69,Inputs!$B$20:$B$31,"&gt;="&amp;Q68)+S68</f>
        <v>2500</v>
      </c>
      <c r="T69" s="299">
        <f t="shared" si="43"/>
        <v>4.8560677953184098E-14</v>
      </c>
      <c r="U69" s="299">
        <f t="shared" si="44"/>
        <v>4.8560677953184098E-14</v>
      </c>
      <c r="V69" s="299">
        <f>T69*(((1+_xlfn.XLOOKUP(Q69,'Curva DI'!$A$2:$A$352,'Curva DI'!$H$2:$H$352,0,-1))*(1+$R$4))^(NETWORKDAYS(Q68,Q69)/252)-1)</f>
        <v>6.4217370237489678E-16</v>
      </c>
      <c r="W69" s="235"/>
      <c r="X69" s="299">
        <f t="shared" si="45"/>
        <v>4.9202851655558993E-14</v>
      </c>
      <c r="Y69" s="299">
        <f t="shared" si="46"/>
        <v>0</v>
      </c>
      <c r="Z69" s="235"/>
      <c r="AA69" s="299">
        <f t="shared" si="2"/>
        <v>0</v>
      </c>
      <c r="AB69" s="299">
        <f t="shared" si="47"/>
        <v>4.9202851655558993E-14</v>
      </c>
      <c r="AC69" s="40">
        <f t="shared" si="42"/>
        <v>1.2300712913889749E-10</v>
      </c>
      <c r="AD69" s="21"/>
      <c r="AF69" s="115">
        <f t="shared" si="21"/>
        <v>48029</v>
      </c>
      <c r="AG69" s="298">
        <f>SUMIFS(Inputs!$J$20:$J$31,Inputs!$G$20:$G$31,"&lt;="&amp;AF69,Inputs!$G$20:$G$31,"&gt;"&amp;AF68)</f>
        <v>0</v>
      </c>
      <c r="AH69" s="21">
        <f t="shared" si="35"/>
        <v>2500</v>
      </c>
      <c r="AI69" s="299">
        <f t="shared" si="22"/>
        <v>-5.8196078032653486E-13</v>
      </c>
      <c r="AJ69" s="299">
        <f t="shared" si="40"/>
        <v>-5.8196078032653486E-13</v>
      </c>
      <c r="AK69" s="299">
        <f>AI69*(((1+_xlfn.XLOOKUP(AF69,'Curva DI'!$A$2:$A$352,'Curva DI'!$H$2:$H$352,0,-1))*(1+AG$4))^(NETWORKDAYS(AF68,AF69)/252)-1)</f>
        <v>-8.1755312489185075E-15</v>
      </c>
      <c r="AL69" s="235"/>
      <c r="AM69" s="299">
        <f t="shared" si="36"/>
        <v>-5.9013631157545334E-13</v>
      </c>
      <c r="AN69" s="299">
        <f t="shared" si="23"/>
        <v>0</v>
      </c>
      <c r="AO69" s="235"/>
      <c r="AP69" s="299">
        <f t="shared" si="5"/>
        <v>0</v>
      </c>
      <c r="AQ69" s="299">
        <f t="shared" si="6"/>
        <v>-5.9013631157545334E-13</v>
      </c>
      <c r="AR69" s="40">
        <f t="shared" si="41"/>
        <v>-1.4753407789386333E-9</v>
      </c>
      <c r="AS69" s="21"/>
      <c r="AU69" s="115">
        <f t="shared" si="25"/>
        <v>48029</v>
      </c>
      <c r="AV69" s="298">
        <f>SUMIFS(Inputs!$O$20:$O$31,Inputs!$L$20:$L$31,"&lt;="&amp;AU69,Inputs!$L$20:$L$31,"&gt;"&amp;AU68)</f>
        <v>0</v>
      </c>
      <c r="AW69" s="21">
        <f t="shared" si="37"/>
        <v>5000</v>
      </c>
      <c r="AX69" s="299">
        <f t="shared" si="26"/>
        <v>4978.257976646124</v>
      </c>
      <c r="AY69" s="299">
        <f t="shared" si="27"/>
        <v>3978.257976646124</v>
      </c>
      <c r="AZ69" s="299">
        <f>AX69*_xlfn.XLOOKUP(AU69,Caixa!$D$3:$BK$3,Caixa!$D$55:$BK$55,0,0)</f>
        <v>136.98826687975355</v>
      </c>
      <c r="BA69" s="231"/>
      <c r="BB69" s="299">
        <f t="shared" si="28"/>
        <v>4115.2462435258776</v>
      </c>
      <c r="BC69" s="299">
        <f t="shared" si="29"/>
        <v>1000</v>
      </c>
      <c r="BD69" s="231"/>
      <c r="BE69" s="299">
        <f t="shared" si="30"/>
        <v>1000</v>
      </c>
      <c r="BF69" s="299">
        <f t="shared" si="31"/>
        <v>5115.2462435258776</v>
      </c>
      <c r="BG69" s="40">
        <f t="shared" si="32"/>
        <v>25576231.217629388</v>
      </c>
      <c r="BH69" s="271"/>
    </row>
    <row r="70" spans="2:61" x14ac:dyDescent="0.3">
      <c r="B70" s="147">
        <f t="shared" si="9"/>
        <v>48060</v>
      </c>
      <c r="C70" s="148">
        <f t="shared" si="10"/>
        <v>0</v>
      </c>
      <c r="D70" s="148">
        <f t="shared" si="11"/>
        <v>10000</v>
      </c>
      <c r="E70" s="151">
        <f t="shared" si="12"/>
        <v>4300.8992400881179</v>
      </c>
      <c r="F70" s="149">
        <f t="shared" si="33"/>
        <v>3300.8992400881179</v>
      </c>
      <c r="G70" s="151">
        <f>E70*_xlfn.XLOOKUP(B70,Caixa!$D$3:$BK$3,Caixa!$D$54:$BK$54,0,0)</f>
        <v>116.51046779021641</v>
      </c>
      <c r="H70" s="151">
        <v>0</v>
      </c>
      <c r="I70" s="151">
        <f t="shared" si="13"/>
        <v>3417.4097078783343</v>
      </c>
      <c r="J70" s="151">
        <f t="shared" si="14"/>
        <v>1000</v>
      </c>
      <c r="K70" s="151"/>
      <c r="L70" s="151">
        <f t="shared" si="15"/>
        <v>1000</v>
      </c>
      <c r="M70" s="151">
        <f t="shared" si="16"/>
        <v>4417.4097078783343</v>
      </c>
      <c r="N70" s="153">
        <f t="shared" si="17"/>
        <v>44174097.078783341</v>
      </c>
      <c r="O70" s="150"/>
      <c r="Q70" s="147">
        <f t="shared" si="38"/>
        <v>48060</v>
      </c>
      <c r="R70" s="148">
        <f>SUMIFS(Inputs!$E$20:$E$31,Inputs!$B$20:$B$31,"&lt;="&amp;Q70,Inputs!$B$20:$B$31,"&gt;"&amp;Q69)</f>
        <v>0</v>
      </c>
      <c r="S70" s="42">
        <f>SUMIFS(Inputs!$C$20:$C$31,Inputs!$B$20:$B$31,"&lt;="&amp;Q70,Inputs!$B$20:$B$31,"&gt;="&amp;Q69)+S69</f>
        <v>2500</v>
      </c>
      <c r="T70" s="149">
        <f t="shared" ref="T70" si="48">AB69</f>
        <v>4.9202851655558993E-14</v>
      </c>
      <c r="U70" s="149">
        <f t="shared" ref="U70" si="49">X69</f>
        <v>4.9202851655558993E-14</v>
      </c>
      <c r="V70" s="149">
        <f>T70*(((1+_xlfn.XLOOKUP(Q70,'Curva DI'!$A$2:$A$352,'Curva DI'!$H$2:$H$352,0,-1))*(1+$R$4))^(NETWORKDAYS(Q69,Q70)/252)-1)</f>
        <v>7.4431794660769903E-16</v>
      </c>
      <c r="W70" s="236"/>
      <c r="X70" s="149">
        <f t="shared" ref="X70" si="50">U70+V70-W70</f>
        <v>4.9947169602166694E-14</v>
      </c>
      <c r="Y70" s="149">
        <f t="shared" ref="Y70" si="51">Y69-Z69</f>
        <v>0</v>
      </c>
      <c r="Z70" s="236"/>
      <c r="AA70" s="149">
        <f t="shared" si="2"/>
        <v>0</v>
      </c>
      <c r="AB70" s="149">
        <f t="shared" ref="AB70" si="52">AA70+X70</f>
        <v>4.9947169602166694E-14</v>
      </c>
      <c r="AC70" s="43">
        <f t="shared" si="42"/>
        <v>1.2486792400541674E-10</v>
      </c>
      <c r="AD70" s="21"/>
      <c r="AF70" s="147">
        <f t="shared" si="21"/>
        <v>48060</v>
      </c>
      <c r="AG70" s="148">
        <f>SUMIFS(Inputs!$J$20:$J$31,Inputs!$G$20:$G$31,"&lt;="&amp;AF70,Inputs!$G$20:$G$31,"&gt;"&amp;AF69)</f>
        <v>0</v>
      </c>
      <c r="AH70" s="42">
        <f t="shared" si="35"/>
        <v>2500</v>
      </c>
      <c r="AI70" s="149">
        <f t="shared" si="22"/>
        <v>-5.9013631157545334E-13</v>
      </c>
      <c r="AJ70" s="149">
        <f t="shared" si="40"/>
        <v>-5.9013631157545334E-13</v>
      </c>
      <c r="AK70" s="233">
        <f>AI70*(((1+_xlfn.XLOOKUP(AF70,'Curva DI'!$A$2:$A$352,'Curva DI'!$H$2:$H$352,0,-1))*(1+AG$4))^(NETWORKDAYS(AF69,AF70)/252)-1)</f>
        <v>-9.4841930828645956E-15</v>
      </c>
      <c r="AL70" s="236"/>
      <c r="AM70" s="149">
        <f t="shared" si="36"/>
        <v>-5.9962050465831791E-13</v>
      </c>
      <c r="AN70" s="149">
        <f t="shared" si="23"/>
        <v>0</v>
      </c>
      <c r="AO70" s="236"/>
      <c r="AP70" s="149">
        <f t="shared" si="5"/>
        <v>0</v>
      </c>
      <c r="AQ70" s="149">
        <f t="shared" si="6"/>
        <v>-5.9962050465831791E-13</v>
      </c>
      <c r="AR70" s="43">
        <f t="shared" si="41"/>
        <v>-1.4990512616457949E-9</v>
      </c>
      <c r="AS70" s="21"/>
      <c r="AU70" s="147">
        <f t="shared" si="25"/>
        <v>48060</v>
      </c>
      <c r="AV70" s="148">
        <f>SUMIFS(Inputs!$O$20:$O$31,Inputs!$L$20:$L$31,"&lt;="&amp;AU70,Inputs!$L$20:$L$31,"&gt;"&amp;AU69)</f>
        <v>0</v>
      </c>
      <c r="AW70" s="42">
        <f t="shared" si="37"/>
        <v>5000</v>
      </c>
      <c r="AX70" s="149">
        <f t="shared" si="26"/>
        <v>5115.2462435258776</v>
      </c>
      <c r="AY70" s="149">
        <f t="shared" si="27"/>
        <v>4115.2462435258776</v>
      </c>
      <c r="AZ70" s="149">
        <f>AX70*_xlfn.XLOOKUP(AU70,Caixa!$D$3:$BK$3,Caixa!$D$55:$BK$55,0,0)</f>
        <v>138.57095910090112</v>
      </c>
      <c r="BA70" s="232"/>
      <c r="BB70" s="149">
        <f t="shared" si="28"/>
        <v>4253.8172026267785</v>
      </c>
      <c r="BC70" s="149">
        <f t="shared" si="29"/>
        <v>1000</v>
      </c>
      <c r="BD70" s="232"/>
      <c r="BE70" s="149">
        <f t="shared" si="30"/>
        <v>1000</v>
      </c>
      <c r="BF70" s="149">
        <f t="shared" si="31"/>
        <v>5253.8172026267785</v>
      </c>
      <c r="BG70" s="43">
        <f t="shared" si="32"/>
        <v>26269086.013133891</v>
      </c>
      <c r="BH70" s="271"/>
      <c r="BI70" s="112"/>
    </row>
    <row r="73" spans="2:61" x14ac:dyDescent="0.3">
      <c r="W73" s="250"/>
      <c r="X73" s="250"/>
    </row>
    <row r="74" spans="2:61" x14ac:dyDescent="0.3">
      <c r="W74" s="250"/>
      <c r="X74" s="250"/>
    </row>
    <row r="75" spans="2:61" x14ac:dyDescent="0.3">
      <c r="W75" s="250"/>
      <c r="X75" s="250"/>
    </row>
    <row r="76" spans="2:61" x14ac:dyDescent="0.3">
      <c r="W76" s="250"/>
      <c r="X76" s="250"/>
      <c r="AL76" s="250"/>
      <c r="AM76" s="250"/>
    </row>
    <row r="77" spans="2:61" x14ac:dyDescent="0.3">
      <c r="W77" s="250"/>
      <c r="X77" s="250"/>
      <c r="AL77" s="250"/>
      <c r="AM77" s="250"/>
    </row>
    <row r="78" spans="2:61" x14ac:dyDescent="0.3">
      <c r="W78" s="250"/>
      <c r="X78" s="250"/>
      <c r="AL78" s="250"/>
      <c r="AM78" s="250"/>
    </row>
    <row r="79" spans="2:61" x14ac:dyDescent="0.3">
      <c r="W79" s="250"/>
      <c r="X79" s="250"/>
      <c r="AL79" s="250"/>
      <c r="AM79" s="250"/>
    </row>
    <row r="80" spans="2:61" x14ac:dyDescent="0.3">
      <c r="W80" s="250"/>
      <c r="X80" s="250"/>
      <c r="AL80" s="250"/>
      <c r="AM80" s="250"/>
    </row>
    <row r="81" spans="23:39" x14ac:dyDescent="0.3">
      <c r="W81" s="250"/>
      <c r="X81" s="250"/>
      <c r="AL81" s="250"/>
      <c r="AM81" s="250"/>
    </row>
    <row r="82" spans="23:39" x14ac:dyDescent="0.3">
      <c r="W82" s="250"/>
      <c r="X82" s="250"/>
      <c r="AL82" s="250"/>
      <c r="AM82" s="250"/>
    </row>
    <row r="83" spans="23:39" x14ac:dyDescent="0.3">
      <c r="W83" s="250"/>
      <c r="X83" s="250"/>
      <c r="AL83" s="250"/>
      <c r="AM83" s="250"/>
    </row>
    <row r="84" spans="23:39" x14ac:dyDescent="0.3">
      <c r="W84" s="250"/>
      <c r="X84" s="250"/>
      <c r="AL84" s="250"/>
      <c r="AM84" s="250"/>
    </row>
    <row r="85" spans="23:39" x14ac:dyDescent="0.3">
      <c r="AL85" s="250"/>
      <c r="AM85" s="250"/>
    </row>
    <row r="86" spans="23:39" x14ac:dyDescent="0.3">
      <c r="AL86" s="250"/>
      <c r="AM86" s="250"/>
    </row>
    <row r="87" spans="23:39" x14ac:dyDescent="0.3">
      <c r="AL87" s="250"/>
      <c r="AM87" s="250"/>
    </row>
  </sheetData>
  <mergeCells count="3">
    <mergeCell ref="Q2:R2"/>
    <mergeCell ref="AF2:AG2"/>
    <mergeCell ref="AU2:AV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81867-1DC7-4EF3-854D-B3D9F8773CF8}">
  <sheetPr codeName="Planilha6"/>
  <dimension ref="A1:BH166"/>
  <sheetViews>
    <sheetView showGridLines="0" workbookViewId="0">
      <selection activeCell="C11" sqref="C11"/>
    </sheetView>
  </sheetViews>
  <sheetFormatPr defaultRowHeight="16.5" x14ac:dyDescent="0.3"/>
  <cols>
    <col min="1" max="1" width="40.875" customWidth="1"/>
    <col min="2" max="2" width="28" bestFit="1" customWidth="1"/>
    <col min="3" max="3" width="25.5" customWidth="1"/>
    <col min="4" max="4" width="18.125" bestFit="1" customWidth="1"/>
    <col min="5" max="7" width="14.375" bestFit="1" customWidth="1"/>
    <col min="8" max="8" width="16.625" customWidth="1"/>
    <col min="9" max="9" width="14.375" customWidth="1"/>
    <col min="10" max="10" width="12" bestFit="1" customWidth="1"/>
    <col min="11" max="12" width="17.875" bestFit="1" customWidth="1"/>
    <col min="13" max="13" width="14.125" bestFit="1" customWidth="1"/>
    <col min="14" max="14" width="14.375" bestFit="1" customWidth="1"/>
    <col min="15" max="15" width="14.125" bestFit="1" customWidth="1"/>
    <col min="16" max="72" width="19.125" bestFit="1" customWidth="1"/>
    <col min="73" max="73" width="10.75" bestFit="1" customWidth="1"/>
  </cols>
  <sheetData>
    <row r="1" spans="2:20" x14ac:dyDescent="0.3">
      <c r="N1" s="16">
        <f>Caixa!C3</f>
        <v>46253</v>
      </c>
      <c r="O1" s="16">
        <f>Caixa!P3</f>
        <v>46630</v>
      </c>
      <c r="P1" s="16">
        <f>Caixa!AB3</f>
        <v>46996</v>
      </c>
      <c r="Q1" s="16">
        <f>Caixa!AN3</f>
        <v>47361</v>
      </c>
      <c r="R1" s="16">
        <f>Caixa!AZ3</f>
        <v>47726</v>
      </c>
    </row>
    <row r="2" spans="2:20" ht="25.5" x14ac:dyDescent="0.5">
      <c r="B2" s="237"/>
      <c r="H2" s="1"/>
      <c r="I2" s="1"/>
      <c r="L2" s="237"/>
      <c r="M2" s="19"/>
      <c r="N2" s="16">
        <f>Caixa!O3</f>
        <v>46599</v>
      </c>
      <c r="O2" s="16">
        <f>Caixa!AA3</f>
        <v>46965</v>
      </c>
      <c r="P2" s="16">
        <f>Caixa!AM3</f>
        <v>47330</v>
      </c>
      <c r="Q2" s="16">
        <f>Caixa!AY3</f>
        <v>47695</v>
      </c>
      <c r="R2" s="16">
        <f>Caixa!BK3</f>
        <v>48060</v>
      </c>
    </row>
    <row r="3" spans="2:20" ht="25.5" x14ac:dyDescent="0.5">
      <c r="B3" s="237" t="s">
        <v>137</v>
      </c>
      <c r="C3" s="19" t="s">
        <v>133</v>
      </c>
      <c r="D3" s="27">
        <v>1</v>
      </c>
      <c r="E3" s="27">
        <v>2</v>
      </c>
      <c r="F3" s="27">
        <v>3</v>
      </c>
      <c r="G3" s="27">
        <v>4</v>
      </c>
      <c r="H3" s="27">
        <v>5</v>
      </c>
      <c r="I3" s="27"/>
      <c r="J3" s="131" t="s">
        <v>183</v>
      </c>
      <c r="L3" s="237" t="s">
        <v>172</v>
      </c>
      <c r="M3" s="19" t="s">
        <v>133</v>
      </c>
      <c r="N3" s="27">
        <v>1</v>
      </c>
      <c r="O3" s="27">
        <v>2</v>
      </c>
      <c r="P3" s="27">
        <v>3</v>
      </c>
      <c r="Q3" s="27">
        <v>4</v>
      </c>
      <c r="R3" s="27">
        <v>5</v>
      </c>
      <c r="T3" s="131" t="s">
        <v>183</v>
      </c>
    </row>
    <row r="4" spans="2:20" x14ac:dyDescent="0.3">
      <c r="B4" t="s">
        <v>177</v>
      </c>
      <c r="D4" s="270">
        <f>SUM(Caixa!D10:O10)</f>
        <v>43863775.855398268</v>
      </c>
      <c r="E4" s="270">
        <f>SUM(Caixa!P10:AA10)</f>
        <v>51335874.672811098</v>
      </c>
      <c r="F4" s="270">
        <f>SUM(Caixa!AB10:AM10)</f>
        <v>54100064.660106577</v>
      </c>
      <c r="G4" s="270">
        <f>SUM(Caixa!AN10:AY10)</f>
        <v>67392793.1467949</v>
      </c>
      <c r="H4" s="270">
        <f>SUM(Caixa!AZ10:BK10)</f>
        <v>90617325.685971186</v>
      </c>
      <c r="I4" s="272"/>
      <c r="J4" s="269">
        <f>SUM(D4:H4)-SUM(Caixa!$D$10:$BK$10)</f>
        <v>0</v>
      </c>
      <c r="L4" t="s">
        <v>177</v>
      </c>
      <c r="N4" s="213">
        <f>SUMIFS(Tabela1[Valor de Cessão],Tabela1[Data de Cessão],"&lt;="&amp;N2,Tabela1[Data de Cessão],"&gt;="&amp;N1)</f>
        <v>43863775.855398268</v>
      </c>
      <c r="O4" s="213">
        <f>SUMIFS(Tabela1[Valor de Cessão],Tabela1[Data de Cessão],"&lt;="&amp;O2,Tabela1[Data de Cessão],"&gt;="&amp;N2)</f>
        <v>51335874.672811098</v>
      </c>
      <c r="P4" s="213">
        <f>SUMIFS(Tabela1[Valor de Cessão],Tabela1[Data de Cessão],"&lt;="&amp;P2,Tabela1[Data de Cessão],"&gt;="&amp;O2)</f>
        <v>54100064.660106577</v>
      </c>
      <c r="Q4" s="213">
        <f>SUMIFS(Tabela1[Valor de Cessão],Tabela1[Data de Cessão],"&lt;="&amp;Q2,Tabela1[Data de Cessão],"&gt;="&amp;P2)</f>
        <v>67392793.1467949</v>
      </c>
      <c r="R4" s="213">
        <f>SUMIFS(Tabela1[Valor de Cessão],Tabela1[Data de Cessão],"&lt;="&amp;R2,Tabela1[Data de Cessão],"&gt;="&amp;Q2)</f>
        <v>90617325.685971186</v>
      </c>
      <c r="T4" s="269">
        <f>SUM(N4:R4)-SUM(Caixa!$D$10:$BK$10)</f>
        <v>0</v>
      </c>
    </row>
    <row r="5" spans="2:20" x14ac:dyDescent="0.3">
      <c r="B5" t="str">
        <f>Caixa!$B$24</f>
        <v xml:space="preserve">DCs Receita Financeira </v>
      </c>
      <c r="D5" s="213">
        <f>SUM(Caixa!D24:O24)</f>
        <v>2743874.6302590035</v>
      </c>
      <c r="E5" s="213">
        <f>SUM(Caixa!P24:AA24)</f>
        <v>4382759.9565636087</v>
      </c>
      <c r="F5" s="213">
        <f>SUM(Caixa!AB24:AM24)</f>
        <v>4656677.3630043622</v>
      </c>
      <c r="G5" s="213">
        <f>SUM(Caixa!AN24:AY24)</f>
        <v>5416515.7401238875</v>
      </c>
      <c r="H5" s="213">
        <f>SUM(Caixa!AZ24:BK24)</f>
        <v>7435810.0510127814</v>
      </c>
      <c r="I5" s="272"/>
      <c r="J5" s="269">
        <f>SUM(Resultados!D5:H5)-SUM(Caixa!$D$24:$BK$24)</f>
        <v>0</v>
      </c>
      <c r="L5" t="str">
        <f>Caixa!$B$24</f>
        <v xml:space="preserve">DCs Receita Financeira </v>
      </c>
      <c r="N5" s="213">
        <f>SUMIFS(Tabela1[[Deságio ]],Tabela1[Data de Cessão],"&lt;="&amp;N2,Tabela1[Data de Cessão],"&gt;="&amp;N1)</f>
        <v>3814241.3787302827</v>
      </c>
      <c r="O5" s="213">
        <f>SUMIFS(Tabela1[[Deságio ]],Tabela1[Data de Cessão],"&lt;="&amp;O2,Tabela1[Data de Cessão],"&gt;="&amp;N2)</f>
        <v>4463989.1019835705</v>
      </c>
      <c r="P5" s="213">
        <f>SUMIFS(Tabela1[[Deságio ]],Tabela1[Data de Cessão],"&lt;="&amp;P2,Tabela1[Data de Cessão],"&gt;="&amp;O2)</f>
        <v>4704353.4487049188</v>
      </c>
      <c r="Q5" s="213">
        <f>SUMIFS(Tabela1[[Deságio ]],Tabela1[Data de Cessão],"&lt;="&amp;Q2,Tabela1[Data de Cessão],"&gt;="&amp;P2)</f>
        <v>5860242.8823299892</v>
      </c>
      <c r="R5" s="213">
        <f>SUMIFS(Tabela1[[Deságio ]],Tabela1[Data de Cessão],"&lt;="&amp;R2,Tabela1[Data de Cessão],"&gt;="&amp;Q2)</f>
        <v>7879767.4509540107</v>
      </c>
      <c r="T5" s="21"/>
    </row>
    <row r="6" spans="2:20" x14ac:dyDescent="0.3">
      <c r="B6" t="str">
        <f>Caixa!$B$25</f>
        <v>Receita Aplicação de caixa</v>
      </c>
      <c r="D6" s="213">
        <f>SUM(Caixa!D25:O25)</f>
        <v>136070.44382737851</v>
      </c>
      <c r="E6" s="213">
        <f>SUM(Caixa!P25:AA25)</f>
        <v>61480.611050017033</v>
      </c>
      <c r="F6" s="213">
        <f>SUM(Caixa!AB25:AM25)</f>
        <v>70233.23985265533</v>
      </c>
      <c r="G6" s="213">
        <f>SUM(Caixa!AN25:AY25)</f>
        <v>27276.675246301151</v>
      </c>
      <c r="H6" s="213">
        <f>SUM(Caixa!AZ25:BK25)</f>
        <v>82745.874778584519</v>
      </c>
      <c r="I6" s="272"/>
      <c r="J6" s="269">
        <f>SUM(D6:H6)-SUM(Caixa!$D$25:$BK$25)</f>
        <v>0</v>
      </c>
      <c r="L6" t="str">
        <f>Caixa!$B$25</f>
        <v>Receita Aplicação de caixa</v>
      </c>
      <c r="N6" s="213">
        <f>SUM(Caixa!D25:O25)</f>
        <v>136070.44382737851</v>
      </c>
      <c r="O6" s="213">
        <f>SUM(Caixa!P25:AA25)</f>
        <v>61480.611050017033</v>
      </c>
      <c r="P6" s="213">
        <f>SUM(Caixa!AB25:AM25)</f>
        <v>70233.23985265533</v>
      </c>
      <c r="Q6" s="213">
        <f>SUM(Caixa!AN25:AY25)</f>
        <v>27276.675246301151</v>
      </c>
      <c r="R6" s="213">
        <f>SUM(Caixa!AZ25:BK25)</f>
        <v>82745.874778584519</v>
      </c>
      <c r="T6" s="269">
        <f>SUM(N6:R6)-SUM(Caixa!$D$25:$BK$25)</f>
        <v>0</v>
      </c>
    </row>
    <row r="7" spans="2:20" x14ac:dyDescent="0.3">
      <c r="B7" s="214" t="s">
        <v>135</v>
      </c>
      <c r="D7" s="240">
        <f>SUM(D5:D6)</f>
        <v>2879945.0740863821</v>
      </c>
      <c r="E7" s="240">
        <f t="shared" ref="E7:H7" si="0">SUM(E5:E6)</f>
        <v>4444240.5676136259</v>
      </c>
      <c r="F7" s="240">
        <f t="shared" si="0"/>
        <v>4726910.6028570179</v>
      </c>
      <c r="G7" s="240">
        <f t="shared" si="0"/>
        <v>5443792.4153701887</v>
      </c>
      <c r="H7" s="240">
        <f t="shared" si="0"/>
        <v>7518555.925791366</v>
      </c>
      <c r="I7" s="34"/>
      <c r="J7" s="26"/>
      <c r="L7" s="214" t="s">
        <v>135</v>
      </c>
      <c r="N7" s="240">
        <f>SUM(N5:N6)</f>
        <v>3950311.8225576612</v>
      </c>
      <c r="O7" s="240">
        <f t="shared" ref="O7:R7" si="1">SUM(O5:O6)</f>
        <v>4525469.7130335877</v>
      </c>
      <c r="P7" s="240">
        <f t="shared" si="1"/>
        <v>4774586.6885575745</v>
      </c>
      <c r="Q7" s="240">
        <f t="shared" si="1"/>
        <v>5887519.5575762903</v>
      </c>
      <c r="R7" s="240">
        <f t="shared" si="1"/>
        <v>7962513.3257325953</v>
      </c>
      <c r="T7" s="131"/>
    </row>
    <row r="8" spans="2:20" x14ac:dyDescent="0.3">
      <c r="B8" t="s">
        <v>102</v>
      </c>
      <c r="D8" s="213">
        <f>SUM(Caixa!$D$28:$O$28)</f>
        <v>339937.46666666667</v>
      </c>
      <c r="E8" s="213">
        <f>SUM(Caixa!$P$28:$AA$28)</f>
        <v>340930.28</v>
      </c>
      <c r="F8" s="213">
        <f>SUM(Caixa!$AB$28:$AM$28)</f>
        <v>340930.28</v>
      </c>
      <c r="G8" s="213">
        <f>SUM(Caixa!$AN$28:$AY$28)</f>
        <v>340930.28</v>
      </c>
      <c r="H8" s="213">
        <f>SUM(Caixa!$AZ$28:$BK$28)</f>
        <v>343959.81333333335</v>
      </c>
      <c r="I8" s="272"/>
      <c r="J8" s="269">
        <f>SUM(D8:H8)-SUM(Caixa!$D$28:$BK$28)</f>
        <v>0</v>
      </c>
      <c r="L8" t="s">
        <v>102</v>
      </c>
      <c r="N8" s="213">
        <f>SUM(Caixa!$D$28:$O$28)</f>
        <v>339937.46666666667</v>
      </c>
      <c r="O8" s="213">
        <f>SUM(Caixa!$P$28:$AA$28)</f>
        <v>340930.28</v>
      </c>
      <c r="P8" s="213">
        <f>SUM(Caixa!$AB$28:$AM$28)</f>
        <v>340930.28</v>
      </c>
      <c r="Q8" s="213">
        <f>SUM(Caixa!$AN$28:$AY$28)</f>
        <v>340930.28</v>
      </c>
      <c r="R8" s="213">
        <f>SUM(Caixa!$AZ$28:$BK$28)</f>
        <v>343959.81333333335</v>
      </c>
      <c r="T8" s="269">
        <f>SUM(N8:R8)-SUM(Caixa!$D$28:$BK$28)</f>
        <v>0</v>
      </c>
    </row>
    <row r="9" spans="2:20" x14ac:dyDescent="0.3">
      <c r="B9" t="s">
        <v>166</v>
      </c>
      <c r="D9" s="213">
        <f>SUM(Caixa!$D$36:$O$36)</f>
        <v>30790</v>
      </c>
      <c r="E9" s="213">
        <f>SUM(Caixa!$P$36:$AA$36)</f>
        <v>0</v>
      </c>
      <c r="F9" s="213">
        <f>SUM(Caixa!$AB$36:$AM$36)</f>
        <v>0</v>
      </c>
      <c r="G9" s="213">
        <f>SUM(Caixa!$AN$36:$AY$36)</f>
        <v>0</v>
      </c>
      <c r="H9" s="213">
        <f>SUM(Caixa!$AZ$36:$BK$36)</f>
        <v>0</v>
      </c>
      <c r="I9" s="272"/>
      <c r="J9" s="269">
        <f>SUM(D9:H9)-SUM(Caixa!$D$36:$BK$36)</f>
        <v>0</v>
      </c>
      <c r="L9" t="s">
        <v>166</v>
      </c>
      <c r="N9" s="213">
        <f>SUM(Caixa!$D$36:$O$36)</f>
        <v>30790</v>
      </c>
      <c r="O9" s="213">
        <f>SUM(Caixa!$P$36:$AA$36)</f>
        <v>0</v>
      </c>
      <c r="P9" s="213">
        <f>SUM(Caixa!$AB$36:$AM$36)</f>
        <v>0</v>
      </c>
      <c r="Q9" s="213">
        <f>SUM(Caixa!$AN$36:$AY$36)</f>
        <v>0</v>
      </c>
      <c r="R9" s="213">
        <f>SUM(Caixa!$AZ$36:$BK$36)</f>
        <v>0</v>
      </c>
      <c r="T9" s="269">
        <f>SUM(N9:R9)-SUM(Caixa!$D$36:$BK$36)</f>
        <v>0</v>
      </c>
    </row>
    <row r="10" spans="2:20" x14ac:dyDescent="0.3">
      <c r="B10" s="214" t="s">
        <v>136</v>
      </c>
      <c r="D10" s="240">
        <f>D7-SUM(D8:D9)</f>
        <v>2509217.6074197153</v>
      </c>
      <c r="E10" s="240">
        <f>E7-SUM(E8:E9)</f>
        <v>4103310.2876136256</v>
      </c>
      <c r="F10" s="240">
        <f>F7-SUM(F8:F9)</f>
        <v>4385980.3228570176</v>
      </c>
      <c r="G10" s="240">
        <f>G7-SUM(G8:G9)</f>
        <v>5102862.1353701884</v>
      </c>
      <c r="H10" s="240">
        <f>H7-SUM(H8:H9)</f>
        <v>7174596.1124580326</v>
      </c>
      <c r="I10" s="34"/>
      <c r="L10" s="214" t="s">
        <v>136</v>
      </c>
      <c r="N10" s="240">
        <f>N7-SUM(N8:N9)</f>
        <v>3579584.3558909944</v>
      </c>
      <c r="O10" s="240">
        <f>O7-SUM(O8:O9)</f>
        <v>4184539.4330335874</v>
      </c>
      <c r="P10" s="240">
        <f>P7-SUM(P8:P9)</f>
        <v>4433656.4085575743</v>
      </c>
      <c r="Q10" s="240">
        <f>Q7-SUM(Q8:Q9)</f>
        <v>5546589.2775762901</v>
      </c>
      <c r="R10" s="240">
        <f>R7-SUM(R8:R9)</f>
        <v>7618553.5123992618</v>
      </c>
    </row>
    <row r="12" spans="2:20" x14ac:dyDescent="0.3">
      <c r="B12" s="246" t="s">
        <v>130</v>
      </c>
      <c r="C12" s="19"/>
      <c r="D12" s="31"/>
      <c r="E12" s="31"/>
      <c r="F12" s="31"/>
      <c r="G12" s="31"/>
      <c r="H12" s="31"/>
      <c r="I12" s="31"/>
      <c r="L12" s="246" t="s">
        <v>130</v>
      </c>
      <c r="M12" s="19"/>
      <c r="N12" s="31"/>
      <c r="O12" s="31"/>
      <c r="P12" s="31"/>
      <c r="Q12" s="31"/>
      <c r="R12" s="31"/>
    </row>
    <row r="13" spans="2:20" x14ac:dyDescent="0.3">
      <c r="B13" t="s">
        <v>131</v>
      </c>
      <c r="C13" t="str">
        <f>"CDI"&amp;" + "&amp;" "&amp;Classes!$R$4*100&amp;",00%"</f>
        <v>CDI +  2,00%</v>
      </c>
      <c r="D13" s="241">
        <f>SUM(Caixa!$D$42:$O$42)</f>
        <v>0</v>
      </c>
      <c r="E13" s="241">
        <f>SUM(Caixa!$P$42:$AA$42)</f>
        <v>669175.11528402928</v>
      </c>
      <c r="F13" s="241">
        <f>SUM(Caixa!$AB$42:$AM$42)</f>
        <v>0</v>
      </c>
      <c r="G13" s="241">
        <f>SUM(Caixa!$AN$42:$AY$42)</f>
        <v>0</v>
      </c>
      <c r="H13" s="241">
        <f>SUM(Caixa!$AZ$42:$BK$42)</f>
        <v>0</v>
      </c>
      <c r="I13" s="245"/>
      <c r="J13" s="269">
        <f>SUM(D13:H13)-SUM(Caixa!$D$42:$BK$42)</f>
        <v>0</v>
      </c>
      <c r="L13" t="s">
        <v>131</v>
      </c>
      <c r="M13" t="str">
        <f>"CDI"&amp;" + "&amp;" "&amp;Classes!$R$4*100&amp;",00%"</f>
        <v>CDI +  2,00%</v>
      </c>
      <c r="N13" s="108">
        <f>SUMIFS(Classes!$V$11:$V$70,Classes!$Q$11:$Q$70,"&lt;="&amp;N2,Classes!$Q$11:$Q$70,"&gt;="&amp;N1)*_xlfn.XLOOKUP(N2,Classes!$Q$11:$Q$70,Classes!$S$11:$S$70)</f>
        <v>410181.06181409996</v>
      </c>
      <c r="O13" s="108">
        <f>SUMIFS(Classes!$V$11:$V$70,Classes!$Q$11:$Q$70,"&lt;="&amp;O2,Classes!$Q$11:$Q$70,"&gt;="&amp;O1)*_xlfn.XLOOKUP(O2,Classes!$Q$11:$Q$70,Classes!$S$11:$S$70)</f>
        <v>258994.05346992932</v>
      </c>
      <c r="P13" s="108">
        <f>SUMIFS(Classes!$V$11:$V$70,Classes!$Q$11:$Q$70,"&lt;="&amp;P2,Classes!$Q$11:$Q$70,"&gt;="&amp;P1)*_xlfn.XLOOKUP(P2,Classes!$Q$11:$Q$70,Classes!$S$11:$S$70)</f>
        <v>1.3649637498039285E-11</v>
      </c>
      <c r="Q13" s="108">
        <f>SUMIFS(Classes!$V$11:$V$70,Classes!$Q$11:$Q$70,"&lt;="&amp;Q2,Classes!$Q$11:$Q$70,"&gt;="&amp;Q1)*_xlfn.XLOOKUP(Q2,Classes!$Q$11:$Q$70,Classes!$S$11:$S$70)</f>
        <v>1.6326566450331128E-11</v>
      </c>
      <c r="R13" s="108">
        <f>SUMIFS(Classes!$V$11:$V$70,Classes!$Q$11:$Q$70,"&lt;="&amp;R2,Classes!$Q$11:$Q$70,"&gt;="&amp;R1)*_xlfn.XLOOKUP(R2,Classes!$Q$11:$Q$70,Classes!$S$11:$S$70)</f>
        <v>1.9396554382535655E-11</v>
      </c>
      <c r="T13" s="269">
        <f>SUM(N13:R13)-SUM(Caixa!$D$42:$BK$42)</f>
        <v>0</v>
      </c>
    </row>
    <row r="14" spans="2:20" x14ac:dyDescent="0.3">
      <c r="B14" t="s">
        <v>132</v>
      </c>
      <c r="C14" t="str">
        <f>"CDI"&amp;" + "&amp;" "&amp;Classes!$AG$4*100&amp;",00%"</f>
        <v>CDI +  3,00%</v>
      </c>
      <c r="D14" s="241">
        <f>SUM(Caixa!$D$46:$O$46)</f>
        <v>0</v>
      </c>
      <c r="E14" s="241">
        <f>SUM(Caixa!$P$46:$AA$46)</f>
        <v>0</v>
      </c>
      <c r="F14" s="241">
        <f>SUM(Caixa!$AB$46:$AM$46)</f>
        <v>1337705.3373006193</v>
      </c>
      <c r="G14" s="241">
        <f>SUM(Caixa!$AN$46:$AY$46)</f>
        <v>0</v>
      </c>
      <c r="H14" s="241">
        <f>SUM(Caixa!$AZ$46:$BK$46)</f>
        <v>0</v>
      </c>
      <c r="I14" s="245"/>
      <c r="J14" s="269">
        <f>SUM(D14:H14)-SUM(Caixa!$D$46:$BK$46)</f>
        <v>0</v>
      </c>
      <c r="L14" t="s">
        <v>132</v>
      </c>
      <c r="M14" t="str">
        <f>"CDI"&amp;" + "&amp;" "&amp;Classes!$AG$4*100&amp;",00%"</f>
        <v>CDI +  3,00%</v>
      </c>
      <c r="N14" s="108">
        <f>SUMIFS(Classes!$AK$11:$AK$70,Classes!$AF$11:$AF$70,"&lt;="&amp;N2,Classes!$AF$11:$AF$70,"&gt;="&amp;N1)*_xlfn.XLOOKUP(N2,Classes!$AF$11:$AF$70,Classes!$AH$11:$AH$70)</f>
        <v>439167.37267700542</v>
      </c>
      <c r="O14" s="108">
        <f>SUMIFS(Classes!$AK$11:$AK$70,Classes!$AF$11:$AF$70,"&lt;="&amp;O2,Classes!$AF$11:$AF$70,"&gt;="&amp;O1)*_xlfn.XLOOKUP(O2,Classes!$AF$11:$AF$70,Classes!$AH$11:$AH$70)</f>
        <v>560107.73847811844</v>
      </c>
      <c r="P14" s="108">
        <f>SUMIFS(Classes!$AK$11:$AK$70,Classes!$AF$11:$AF$70,"&lt;="&amp;P2,Classes!$AF$11:$AF$70,"&gt;="&amp;P1)*_xlfn.XLOOKUP(P2,Classes!$AF$11:$AF$70,Classes!$AH$11:$AH$70)</f>
        <v>338430.22614549403</v>
      </c>
      <c r="Q14" s="108">
        <f>SUMIFS(Classes!$AK$11:$AK$70,Classes!$AF$11:$AF$70,"&lt;="&amp;Q2,Classes!$AF$11:$AF$70,"&gt;="&amp;Q1)*_xlfn.XLOOKUP(Q2,Classes!$AF$11:$AF$70,Classes!$AH$11:$AH$70)</f>
        <v>-2.0497660832140413E-10</v>
      </c>
      <c r="R14" s="108">
        <f>SUMIFS(Classes!$AK$11:$AK$70,Classes!$AF$11:$AF$70,"&lt;="&amp;R2,Classes!$AF$11:$AF$70,"&gt;="&amp;R1)*_xlfn.XLOOKUP(R2,Classes!$AF$11:$AF$70,Classes!$AH$11:$AH$70)</f>
        <v>-2.4602411807824292E-10</v>
      </c>
      <c r="T14" s="269">
        <f>SUM(N14:R14)-SUM(Caixa!$D$46:$BK$46)</f>
        <v>-1.862645149230957E-9</v>
      </c>
    </row>
    <row r="15" spans="2:20" x14ac:dyDescent="0.3">
      <c r="B15" s="238" t="s">
        <v>178</v>
      </c>
      <c r="D15" s="239">
        <f>D10-SUM(D13:D14)</f>
        <v>2509217.6074197153</v>
      </c>
      <c r="E15" s="239">
        <f t="shared" ref="E15:H15" si="2">E10-SUM(E13:E14)</f>
        <v>3434135.1723295962</v>
      </c>
      <c r="F15" s="239">
        <f t="shared" si="2"/>
        <v>3048274.9855563985</v>
      </c>
      <c r="G15" s="239">
        <f t="shared" si="2"/>
        <v>5102862.1353701884</v>
      </c>
      <c r="H15" s="239">
        <f t="shared" si="2"/>
        <v>7174596.1124580326</v>
      </c>
      <c r="I15" s="171"/>
      <c r="J15" s="240">
        <f>SUM(D15:H15)-(Caixa!$BK$59-Caixa!$C$59)</f>
        <v>3.7252902984619141E-8</v>
      </c>
      <c r="L15" s="238" t="s">
        <v>178</v>
      </c>
      <c r="N15" s="239">
        <f>N10-N14-N13</f>
        <v>2730235.921399889</v>
      </c>
      <c r="O15" s="239">
        <f>O10-O14-O13</f>
        <v>3365437.6410855395</v>
      </c>
      <c r="P15" s="239">
        <f>P10-P14-P13</f>
        <v>4095226.1824120805</v>
      </c>
      <c r="Q15" s="239">
        <f>Q10-Q14-Q13</f>
        <v>5546589.2775762901</v>
      </c>
      <c r="R15" s="239">
        <f>R10-R14-R13</f>
        <v>7618553.5123992618</v>
      </c>
      <c r="T15" s="21"/>
    </row>
    <row r="16" spans="2:20" x14ac:dyDescent="0.3">
      <c r="B16" t="s">
        <v>175</v>
      </c>
      <c r="D16" s="243">
        <f>D15*15%</f>
        <v>376382.64111295727</v>
      </c>
      <c r="E16" s="243">
        <f t="shared" ref="E16:H16" si="3">E15*15%</f>
        <v>515120.27584943944</v>
      </c>
      <c r="F16" s="243">
        <f t="shared" si="3"/>
        <v>457241.24783345975</v>
      </c>
      <c r="G16" s="243">
        <f t="shared" si="3"/>
        <v>765429.32030552824</v>
      </c>
      <c r="H16" s="243">
        <f t="shared" si="3"/>
        <v>1076189.4168687048</v>
      </c>
      <c r="I16" s="112"/>
      <c r="L16" t="s">
        <v>175</v>
      </c>
      <c r="N16" s="243">
        <f>N15*15%</f>
        <v>409535.38820998336</v>
      </c>
      <c r="O16" s="243">
        <f t="shared" ref="O16:R16" si="4">O15*15%</f>
        <v>504815.64616283088</v>
      </c>
      <c r="P16" s="243">
        <f t="shared" si="4"/>
        <v>614283.92736181209</v>
      </c>
      <c r="Q16" s="243">
        <f t="shared" si="4"/>
        <v>831988.39163644344</v>
      </c>
      <c r="R16" s="243">
        <f t="shared" si="4"/>
        <v>1142783.0268598893</v>
      </c>
    </row>
    <row r="17" spans="1:20" x14ac:dyDescent="0.3">
      <c r="B17" s="19" t="s">
        <v>174</v>
      </c>
      <c r="D17" s="239">
        <f>D15-D16</f>
        <v>2132834.9663067581</v>
      </c>
      <c r="E17" s="239">
        <f t="shared" ref="E17:H17" si="5">E15-E16</f>
        <v>2919014.896480157</v>
      </c>
      <c r="F17" s="239">
        <f t="shared" si="5"/>
        <v>2591033.7377229389</v>
      </c>
      <c r="G17" s="239">
        <f t="shared" si="5"/>
        <v>4337432.8150646603</v>
      </c>
      <c r="H17" s="239">
        <f t="shared" si="5"/>
        <v>6098406.6955893282</v>
      </c>
      <c r="I17" s="171"/>
      <c r="L17" s="19" t="s">
        <v>174</v>
      </c>
      <c r="N17" s="239">
        <f>N15-N16</f>
        <v>2320700.5331899058</v>
      </c>
      <c r="O17" s="239">
        <f t="shared" ref="O17:R17" si="6">O15-O16</f>
        <v>2860621.9949227087</v>
      </c>
      <c r="P17" s="239">
        <f t="shared" si="6"/>
        <v>3480942.2550502685</v>
      </c>
      <c r="Q17" s="239">
        <f t="shared" si="6"/>
        <v>4714600.8859398467</v>
      </c>
      <c r="R17" s="239">
        <f t="shared" si="6"/>
        <v>6475770.485539373</v>
      </c>
    </row>
    <row r="18" spans="1:20" x14ac:dyDescent="0.3">
      <c r="D18" s="112"/>
      <c r="E18" s="112"/>
      <c r="F18" s="112"/>
      <c r="G18" s="112"/>
      <c r="H18" s="112"/>
      <c r="I18" s="112"/>
    </row>
    <row r="19" spans="1:20" x14ac:dyDescent="0.3">
      <c r="A19" s="242"/>
      <c r="B19" s="242"/>
      <c r="C19" s="242"/>
      <c r="D19" s="226"/>
      <c r="E19" s="242"/>
      <c r="F19" s="242"/>
      <c r="G19" s="242"/>
      <c r="H19" s="242"/>
      <c r="I19" s="242"/>
      <c r="K19" s="242"/>
      <c r="L19" s="242"/>
      <c r="M19" s="242"/>
      <c r="N19" s="242"/>
      <c r="O19" s="242"/>
      <c r="P19" s="242"/>
      <c r="Q19" s="242"/>
      <c r="R19" s="242"/>
    </row>
    <row r="20" spans="1:20" ht="25.5" x14ac:dyDescent="0.5">
      <c r="B20" s="237" t="s">
        <v>137</v>
      </c>
      <c r="C20" s="19" t="s">
        <v>133</v>
      </c>
      <c r="D20" s="27">
        <v>1</v>
      </c>
      <c r="E20" s="27">
        <v>2</v>
      </c>
      <c r="F20" s="27">
        <v>3</v>
      </c>
      <c r="G20" s="27">
        <v>4</v>
      </c>
      <c r="H20" s="27">
        <v>5</v>
      </c>
      <c r="I20" s="27"/>
      <c r="L20" s="237" t="s">
        <v>172</v>
      </c>
      <c r="M20" s="19" t="s">
        <v>133</v>
      </c>
      <c r="N20" s="27">
        <v>1</v>
      </c>
      <c r="O20" s="27">
        <v>2</v>
      </c>
      <c r="P20" s="27">
        <v>3</v>
      </c>
      <c r="Q20" s="27">
        <v>4</v>
      </c>
      <c r="R20" s="27">
        <v>5</v>
      </c>
    </row>
    <row r="21" spans="1:20" x14ac:dyDescent="0.3">
      <c r="B21" t="s">
        <v>177</v>
      </c>
      <c r="D21" s="240">
        <f>SUM(Caixa!D10:O10)</f>
        <v>43863775.855398268</v>
      </c>
      <c r="E21" s="240">
        <f>SUM(Caixa!P10:AA10)</f>
        <v>51335874.672811098</v>
      </c>
      <c r="F21" s="240">
        <f>SUM(Caixa!AB10:AM10)</f>
        <v>54100064.660106577</v>
      </c>
      <c r="G21" s="240">
        <f>SUM(Caixa!AN10:AY10)</f>
        <v>67392793.1467949</v>
      </c>
      <c r="H21" s="240">
        <f>SUM(Caixa!AZ10:BK10)</f>
        <v>90617325.685971186</v>
      </c>
      <c r="I21" s="34"/>
      <c r="J21" s="269">
        <f>SUM(D21:H21)-SUM(Caixa!$D$10:$BK$10)</f>
        <v>0</v>
      </c>
      <c r="L21" t="s">
        <v>177</v>
      </c>
      <c r="N21" s="240">
        <f>SUMIFS(Tabela1[Valor de Cessão],Tabela1[Data de Cessão],"&lt;="&amp;N2,Tabela1[Data de Cessão],"&gt;="&amp;N1)</f>
        <v>43863775.855398268</v>
      </c>
      <c r="O21" s="240">
        <f>SUMIFS(Tabela1[Valor de Cessão],Tabela1[Data de Cessão],"&lt;="&amp;O2,Tabela1[Data de Cessão],"&gt;="&amp;N2)</f>
        <v>51335874.672811098</v>
      </c>
      <c r="P21" s="240">
        <f>SUMIFS(Tabela1[Valor de Cessão],Tabela1[Data de Cessão],"&lt;="&amp;P2,Tabela1[Data de Cessão],"&gt;="&amp;O2)</f>
        <v>54100064.660106577</v>
      </c>
      <c r="Q21" s="240">
        <f>SUMIFS(Tabela1[Valor de Cessão],Tabela1[Data de Cessão],"&lt;="&amp;Q2,Tabela1[Data de Cessão],"&gt;="&amp;P2)</f>
        <v>67392793.1467949</v>
      </c>
      <c r="R21" s="240">
        <f>SUMIFS(Tabela1[Valor de Cessão],Tabela1[Data de Cessão],"&lt;="&amp;R2,Tabela1[Data de Cessão],"&gt;="&amp;Q2)</f>
        <v>90617325.685971186</v>
      </c>
      <c r="T21" s="269">
        <f>SUM(N21:R21)-SUM(Caixa!$D$10:$BK$10)</f>
        <v>0</v>
      </c>
    </row>
    <row r="22" spans="1:20" x14ac:dyDescent="0.3">
      <c r="B22" t="str">
        <f>Caixa!$B$24</f>
        <v xml:space="preserve">DCs Receita Financeira </v>
      </c>
      <c r="D22" s="108">
        <f>SUM(Caixa!D24:O24)</f>
        <v>2743874.6302590035</v>
      </c>
      <c r="E22" s="108">
        <f>SUM(Caixa!P24:AA24)</f>
        <v>4382759.9565636087</v>
      </c>
      <c r="F22" s="108">
        <f>SUM(Caixa!AB24:AM24)</f>
        <v>4656677.3630043622</v>
      </c>
      <c r="G22" s="108">
        <f>SUM(Caixa!AN24:AY24)</f>
        <v>5416515.7401238875</v>
      </c>
      <c r="H22" s="108">
        <f>SUM(Caixa!AZ24:BK24)</f>
        <v>7435810.0510127814</v>
      </c>
      <c r="I22" s="1"/>
      <c r="J22" s="269">
        <f>SUM(Resultados!D22:H22)-SUM(Caixa!$D$24:$BK$24)</f>
        <v>0</v>
      </c>
      <c r="L22" t="str">
        <f>Caixa!$B$24</f>
        <v xml:space="preserve">DCs Receita Financeira </v>
      </c>
      <c r="N22" s="108">
        <f>SUMIFS(Tabela1[[Deságio ]],Tabela1[Data de Cessão],"&lt;="&amp;N2,Tabela1[Data de Cessão],"&gt;="&amp;N1)</f>
        <v>3814241.3787302827</v>
      </c>
      <c r="O22" s="108">
        <f>SUMIFS(Tabela1[[Deságio ]],Tabela1[Data de Cessão],"&lt;="&amp;O2,Tabela1[Data de Cessão],"&gt;="&amp;N2)</f>
        <v>4463989.1019835705</v>
      </c>
      <c r="P22" s="108">
        <f>SUMIFS(Tabela1[[Deságio ]],Tabela1[Data de Cessão],"&lt;="&amp;P2,Tabela1[Data de Cessão],"&gt;="&amp;O2)</f>
        <v>4704353.4487049188</v>
      </c>
      <c r="Q22" s="108">
        <f>SUMIFS(Tabela1[[Deságio ]],Tabela1[Data de Cessão],"&lt;="&amp;Q2,Tabela1[Data de Cessão],"&gt;="&amp;P2)</f>
        <v>5860242.8823299892</v>
      </c>
      <c r="R22" s="108">
        <f>SUMIFS(Tabela1[[Deságio ]],Tabela1[Data de Cessão],"&lt;="&amp;R2,Tabela1[Data de Cessão],"&gt;="&amp;Q2)</f>
        <v>7879767.4509540107</v>
      </c>
      <c r="T22" s="21"/>
    </row>
    <row r="23" spans="1:20" x14ac:dyDescent="0.3">
      <c r="B23" t="s">
        <v>176</v>
      </c>
      <c r="C23" s="267">
        <v>0.34</v>
      </c>
      <c r="D23" s="108">
        <f>D22*34%</f>
        <v>932917.37428806128</v>
      </c>
      <c r="E23" s="108">
        <f t="shared" ref="E23:H23" si="7">E22*34%</f>
        <v>1490138.3852316272</v>
      </c>
      <c r="F23" s="108">
        <f t="shared" si="7"/>
        <v>1583270.3034214834</v>
      </c>
      <c r="G23" s="108">
        <f t="shared" si="7"/>
        <v>1841615.3516421218</v>
      </c>
      <c r="H23" s="108">
        <f t="shared" si="7"/>
        <v>2528175.4173443457</v>
      </c>
      <c r="I23" s="1"/>
      <c r="L23" t="s">
        <v>176</v>
      </c>
      <c r="M23" s="267">
        <v>0.34</v>
      </c>
      <c r="N23" s="108">
        <f>N22*34%</f>
        <v>1296842.0687682962</v>
      </c>
      <c r="O23" s="108">
        <f t="shared" ref="O23:R23" si="8">O22*34%</f>
        <v>1517756.294674414</v>
      </c>
      <c r="P23" s="108">
        <f t="shared" si="8"/>
        <v>1599480.1725596725</v>
      </c>
      <c r="Q23" s="108">
        <f t="shared" si="8"/>
        <v>1992482.5799921965</v>
      </c>
      <c r="R23" s="108">
        <f t="shared" si="8"/>
        <v>2679120.933324364</v>
      </c>
    </row>
    <row r="24" spans="1:20" x14ac:dyDescent="0.3">
      <c r="B24" t="str">
        <f>Caixa!$B$25</f>
        <v>Receita Aplicação de caixa</v>
      </c>
      <c r="D24" s="108">
        <f>SUM(Caixa!$D$25:$O$25)</f>
        <v>136070.44382737851</v>
      </c>
      <c r="E24" s="108">
        <f>SUM(Caixa!$P$25:$AA$25)</f>
        <v>61480.611050017033</v>
      </c>
      <c r="F24" s="108">
        <f>SUM(Caixa!$AB$25:$AM$25)</f>
        <v>70233.23985265533</v>
      </c>
      <c r="G24" s="108">
        <f>SUM(Caixa!$AN$25:$AY$25)</f>
        <v>27276.675246301151</v>
      </c>
      <c r="H24" s="108">
        <f>SUM(Caixa!$AZ$25:$BK$25)</f>
        <v>82745.874778584519</v>
      </c>
      <c r="I24" s="1"/>
      <c r="J24" s="269">
        <f>SUM(D24:H24)-SUM(Caixa!$D$25:$BK$25)</f>
        <v>0</v>
      </c>
      <c r="L24" t="str">
        <f>Caixa!$B$25</f>
        <v>Receita Aplicação de caixa</v>
      </c>
      <c r="N24" s="108">
        <f>SUM(Caixa!$D$25:$O$25)</f>
        <v>136070.44382737851</v>
      </c>
      <c r="O24" s="108">
        <f>SUM(Caixa!$P$25:$AA$25)</f>
        <v>61480.611050017033</v>
      </c>
      <c r="P24" s="108">
        <f>SUM(Caixa!$AB$25:$AM$25)</f>
        <v>70233.23985265533</v>
      </c>
      <c r="Q24" s="108">
        <f>SUM(Caixa!$AN$25:$AY$25)</f>
        <v>27276.675246301151</v>
      </c>
      <c r="R24" s="108">
        <f>SUM(Caixa!$AZ$25:$BK$25)</f>
        <v>82745.874778584519</v>
      </c>
      <c r="T24" s="269">
        <f>SUM(N24:R24)-SUM(Caixa!$D$25:$BK$25)</f>
        <v>0</v>
      </c>
    </row>
    <row r="25" spans="1:20" x14ac:dyDescent="0.3">
      <c r="B25" s="214" t="s">
        <v>173</v>
      </c>
      <c r="D25" s="212">
        <f>D23+D24</f>
        <v>1068987.8181154397</v>
      </c>
      <c r="E25" s="212">
        <f t="shared" ref="E25:H25" si="9">E23+E24</f>
        <v>1551618.9962816441</v>
      </c>
      <c r="F25" s="212">
        <f t="shared" si="9"/>
        <v>1653503.5432741386</v>
      </c>
      <c r="G25" s="212">
        <f t="shared" si="9"/>
        <v>1868892.0268884229</v>
      </c>
      <c r="H25" s="212">
        <f t="shared" si="9"/>
        <v>2610921.2921229303</v>
      </c>
      <c r="I25" s="44"/>
      <c r="L25" s="214" t="s">
        <v>173</v>
      </c>
      <c r="N25" s="212">
        <f t="shared" ref="N25:R25" si="10">N23+N24</f>
        <v>1432912.5125956747</v>
      </c>
      <c r="O25" s="212">
        <f t="shared" si="10"/>
        <v>1579236.9057244309</v>
      </c>
      <c r="P25" s="212">
        <f t="shared" si="10"/>
        <v>1669713.4124123277</v>
      </c>
      <c r="Q25" s="212">
        <f t="shared" si="10"/>
        <v>2019759.2552384976</v>
      </c>
      <c r="R25" s="212">
        <f t="shared" si="10"/>
        <v>2761866.8081029486</v>
      </c>
    </row>
    <row r="26" spans="1:20" x14ac:dyDescent="0.3">
      <c r="B26" t="s">
        <v>102</v>
      </c>
      <c r="D26" s="213">
        <f>SUM(Caixa!$D$28:$O$28)</f>
        <v>339937.46666666667</v>
      </c>
      <c r="E26" s="213">
        <f>SUM(Caixa!$P$28:$AA$28)</f>
        <v>340930.28</v>
      </c>
      <c r="F26" s="213">
        <f>SUM(Caixa!$AB$28:$AM$28)</f>
        <v>340930.28</v>
      </c>
      <c r="G26" s="213">
        <f>SUM(Caixa!$AN$28:$AY$28)</f>
        <v>340930.28</v>
      </c>
      <c r="H26" s="213">
        <f>SUM(Caixa!$AZ$28:$BK$28)</f>
        <v>343959.81333333335</v>
      </c>
      <c r="I26" s="1"/>
      <c r="J26" s="269">
        <f>SUM(D26:H26)-SUM(Caixa!$D$28:$BK$28)</f>
        <v>0</v>
      </c>
      <c r="L26" t="s">
        <v>102</v>
      </c>
      <c r="N26" s="213">
        <f>SUM(Caixa!$D$28:$O$28)</f>
        <v>339937.46666666667</v>
      </c>
      <c r="O26" s="213">
        <f>SUM(Caixa!$P$28:$AA$28)</f>
        <v>340930.28</v>
      </c>
      <c r="P26" s="213">
        <f>SUM(Caixa!$AB$28:$AM$28)</f>
        <v>340930.28</v>
      </c>
      <c r="Q26" s="213">
        <f>SUM(Caixa!$AN$28:$AY$28)</f>
        <v>340930.28</v>
      </c>
      <c r="R26" s="213">
        <f>SUM(Caixa!$AZ$28:$BK$28)</f>
        <v>343959.81333333335</v>
      </c>
      <c r="T26" s="269">
        <f>SUM(N26:R26)-SUM(Caixa!$D$28:$BK$28)</f>
        <v>0</v>
      </c>
    </row>
    <row r="27" spans="1:20" x14ac:dyDescent="0.3">
      <c r="B27" t="s">
        <v>166</v>
      </c>
      <c r="D27" s="213">
        <f>SUM(Caixa!$D$36:$O$36)</f>
        <v>30790</v>
      </c>
      <c r="E27" s="213">
        <f>SUM(Caixa!$P$36:$AA$36)</f>
        <v>0</v>
      </c>
      <c r="F27" s="213">
        <f>SUM(Caixa!$AB$36:$AM$36)</f>
        <v>0</v>
      </c>
      <c r="G27" s="213">
        <f>SUM(Caixa!$AN$36:$AY$36)</f>
        <v>0</v>
      </c>
      <c r="H27" s="213">
        <f>SUM(Caixa!$AZ$36:$BK$36)</f>
        <v>0</v>
      </c>
      <c r="J27" s="269">
        <f>SUM(D27:H27)-SUM(Caixa!$D$36:$BK$36)</f>
        <v>0</v>
      </c>
      <c r="L27" t="s">
        <v>166</v>
      </c>
      <c r="N27" s="213">
        <f>SUM(Caixa!$D$36:$O$36)</f>
        <v>30790</v>
      </c>
      <c r="O27" s="213">
        <f>SUM(Caixa!$P$36:$AA$36)</f>
        <v>0</v>
      </c>
      <c r="P27" s="213">
        <f>SUM(Caixa!$AB$36:$AM$36)</f>
        <v>0</v>
      </c>
      <c r="Q27" s="213">
        <f>SUM(Caixa!$AN$36:$AY$36)</f>
        <v>0</v>
      </c>
      <c r="R27" s="213">
        <f>SUM(Caixa!$AZ$36:$BK$36)</f>
        <v>0</v>
      </c>
      <c r="T27" s="269">
        <f>SUM(N27:R27)-SUM(Caixa!$D$36:$BK$36)</f>
        <v>0</v>
      </c>
    </row>
    <row r="28" spans="1:20" x14ac:dyDescent="0.3">
      <c r="D28" s="1"/>
      <c r="N28" s="1"/>
    </row>
    <row r="29" spans="1:20" x14ac:dyDescent="0.3">
      <c r="B29" s="246" t="s">
        <v>130</v>
      </c>
      <c r="C29" s="19"/>
      <c r="D29" s="1"/>
      <c r="L29" s="246" t="s">
        <v>130</v>
      </c>
      <c r="M29" s="19"/>
      <c r="N29" s="1"/>
    </row>
    <row r="30" spans="1:20" x14ac:dyDescent="0.3">
      <c r="B30" t="s">
        <v>131</v>
      </c>
      <c r="C30" t="str">
        <f>"CDI"&amp;" + "&amp;" "&amp;Classes!$R$4*100&amp;",00%"</f>
        <v>CDI +  2,00%</v>
      </c>
      <c r="D30" s="241">
        <f>SUM(Caixa!$D$42:$O$42)</f>
        <v>0</v>
      </c>
      <c r="E30" s="241">
        <f>SUM(Caixa!$P$42:$AA$42)</f>
        <v>669175.11528402928</v>
      </c>
      <c r="F30" s="241">
        <f>SUM(Caixa!$AB$42:$AM$42)</f>
        <v>0</v>
      </c>
      <c r="G30" s="241">
        <f>SUM(Caixa!$AN$42:$AY$42)</f>
        <v>0</v>
      </c>
      <c r="H30" s="241">
        <f>SUM(Caixa!$AZ$42:$BK$42)</f>
        <v>0</v>
      </c>
      <c r="I30" s="245"/>
      <c r="J30" s="269">
        <f>SUM(D30:H30)-SUM(Caixa!$D$42:$BK$42)</f>
        <v>0</v>
      </c>
      <c r="L30" t="s">
        <v>131</v>
      </c>
      <c r="M30" t="str">
        <f>"CDI"&amp;" + "&amp;" "&amp;Classes!$R$4*100&amp;",00%"</f>
        <v>CDI +  2,00%</v>
      </c>
      <c r="N30" s="108">
        <f>SUMIFS(Classes!$V$11:$V$70,Classes!$Q$11:$Q$70,"&lt;="&amp;N2,Classes!$Q$11:$Q$70,"&gt;="&amp;N1)*_xlfn.XLOOKUP(N2,Classes!$Q$11:$Q$70,Classes!$S$11:$S$70)</f>
        <v>410181.06181409996</v>
      </c>
      <c r="O30" s="108">
        <f>SUMIFS(Classes!$V$11:$V$70,Classes!$Q$11:$Q$70,"&lt;="&amp;O2,Classes!$Q$11:$Q$70,"&gt;="&amp;O1)*_xlfn.XLOOKUP(O2,Classes!$Q$11:$Q$70,Classes!$S$11:$S$70)</f>
        <v>258994.05346992932</v>
      </c>
      <c r="P30" s="108">
        <f>SUMIFS(Classes!$V$11:$V$70,Classes!$Q$11:$Q$70,"&lt;="&amp;P2,Classes!$Q$11:$Q$70,"&gt;="&amp;P1)*_xlfn.XLOOKUP(P2,Classes!$Q$11:$Q$70,Classes!$S$11:$S$70)</f>
        <v>1.3649637498039285E-11</v>
      </c>
      <c r="Q30" s="108">
        <f>SUMIFS(Classes!$V$11:$V$70,Classes!$Q$11:$Q$70,"&lt;="&amp;Q2,Classes!$Q$11:$Q$70,"&gt;="&amp;Q1)*_xlfn.XLOOKUP(Q2,Classes!$Q$11:$Q$70,Classes!$S$11:$S$70)</f>
        <v>1.6326566450331128E-11</v>
      </c>
      <c r="R30" s="108">
        <f>SUMIFS(Classes!$V$11:$V$70,Classes!$Q$11:$Q$70,"&lt;="&amp;R2,Classes!$Q$11:$Q$70,"&gt;="&amp;R1)*_xlfn.XLOOKUP(R2,Classes!$Q$11:$Q$70,Classes!$S$11:$S$70)</f>
        <v>1.9396554382535655E-11</v>
      </c>
      <c r="T30" s="269">
        <f>SUM(N30:R30)-SUM(Caixa!$D$42:$BK$42)</f>
        <v>0</v>
      </c>
    </row>
    <row r="31" spans="1:20" x14ac:dyDescent="0.3">
      <c r="B31" t="s">
        <v>132</v>
      </c>
      <c r="C31" t="str">
        <f>"CDI"&amp;" + "&amp;" "&amp;Classes!$AG$4*100&amp;",00%"</f>
        <v>CDI +  3,00%</v>
      </c>
      <c r="D31" s="241">
        <f>SUM(Caixa!$D$46:$O$46)</f>
        <v>0</v>
      </c>
      <c r="E31" s="241">
        <f>SUM(Caixa!$P$46:$AA$46)</f>
        <v>0</v>
      </c>
      <c r="F31" s="241">
        <f>SUM(Caixa!$AB$46:$AM$46)</f>
        <v>1337705.3373006193</v>
      </c>
      <c r="G31" s="241">
        <f>SUM(Caixa!$AN$46:$AY$46)</f>
        <v>0</v>
      </c>
      <c r="H31" s="241">
        <f>SUM(Caixa!$AZ$46:$BK$46)</f>
        <v>0</v>
      </c>
      <c r="I31" s="245"/>
      <c r="J31" s="269">
        <f>SUM(D31:H31)-SUM(Caixa!$D$46:$BK$46)</f>
        <v>0</v>
      </c>
      <c r="L31" t="s">
        <v>132</v>
      </c>
      <c r="M31" t="str">
        <f>"CDI"&amp;" + "&amp;" "&amp;Classes!$AG$4*100&amp;",00%"</f>
        <v>CDI +  3,00%</v>
      </c>
      <c r="N31" s="108">
        <f>SUMIFS(Classes!$AK$11:$AK$70,Classes!$AF$11:$AF$70,"&lt;="&amp;N2,Classes!$AF$11:$AF$70,"&gt;="&amp;N1)*_xlfn.XLOOKUP(N2,Classes!$AF$11:$AF$70,Classes!$AH$11:$AH$70)</f>
        <v>439167.37267700542</v>
      </c>
      <c r="O31" s="108">
        <f>SUMIFS(Classes!$AK$11:$AK$70,Classes!$AF$11:$AF$70,"&lt;="&amp;O2,Classes!$AF$11:$AF$70,"&gt;="&amp;O1)*_xlfn.XLOOKUP(O2,Classes!$AF$11:$AF$70,Classes!$AH$11:$AH$70)</f>
        <v>560107.73847811844</v>
      </c>
      <c r="P31" s="108">
        <f>SUMIFS(Classes!$AK$11:$AK$70,Classes!$AF$11:$AF$70,"&lt;="&amp;P2,Classes!$AF$11:$AF$70,"&gt;="&amp;P1)*_xlfn.XLOOKUP(P2,Classes!$AF$11:$AF$70,Classes!$AH$11:$AH$70)</f>
        <v>338430.22614549403</v>
      </c>
      <c r="Q31" s="108">
        <f>SUMIFS(Classes!$AK$11:$AK$70,Classes!$AF$11:$AF$70,"&lt;="&amp;Q2,Classes!$AF$11:$AF$70,"&gt;="&amp;Q1)*_xlfn.XLOOKUP(Q2,Classes!$AF$11:$AF$70,Classes!$AH$11:$AH$70)</f>
        <v>-2.0497660832140413E-10</v>
      </c>
      <c r="R31" s="108">
        <f>SUMIFS(Classes!$AK$11:$AK$70,Classes!$AF$11:$AF$70,"&lt;="&amp;R2,Classes!$AF$11:$AF$70,"&gt;="&amp;R1)*_xlfn.XLOOKUP(R2,Classes!$AF$11:$AF$70,Classes!$AH$11:$AH$70)</f>
        <v>-2.4602411807824292E-10</v>
      </c>
      <c r="T31" s="269">
        <f>SUM(N31:R31)-SUM(Caixa!$D$46:$BK$46)</f>
        <v>-1.862645149230957E-9</v>
      </c>
    </row>
    <row r="32" spans="1:20" x14ac:dyDescent="0.3">
      <c r="D32" s="245"/>
      <c r="E32" s="245"/>
      <c r="F32" s="245"/>
      <c r="G32" s="245"/>
      <c r="H32" s="245"/>
      <c r="I32" s="245"/>
      <c r="N32" s="1"/>
      <c r="O32" s="1"/>
      <c r="P32" s="1"/>
      <c r="Q32" s="1"/>
      <c r="R32" s="1"/>
    </row>
    <row r="33" spans="1:60" x14ac:dyDescent="0.3">
      <c r="B33" s="238" t="s">
        <v>178</v>
      </c>
      <c r="D33" s="241">
        <f>D25-SUM(D26:D27)-SUM(D30:D31)</f>
        <v>698260.35144877306</v>
      </c>
      <c r="E33" s="241">
        <f t="shared" ref="E33:H33" si="11">E25-SUM(E26:E27)-SUM(E30:E31)</f>
        <v>541513.60099761479</v>
      </c>
      <c r="F33" s="241">
        <f t="shared" si="11"/>
        <v>-25132.074026480783</v>
      </c>
      <c r="G33" s="241">
        <f t="shared" si="11"/>
        <v>1527961.7468884229</v>
      </c>
      <c r="H33" s="241">
        <f t="shared" si="11"/>
        <v>2266961.4787895968</v>
      </c>
      <c r="I33" s="245"/>
      <c r="L33" s="238" t="s">
        <v>178</v>
      </c>
      <c r="N33" s="268">
        <f>N25-SUM(N26:N27)-SUM(N30:N31)</f>
        <v>212836.61143790279</v>
      </c>
      <c r="O33" s="268">
        <f>O25-SUM(O26:O27)-SUM(O30:O31)</f>
        <v>419204.8337763832</v>
      </c>
      <c r="P33" s="268">
        <f>P25-SUM(P26:P27)-SUM(P30:P31)</f>
        <v>990352.90626683366</v>
      </c>
      <c r="Q33" s="268">
        <f>Q25-SUM(Q26:Q27)-SUM(Q30:Q31)</f>
        <v>1678828.9752384978</v>
      </c>
      <c r="R33" s="268">
        <f>R25-SUM(R26:R27)-SUM(R30:R31)</f>
        <v>2417906.9947696151</v>
      </c>
    </row>
    <row r="34" spans="1:60" x14ac:dyDescent="0.3">
      <c r="B34" s="30" t="s">
        <v>175</v>
      </c>
      <c r="C34" s="267">
        <v>0.15</v>
      </c>
      <c r="D34" s="213">
        <f>D33*$C$34</f>
        <v>104739.05271731595</v>
      </c>
      <c r="E34" s="213">
        <f t="shared" ref="E34:H34" si="12">E33*$C$34</f>
        <v>81227.040149642213</v>
      </c>
      <c r="F34" s="213">
        <f t="shared" si="12"/>
        <v>-3769.8111039721171</v>
      </c>
      <c r="G34" s="213">
        <f t="shared" si="12"/>
        <v>229194.26203326343</v>
      </c>
      <c r="H34" s="213">
        <f t="shared" si="12"/>
        <v>340044.22181843949</v>
      </c>
      <c r="I34" s="272"/>
      <c r="L34" s="30" t="s">
        <v>175</v>
      </c>
      <c r="M34" s="267">
        <v>0.15</v>
      </c>
      <c r="N34" s="108">
        <f>N33*$M$34</f>
        <v>31925.491715685417</v>
      </c>
      <c r="O34" s="108">
        <f t="shared" ref="O34:R34" si="13">O33*$M$34</f>
        <v>62880.725066457475</v>
      </c>
      <c r="P34" s="108">
        <f t="shared" si="13"/>
        <v>148552.93594002505</v>
      </c>
      <c r="Q34" s="108">
        <f t="shared" si="13"/>
        <v>251824.34628577466</v>
      </c>
      <c r="R34" s="108">
        <f t="shared" si="13"/>
        <v>362686.04921544227</v>
      </c>
    </row>
    <row r="35" spans="1:60" x14ac:dyDescent="0.3">
      <c r="B35" s="238" t="s">
        <v>174</v>
      </c>
      <c r="D35" s="270">
        <f>D33-D34</f>
        <v>593521.29873145709</v>
      </c>
      <c r="E35" s="270">
        <f>E33-E34</f>
        <v>460286.56084797258</v>
      </c>
      <c r="F35" s="270">
        <f>F33-F34</f>
        <v>-21362.262922508664</v>
      </c>
      <c r="G35" s="270">
        <f>G33-G34</f>
        <v>1298767.4848551594</v>
      </c>
      <c r="H35" s="270">
        <f>H33-H34</f>
        <v>1926917.2569711574</v>
      </c>
      <c r="I35" s="273"/>
      <c r="L35" s="238" t="s">
        <v>174</v>
      </c>
      <c r="N35" s="212">
        <f>N33-N34</f>
        <v>180911.11972221738</v>
      </c>
      <c r="O35" s="212">
        <f>O33-O34</f>
        <v>356324.10870992573</v>
      </c>
      <c r="P35" s="212">
        <f>P33-P34</f>
        <v>841799.97032680863</v>
      </c>
      <c r="Q35" s="212">
        <f>Q33-Q34</f>
        <v>1427004.6289527232</v>
      </c>
      <c r="R35" s="212">
        <f>R33-R34</f>
        <v>2055220.9455541729</v>
      </c>
    </row>
    <row r="36" spans="1:60" x14ac:dyDescent="0.3">
      <c r="N36" s="245"/>
      <c r="O36" s="245"/>
      <c r="P36" s="245"/>
      <c r="Q36" s="245"/>
      <c r="R36" s="245"/>
    </row>
    <row r="37" spans="1:60" x14ac:dyDescent="0.3">
      <c r="N37" s="171"/>
      <c r="O37" s="171"/>
      <c r="P37" s="171"/>
      <c r="Q37" s="171"/>
      <c r="R37" s="171"/>
    </row>
    <row r="38" spans="1:60" x14ac:dyDescent="0.3">
      <c r="B38" s="238"/>
      <c r="N38" s="112"/>
      <c r="O38" s="112"/>
      <c r="P38" s="112"/>
      <c r="Q38" s="112"/>
      <c r="R38" s="112"/>
    </row>
    <row r="39" spans="1:60" x14ac:dyDescent="0.3">
      <c r="N39" s="171"/>
      <c r="O39" s="171"/>
      <c r="P39" s="171"/>
      <c r="Q39" s="171"/>
      <c r="R39" s="171"/>
    </row>
    <row r="40" spans="1:60" x14ac:dyDescent="0.3">
      <c r="A40" s="16"/>
      <c r="B40" s="16"/>
      <c r="C40" s="16"/>
      <c r="D40" s="16"/>
      <c r="E40" s="16" t="s">
        <v>193</v>
      </c>
      <c r="F40" s="165">
        <v>1000000</v>
      </c>
      <c r="G40" s="16" t="s">
        <v>194</v>
      </c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</row>
    <row r="41" spans="1:60" x14ac:dyDescent="0.3">
      <c r="A41" s="275" t="s">
        <v>185</v>
      </c>
      <c r="B41" s="275" t="s">
        <v>189</v>
      </c>
      <c r="C41" s="275" t="s">
        <v>188</v>
      </c>
      <c r="D41" s="275" t="s">
        <v>147</v>
      </c>
      <c r="E41" s="275" t="s">
        <v>114</v>
      </c>
      <c r="F41" s="275" t="s">
        <v>115</v>
      </c>
      <c r="G41" s="275" t="s">
        <v>71</v>
      </c>
      <c r="H41" s="275" t="s">
        <v>113</v>
      </c>
      <c r="I41" s="275" t="s">
        <v>184</v>
      </c>
      <c r="J41" s="275" t="s">
        <v>72</v>
      </c>
    </row>
    <row r="42" spans="1:60" x14ac:dyDescent="0.3">
      <c r="A42" s="26">
        <v>0</v>
      </c>
      <c r="B42" s="277">
        <f>_xlfn.XLOOKUP(Tabela2[[#This Row],[Periodo]],Caixa!$C$2:$BK$2,Caixa!$C$3:$BK$3)</f>
        <v>46253</v>
      </c>
      <c r="C42" s="274">
        <f>_xlfn.XLOOKUP($A42,Caixa!$C$53:$BK$53,Caixa!$C$54:$BK$54)</f>
        <v>0</v>
      </c>
      <c r="D42" s="274">
        <f>_xlfn.XLOOKUP($A42,Caixa!$C$53:$BK$53,Caixa!$C$55:$BK$55)</f>
        <v>0</v>
      </c>
      <c r="E42" s="21">
        <f>_xlfn.XLOOKUP($A42,Caixa!$C$53:$BK$53,Caixa!$C$56:$BK$56)/$F$40</f>
        <v>10</v>
      </c>
      <c r="F42" s="21">
        <f>_xlfn.XLOOKUP($A42,Caixa!$C$53:$BK$53,Caixa!$C$57:$BK$57)/$F$40</f>
        <v>2.5</v>
      </c>
      <c r="G42" s="21">
        <f>_xlfn.XLOOKUP($A42,Caixa!$C$53:$BK$53,Caixa!$C$58:$BK$58)/$F$40</f>
        <v>2.5</v>
      </c>
      <c r="H42" s="21">
        <f>_xlfn.XLOOKUP($A42,Caixa!$C$53:$BK$53,Caixa!$C$59:$BK$59)/$F$40</f>
        <v>5</v>
      </c>
      <c r="I42" s="21">
        <f>_xlfn.XLOOKUP($A42,Caixa!$C$53:$BK$53,Caixa!$C$60:$BK$60)/$F$40</f>
        <v>0</v>
      </c>
      <c r="J42" s="21">
        <f>_xlfn.XLOOKUP($A42,Caixa!$C$53:$BK$53,Caixa!$C$61:$BK$61)/$F$40</f>
        <v>10</v>
      </c>
    </row>
    <row r="43" spans="1:60" x14ac:dyDescent="0.3">
      <c r="A43" s="26">
        <v>1</v>
      </c>
      <c r="B43" s="277">
        <f>_xlfn.XLOOKUP(Tabela2[[#This Row],[Periodo]],Caixa!$C$2:$BK$2,Caixa!$C$3:$BK$3)</f>
        <v>46265</v>
      </c>
      <c r="C43" s="274">
        <f>_xlfn.XLOOKUP($A43,Caixa!$C$53:$BK$53,Caixa!$C$54:$BK$54)</f>
        <v>1.4647969954770801E-3</v>
      </c>
      <c r="D43" s="274">
        <f>_xlfn.XLOOKUP($A43,Caixa!$C$53:$BK$53,Caixa!$C$55:$BK$55)</f>
        <v>-2.6185839059443827E-3</v>
      </c>
      <c r="E43" s="21">
        <f>_xlfn.XLOOKUP($A43,Caixa!$C$53:$BK$53,Caixa!$C$56:$BK$56)/$F$40</f>
        <v>10.014647969954771</v>
      </c>
      <c r="F43" s="21">
        <f>_xlfn.XLOOKUP($A43,Caixa!$C$53:$BK$53,Caixa!$C$57:$BK$57)/$F$40</f>
        <v>2.5134324847493752</v>
      </c>
      <c r="G43" s="21">
        <f>_xlfn.XLOOKUP($A43,Caixa!$C$53:$BK$53,Caixa!$C$58:$BK$58)/$F$40</f>
        <v>2.5143084047351172</v>
      </c>
      <c r="H43" s="21">
        <f>_xlfn.XLOOKUP($A43,Caixa!$C$53:$BK$53,Caixa!$C$59:$BK$59)/$F$40</f>
        <v>4.986907080470278</v>
      </c>
      <c r="I43" s="21">
        <f>_xlfn.XLOOKUP($A43,Caixa!$C$53:$BK$53,Caixa!$C$60:$BK$60)/$F$40</f>
        <v>3.2</v>
      </c>
      <c r="J43" s="21">
        <f>_xlfn.XLOOKUP($A43,Caixa!$C$53:$BK$53,Caixa!$C$61:$BK$61)/$F$40</f>
        <v>6.8146479699547688</v>
      </c>
    </row>
    <row r="44" spans="1:60" x14ac:dyDescent="0.3">
      <c r="A44" s="26">
        <f t="shared" ref="A44:A75" si="14">A43+1</f>
        <v>2</v>
      </c>
      <c r="B44" s="277">
        <f>_xlfn.XLOOKUP(Tabela2[[#This Row],[Periodo]],Caixa!$C$2:$BK$2,Caixa!$C$3:$BK$3)</f>
        <v>46295</v>
      </c>
      <c r="C44" s="274">
        <f>_xlfn.XLOOKUP($A44,Caixa!$C$53:$BK$53,Caixa!$C$54:$BK$54)</f>
        <v>1.065331618897325E-3</v>
      </c>
      <c r="D44" s="274">
        <f>_xlfn.XLOOKUP($A44,Caixa!$C$53:$BK$53,Caixa!$C$55:$BK$55)</f>
        <v>-1.2127114630990476E-2</v>
      </c>
      <c r="E44" s="21">
        <f>_xlfn.XLOOKUP($A44,Caixa!$C$53:$BK$53,Caixa!$C$56:$BK$56)/$F$40</f>
        <v>10.025316891089288</v>
      </c>
      <c r="F44" s="21">
        <f>_xlfn.XLOOKUP($A44,Caixa!$C$53:$BK$53,Caixa!$C$57:$BK$57)/$F$40</f>
        <v>2.5478640760800357</v>
      </c>
      <c r="G44" s="21">
        <f>_xlfn.XLOOKUP($A44,Caixa!$C$53:$BK$53,Caixa!$C$58:$BK$58)/$F$40</f>
        <v>2.5510225283579357</v>
      </c>
      <c r="H44" s="21">
        <f>_xlfn.XLOOKUP($A44,Caixa!$C$53:$BK$53,Caixa!$C$59:$BK$59)/$F$40</f>
        <v>4.9264302866513168</v>
      </c>
      <c r="I44" s="21">
        <f>_xlfn.XLOOKUP($A44,Caixa!$C$53:$BK$53,Caixa!$C$60:$BK$60)/$F$40</f>
        <v>3.2</v>
      </c>
      <c r="J44" s="21">
        <f>_xlfn.XLOOKUP($A44,Caixa!$C$53:$BK$53,Caixa!$C$61:$BK$61)/$F$40</f>
        <v>3.6253168910892888</v>
      </c>
    </row>
    <row r="45" spans="1:60" x14ac:dyDescent="0.3">
      <c r="A45" s="26">
        <f t="shared" si="14"/>
        <v>3</v>
      </c>
      <c r="B45" s="277">
        <f>_xlfn.XLOOKUP(Tabela2[[#This Row],[Periodo]],Caixa!$C$2:$BK$2,Caixa!$C$3:$BK$3)</f>
        <v>46326</v>
      </c>
      <c r="C45" s="274">
        <f>_xlfn.XLOOKUP($A45,Caixa!$C$53:$BK$53,Caixa!$C$54:$BK$54)</f>
        <v>-2.3825938212418407E-3</v>
      </c>
      <c r="D45" s="274">
        <f>_xlfn.XLOOKUP($A45,Caixa!$C$53:$BK$53,Caixa!$C$55:$BK$55)</f>
        <v>-1.946111724280819E-2</v>
      </c>
      <c r="E45" s="21">
        <f>_xlfn.XLOOKUP($A45,Caixa!$C$53:$BK$53,Caixa!$C$56:$BK$56)/$F$40</f>
        <v>10.001430633008589</v>
      </c>
      <c r="F45" s="21">
        <f>_xlfn.XLOOKUP($A45,Caixa!$C$53:$BK$53,Caixa!$C$57:$BK$57)/$F$40</f>
        <v>2.5826844764254795</v>
      </c>
      <c r="G45" s="21">
        <f>_xlfn.XLOOKUP($A45,Caixa!$C$53:$BK$53,Caixa!$C$58:$BK$58)/$F$40</f>
        <v>2.5881897073288336</v>
      </c>
      <c r="H45" s="21">
        <f>_xlfn.XLOOKUP($A45,Caixa!$C$53:$BK$53,Caixa!$C$59:$BK$59)/$F$40</f>
        <v>4.8305564492542743</v>
      </c>
      <c r="I45" s="21">
        <f>_xlfn.XLOOKUP($A45,Caixa!$C$53:$BK$53,Caixa!$C$60:$BK$60)/$F$40</f>
        <v>3.2</v>
      </c>
      <c r="J45" s="21">
        <f>_xlfn.XLOOKUP($A45,Caixa!$C$53:$BK$53,Caixa!$C$61:$BK$61)/$F$40</f>
        <v>0.40143063300858811</v>
      </c>
    </row>
    <row r="46" spans="1:60" x14ac:dyDescent="0.3">
      <c r="A46" s="26">
        <f t="shared" si="14"/>
        <v>4</v>
      </c>
      <c r="B46" s="277">
        <f>_xlfn.XLOOKUP(Tabela2[[#This Row],[Periodo]],Caixa!$C$2:$BK$2,Caixa!$C$3:$BK$3)</f>
        <v>46356</v>
      </c>
      <c r="C46" s="274">
        <f>_xlfn.XLOOKUP($A46,Caixa!$C$53:$BK$53,Caixa!$C$54:$BK$54)</f>
        <v>2.5218606649065167E-2</v>
      </c>
      <c r="D46" s="274">
        <f>_xlfn.XLOOKUP($A46,Caixa!$C$53:$BK$53,Caixa!$C$55:$BK$55)</f>
        <v>3.8423356475738579E-2</v>
      </c>
      <c r="E46" s="21">
        <f>_xlfn.XLOOKUP($A46,Caixa!$C$53:$BK$53,Caixa!$C$56:$BK$56)/$F$40</f>
        <v>10.253652778070341</v>
      </c>
      <c r="F46" s="21">
        <f>_xlfn.XLOOKUP($A46,Caixa!$C$53:$BK$53,Caixa!$C$57:$BK$57)/$F$40</f>
        <v>2.6148924537885994</v>
      </c>
      <c r="G46" s="21">
        <f>_xlfn.XLOOKUP($A46,Caixa!$C$53:$BK$53,Caixa!$C$58:$BK$58)/$F$40</f>
        <v>2.6225976826015929</v>
      </c>
      <c r="H46" s="21">
        <f>_xlfn.XLOOKUP($A46,Caixa!$C$53:$BK$53,Caixa!$C$59:$BK$59)/$F$40</f>
        <v>5.0161626416801495</v>
      </c>
      <c r="I46" s="21">
        <f>_xlfn.XLOOKUP($A46,Caixa!$C$53:$BK$53,Caixa!$C$60:$BK$60)/$F$40</f>
        <v>3.6536527780703394</v>
      </c>
      <c r="J46" s="21">
        <f>_xlfn.XLOOKUP($A46,Caixa!$C$53:$BK$53,Caixa!$C$61:$BK$61)/$F$40</f>
        <v>0.20000000000000093</v>
      </c>
    </row>
    <row r="47" spans="1:60" x14ac:dyDescent="0.3">
      <c r="A47" s="26">
        <f t="shared" si="14"/>
        <v>5</v>
      </c>
      <c r="B47" s="277">
        <f>_xlfn.XLOOKUP(Tabela2[[#This Row],[Periodo]],Caixa!$C$2:$BK$2,Caixa!$C$3:$BK$3)</f>
        <v>46387</v>
      </c>
      <c r="C47" s="274">
        <f>_xlfn.XLOOKUP($A47,Caixa!$C$53:$BK$53,Caixa!$C$54:$BK$54)</f>
        <v>2.4575641065732512E-2</v>
      </c>
      <c r="D47" s="274">
        <f>_xlfn.XLOOKUP($A47,Caixa!$C$53:$BK$53,Caixa!$C$55:$BK$55)</f>
        <v>3.4830610598155953E-2</v>
      </c>
      <c r="E47" s="21">
        <f>_xlfn.XLOOKUP($A47,Caixa!$C$53:$BK$53,Caixa!$C$56:$BK$56)/$F$40</f>
        <v>10.505642868356849</v>
      </c>
      <c r="F47" s="21">
        <f>_xlfn.XLOOKUP($A47,Caixa!$C$53:$BK$53,Caixa!$C$57:$BK$57)/$F$40</f>
        <v>2.6522380911753785</v>
      </c>
      <c r="G47" s="21">
        <f>_xlfn.XLOOKUP($A47,Caixa!$C$53:$BK$53,Caixa!$C$58:$BK$58)/$F$40</f>
        <v>2.6625261278319439</v>
      </c>
      <c r="H47" s="21">
        <f>_xlfn.XLOOKUP($A47,Caixa!$C$53:$BK$53,Caixa!$C$59:$BK$59)/$F$40</f>
        <v>5.1908786493495276</v>
      </c>
      <c r="I47" s="21">
        <f>_xlfn.XLOOKUP($A47,Caixa!$C$53:$BK$53,Caixa!$C$60:$BK$60)/$F$40</f>
        <v>3.4519900902865084</v>
      </c>
      <c r="J47" s="21">
        <f>_xlfn.XLOOKUP($A47,Caixa!$C$53:$BK$53,Caixa!$C$61:$BK$61)/$F$40</f>
        <v>0.20000000000000093</v>
      </c>
    </row>
    <row r="48" spans="1:60" x14ac:dyDescent="0.3">
      <c r="A48" s="26">
        <f t="shared" si="14"/>
        <v>6</v>
      </c>
      <c r="B48" s="277">
        <f>_xlfn.XLOOKUP(Tabela2[[#This Row],[Periodo]],Caixa!$C$2:$BK$2,Caixa!$C$3:$BK$3)</f>
        <v>46418</v>
      </c>
      <c r="C48" s="274">
        <f>_xlfn.XLOOKUP($A48,Caixa!$C$53:$BK$53,Caixa!$C$54:$BK$54)</f>
        <v>2.3986579426556798E-2</v>
      </c>
      <c r="D48" s="274">
        <f>_xlfn.XLOOKUP($A48,Caixa!$C$53:$BK$53,Caixa!$C$55:$BK$55)</f>
        <v>3.4682706838812027E-2</v>
      </c>
      <c r="E48" s="21">
        <f>_xlfn.XLOOKUP($A48,Caixa!$C$53:$BK$53,Caixa!$C$56:$BK$56)/$F$40</f>
        <v>10.75763730544573</v>
      </c>
      <c r="F48" s="21">
        <f>_xlfn.XLOOKUP($A48,Caixa!$C$53:$BK$53,Caixa!$C$57:$BK$57)/$F$40</f>
        <v>2.6870017967507649</v>
      </c>
      <c r="G48" s="21">
        <f>_xlfn.XLOOKUP($A48,Caixa!$C$53:$BK$53,Caixa!$C$58:$BK$58)/$F$40</f>
        <v>2.6997231369141996</v>
      </c>
      <c r="H48" s="21">
        <f>_xlfn.XLOOKUP($A48,Caixa!$C$53:$BK$53,Caixa!$C$59:$BK$59)/$F$40</f>
        <v>5.3709123717807659</v>
      </c>
      <c r="I48" s="21">
        <f>_xlfn.XLOOKUP($A48,Caixa!$C$53:$BK$53,Caixa!$C$60:$BK$60)/$F$40</f>
        <v>3.4519944370888824</v>
      </c>
      <c r="J48" s="21">
        <f>_xlfn.XLOOKUP($A48,Caixa!$C$53:$BK$53,Caixa!$C$61:$BK$61)/$F$40</f>
        <v>0.20000000000000093</v>
      </c>
    </row>
    <row r="49" spans="1:10" x14ac:dyDescent="0.3">
      <c r="A49" s="26">
        <f t="shared" si="14"/>
        <v>7</v>
      </c>
      <c r="B49" s="277">
        <f>_xlfn.XLOOKUP(Tabela2[[#This Row],[Periodo]],Caixa!$C$2:$BK$2,Caixa!$C$3:$BK$3)</f>
        <v>46446</v>
      </c>
      <c r="C49" s="274">
        <f>_xlfn.XLOOKUP($A49,Caixa!$C$53:$BK$53,Caixa!$C$54:$BK$54)</f>
        <v>2.7092222044484693E-2</v>
      </c>
      <c r="D49" s="274">
        <f>_xlfn.XLOOKUP($A49,Caixa!$C$53:$BK$53,Caixa!$C$55:$BK$55)</f>
        <v>4.1898166232778422E-2</v>
      </c>
      <c r="E49" s="21">
        <f>_xlfn.XLOOKUP($A49,Caixa!$C$53:$BK$53,Caixa!$C$56:$BK$56)/$F$40</f>
        <v>11.049085603998899</v>
      </c>
      <c r="F49" s="21">
        <f>_xlfn.XLOOKUP($A49,Caixa!$C$53:$BK$53,Caixa!$C$57:$BK$57)/$F$40</f>
        <v>2.7190762464480409</v>
      </c>
      <c r="G49" s="21">
        <f>_xlfn.XLOOKUP($A49,Caixa!$C$53:$BK$53,Caixa!$C$58:$BK$58)/$F$40</f>
        <v>2.7340656063955362</v>
      </c>
      <c r="H49" s="21">
        <f>_xlfn.XLOOKUP($A49,Caixa!$C$53:$BK$53,Caixa!$C$59:$BK$59)/$F$40</f>
        <v>5.5959437511553221</v>
      </c>
      <c r="I49" s="21">
        <f>_xlfn.XLOOKUP($A49,Caixa!$C$53:$BK$53,Caixa!$C$60:$BK$60)/$F$40</f>
        <v>3.9451010766235077</v>
      </c>
      <c r="J49" s="21">
        <f>_xlfn.XLOOKUP($A49,Caixa!$C$53:$BK$53,Caixa!$C$61:$BK$61)/$F$40</f>
        <v>0.20000000000000093</v>
      </c>
    </row>
    <row r="50" spans="1:10" x14ac:dyDescent="0.3">
      <c r="A50" s="26">
        <f t="shared" si="14"/>
        <v>8</v>
      </c>
      <c r="B50" s="277">
        <f>_xlfn.XLOOKUP(Tabela2[[#This Row],[Periodo]],Caixa!$C$2:$BK$2,Caixa!$C$3:$BK$3)</f>
        <v>46477</v>
      </c>
      <c r="C50" s="274">
        <f>_xlfn.XLOOKUP($A50,Caixa!$C$53:$BK$53,Caixa!$C$54:$BK$54)</f>
        <v>2.4790767177682138E-2</v>
      </c>
      <c r="D50" s="274">
        <f>_xlfn.XLOOKUP($A50,Caixa!$C$53:$BK$53,Caixa!$C$55:$BK$55)</f>
        <v>3.5102777645314776E-2</v>
      </c>
      <c r="E50" s="21">
        <f>_xlfn.XLOOKUP($A50,Caixa!$C$53:$BK$53,Caixa!$C$56:$BK$56)/$F$40</f>
        <v>11.323000912733916</v>
      </c>
      <c r="F50" s="21">
        <f>_xlfn.XLOOKUP($A50,Caixa!$C$53:$BK$53,Caixa!$C$57:$BK$57)/$F$40</f>
        <v>2.7564796588441327</v>
      </c>
      <c r="G50" s="21">
        <f>_xlfn.XLOOKUP($A50,Caixa!$C$53:$BK$53,Caixa!$C$58:$BK$58)/$F$40</f>
        <v>2.7741443335219671</v>
      </c>
      <c r="H50" s="21">
        <f>_xlfn.XLOOKUP($A50,Caixa!$C$53:$BK$53,Caixa!$C$59:$BK$59)/$F$40</f>
        <v>5.7923769203678166</v>
      </c>
      <c r="I50" s="21">
        <f>_xlfn.XLOOKUP($A50,Caixa!$C$53:$BK$53,Caixa!$C$60:$BK$60)/$F$40</f>
        <v>3.7259053990215225</v>
      </c>
      <c r="J50" s="21">
        <f>_xlfn.XLOOKUP($A50,Caixa!$C$53:$BK$53,Caixa!$C$61:$BK$61)/$F$40</f>
        <v>0.20000000000000093</v>
      </c>
    </row>
    <row r="51" spans="1:10" x14ac:dyDescent="0.3">
      <c r="A51" s="26">
        <f t="shared" si="14"/>
        <v>9</v>
      </c>
      <c r="B51" s="277">
        <f>_xlfn.XLOOKUP(Tabela2[[#This Row],[Periodo]],Caixa!$C$2:$BK$2,Caixa!$C$3:$BK$3)</f>
        <v>46507</v>
      </c>
      <c r="C51" s="274">
        <f>_xlfn.XLOOKUP($A51,Caixa!$C$53:$BK$53,Caixa!$C$54:$BK$54)</f>
        <v>2.4191469373711527E-2</v>
      </c>
      <c r="D51" s="274">
        <f>_xlfn.XLOOKUP($A51,Caixa!$C$53:$BK$53,Caixa!$C$55:$BK$55)</f>
        <v>3.3699636209867156E-2</v>
      </c>
      <c r="E51" s="21">
        <f>_xlfn.XLOOKUP($A51,Caixa!$C$53:$BK$53,Caixa!$C$56:$BK$56)/$F$40</f>
        <v>11.596920942532826</v>
      </c>
      <c r="F51" s="21">
        <f>_xlfn.XLOOKUP($A51,Caixa!$C$53:$BK$53,Caixa!$C$57:$BK$57)/$F$40</f>
        <v>2.7944647753070022</v>
      </c>
      <c r="G51" s="21">
        <f>_xlfn.XLOOKUP($A51,Caixa!$C$53:$BK$53,Caixa!$C$58:$BK$58)/$F$40</f>
        <v>2.8148782518511815</v>
      </c>
      <c r="H51" s="21">
        <f>_xlfn.XLOOKUP($A51,Caixa!$C$53:$BK$53,Caixa!$C$59:$BK$59)/$F$40</f>
        <v>5.9875779153746436</v>
      </c>
      <c r="I51" s="21">
        <f>_xlfn.XLOOKUP($A51,Caixa!$C$53:$BK$53,Caixa!$C$60:$BK$60)/$F$40</f>
        <v>3.7259144668877937</v>
      </c>
      <c r="J51" s="21">
        <f>_xlfn.XLOOKUP($A51,Caixa!$C$53:$BK$53,Caixa!$C$61:$BK$61)/$F$40</f>
        <v>0.20000000000000093</v>
      </c>
    </row>
    <row r="52" spans="1:10" x14ac:dyDescent="0.3">
      <c r="A52" s="26">
        <f t="shared" si="14"/>
        <v>10</v>
      </c>
      <c r="B52" s="277">
        <f>_xlfn.XLOOKUP(Tabela2[[#This Row],[Periodo]],Caixa!$C$2:$BK$2,Caixa!$C$3:$BK$3)</f>
        <v>46538</v>
      </c>
      <c r="C52" s="274">
        <f>_xlfn.XLOOKUP($A52,Caixa!$C$53:$BK$53,Caixa!$C$54:$BK$54)</f>
        <v>2.7317872686311029E-2</v>
      </c>
      <c r="D52" s="274">
        <f>_xlfn.XLOOKUP($A52,Caixa!$C$53:$BK$53,Caixa!$C$55:$BK$55)</f>
        <v>4.0137558866504941E-2</v>
      </c>
      <c r="E52" s="21">
        <f>_xlfn.XLOOKUP($A52,Caixa!$C$53:$BK$53,Caixa!$C$56:$BK$56)/$F$40</f>
        <v>11.913724152394153</v>
      </c>
      <c r="F52" s="21">
        <f>_xlfn.XLOOKUP($A52,Caixa!$C$53:$BK$53,Caixa!$C$57:$BK$57)/$F$40</f>
        <v>2.8313531663276641</v>
      </c>
      <c r="G52" s="21">
        <f>_xlfn.XLOOKUP($A52,Caixa!$C$53:$BK$53,Caixa!$C$58:$BK$58)/$F$40</f>
        <v>2.8544663096457104</v>
      </c>
      <c r="H52" s="21">
        <f>_xlfn.XLOOKUP($A52,Caixa!$C$53:$BK$53,Caixa!$C$59:$BK$59)/$F$40</f>
        <v>6.2279046764207777</v>
      </c>
      <c r="I52" s="21">
        <f>_xlfn.XLOOKUP($A52,Caixa!$C$53:$BK$53,Caixa!$C$60:$BK$60)/$F$40</f>
        <v>4.2619042864848327</v>
      </c>
      <c r="J52" s="21">
        <f>_xlfn.XLOOKUP($A52,Caixa!$C$53:$BK$53,Caixa!$C$61:$BK$61)/$F$40</f>
        <v>0.20000000000000093</v>
      </c>
    </row>
    <row r="53" spans="1:10" x14ac:dyDescent="0.3">
      <c r="A53" s="26">
        <f t="shared" si="14"/>
        <v>11</v>
      </c>
      <c r="B53" s="277">
        <f>_xlfn.XLOOKUP(Tabela2[[#This Row],[Periodo]],Caixa!$C$2:$BK$2,Caixa!$C$3:$BK$3)</f>
        <v>46568</v>
      </c>
      <c r="C53" s="274">
        <f>_xlfn.XLOOKUP($A53,Caixa!$C$53:$BK$53,Caixa!$C$54:$BK$54)</f>
        <v>2.4991695237664535E-2</v>
      </c>
      <c r="D53" s="274">
        <f>_xlfn.XLOOKUP($A53,Caixa!$C$53:$BK$53,Caixa!$C$55:$BK$55)</f>
        <v>3.4783630963725498E-2</v>
      </c>
      <c r="E53" s="21">
        <f>_xlfn.XLOOKUP($A53,Caixa!$C$53:$BK$53,Caixa!$C$56:$BK$56)/$F$40</f>
        <v>12.211468315556392</v>
      </c>
      <c r="F53" s="21">
        <f>_xlfn.XLOOKUP($A53,Caixa!$C$53:$BK$53,Caixa!$C$57:$BK$57)/$F$40</f>
        <v>2.8704620503902687</v>
      </c>
      <c r="G53" s="21">
        <f>_xlfn.XLOOKUP($A53,Caixa!$C$53:$BK$53,Caixa!$C$58:$BK$58)/$F$40</f>
        <v>2.8964724508034645</v>
      </c>
      <c r="H53" s="21">
        <f>_xlfn.XLOOKUP($A53,Caixa!$C$53:$BK$53,Caixa!$C$59:$BK$59)/$F$40</f>
        <v>6.444533814362658</v>
      </c>
      <c r="I53" s="21">
        <f>_xlfn.XLOOKUP($A53,Caixa!$C$53:$BK$53,Caixa!$C$60:$BK$60)/$F$40</f>
        <v>4.0236495621837634</v>
      </c>
      <c r="J53" s="21">
        <f>_xlfn.XLOOKUP($A53,Caixa!$C$53:$BK$53,Caixa!$C$61:$BK$61)/$F$40</f>
        <v>0.20000000000000093</v>
      </c>
    </row>
    <row r="54" spans="1:10" x14ac:dyDescent="0.3">
      <c r="A54" s="26">
        <f t="shared" si="14"/>
        <v>12</v>
      </c>
      <c r="B54" s="277">
        <f>_xlfn.XLOOKUP(Tabela2[[#This Row],[Periodo]],Caixa!$C$2:$BK$2,Caixa!$C$3:$BK$3)</f>
        <v>46599</v>
      </c>
      <c r="C54" s="274">
        <f>_xlfn.XLOOKUP($A54,Caixa!$C$53:$BK$53,Caixa!$C$54:$BK$54)</f>
        <v>2.438275923657951E-2</v>
      </c>
      <c r="D54" s="274">
        <f>_xlfn.XLOOKUP($A54,Caixa!$C$53:$BK$53,Caixa!$C$55:$BK$55)</f>
        <v>3.3413643991757613E-2</v>
      </c>
      <c r="E54" s="21">
        <f>_xlfn.XLOOKUP($A54,Caixa!$C$53:$BK$53,Caixa!$C$56:$BK$56)/$F$40</f>
        <v>12.509217607419721</v>
      </c>
      <c r="F54" s="21">
        <f>_xlfn.XLOOKUP($A54,Caixa!$C$53:$BK$53,Caixa!$C$57:$BK$57)/$F$40</f>
        <v>2.9101810618141002</v>
      </c>
      <c r="G54" s="21">
        <f>_xlfn.XLOOKUP($A54,Caixa!$C$53:$BK$53,Caixa!$C$58:$BK$58)/$F$40</f>
        <v>2.939167372677006</v>
      </c>
      <c r="H54" s="21">
        <f>_xlfn.XLOOKUP($A54,Caixa!$C$53:$BK$53,Caixa!$C$59:$BK$59)/$F$40</f>
        <v>6.6598691729286168</v>
      </c>
      <c r="I54" s="21">
        <f>_xlfn.XLOOKUP($A54,Caixa!$C$53:$BK$53,Caixa!$C$60:$BK$60)/$F$40</f>
        <v>4.0236637587511224</v>
      </c>
      <c r="J54" s="21">
        <f>_xlfn.XLOOKUP($A54,Caixa!$C$53:$BK$53,Caixa!$C$61:$BK$61)/$F$40</f>
        <v>0.20000000000000093</v>
      </c>
    </row>
    <row r="55" spans="1:10" x14ac:dyDescent="0.3">
      <c r="A55" s="26">
        <f t="shared" si="14"/>
        <v>13</v>
      </c>
      <c r="B55" s="277">
        <f>_xlfn.XLOOKUP(Tabela2[[#This Row],[Periodo]],Caixa!$C$2:$BK$2,Caixa!$C$3:$BK$3)</f>
        <v>46630</v>
      </c>
      <c r="C55" s="274">
        <f>_xlfn.XLOOKUP($A55,Caixa!$C$53:$BK$53,Caixa!$C$54:$BK$54)</f>
        <v>2.7773232679600968E-2</v>
      </c>
      <c r="D55" s="274">
        <f>_xlfn.XLOOKUP($A55,Caixa!$C$53:$BK$53,Caixa!$C$55:$BK$55)</f>
        <v>4.0130024213691495E-2</v>
      </c>
      <c r="E55" s="21">
        <f>_xlfn.XLOOKUP($A55,Caixa!$C$53:$BK$53,Caixa!$C$56:$BK$56)/$F$40</f>
        <v>12.575504748196773</v>
      </c>
      <c r="F55" s="21">
        <f>_xlfn.XLOOKUP($A55,Caixa!$C$53:$BK$53,Caixa!$C$57:$BK$57)/$F$40</f>
        <v>2.6676659733295915</v>
      </c>
      <c r="G55" s="21">
        <f>_xlfn.XLOOKUP($A55,Caixa!$C$53:$BK$53,Caixa!$C$58:$BK$58)/$F$40</f>
        <v>2.9807088907689221</v>
      </c>
      <c r="H55" s="21">
        <f>_xlfn.XLOOKUP($A55,Caixa!$C$53:$BK$53,Caixa!$C$59:$BK$59)/$F$40</f>
        <v>6.9271298840982585</v>
      </c>
      <c r="I55" s="21">
        <f>_xlfn.XLOOKUP($A55,Caixa!$C$53:$BK$53,Caixa!$C$60:$BK$60)/$F$40</f>
        <v>4.328191427261884</v>
      </c>
      <c r="J55" s="21">
        <f>_xlfn.XLOOKUP($A55,Caixa!$C$53:$BK$53,Caixa!$C$61:$BK$61)/$F$40</f>
        <v>0.20000000000000093</v>
      </c>
    </row>
    <row r="56" spans="1:10" x14ac:dyDescent="0.3">
      <c r="A56" s="26">
        <f t="shared" si="14"/>
        <v>14</v>
      </c>
      <c r="B56" s="277">
        <f>_xlfn.XLOOKUP(Tabela2[[#This Row],[Periodo]],Caixa!$C$2:$BK$2,Caixa!$C$3:$BK$3)</f>
        <v>46660</v>
      </c>
      <c r="C56" s="274">
        <f>_xlfn.XLOOKUP($A56,Caixa!$C$53:$BK$53,Caixa!$C$54:$BK$54)</f>
        <v>2.5978864848275052E-2</v>
      </c>
      <c r="D56" s="274">
        <f>_xlfn.XLOOKUP($A56,Caixa!$C$53:$BK$53,Caixa!$C$55:$BK$55)</f>
        <v>3.5437609235684508E-2</v>
      </c>
      <c r="E56" s="21">
        <f>_xlfn.XLOOKUP($A56,Caixa!$C$53:$BK$53,Caixa!$C$56:$BK$56)/$F$40</f>
        <v>12.622600890136722</v>
      </c>
      <c r="F56" s="21">
        <f>_xlfn.XLOOKUP($A56,Caixa!$C$53:$BK$53,Caixa!$C$57:$BK$57)/$F$40</f>
        <v>2.4251508848450829</v>
      </c>
      <c r="G56" s="21">
        <f>_xlfn.XLOOKUP($A56,Caixa!$C$53:$BK$53,Caixa!$C$58:$BK$58)/$F$40</f>
        <v>3.0248391992358732</v>
      </c>
      <c r="H56" s="21">
        <f>_xlfn.XLOOKUP($A56,Caixa!$C$53:$BK$53,Caixa!$C$59:$BK$59)/$F$40</f>
        <v>7.1726108060557658</v>
      </c>
      <c r="I56" s="21">
        <f>_xlfn.XLOOKUP($A56,Caixa!$C$53:$BK$53,Caixa!$C$60:$BK$60)/$F$40</f>
        <v>4.0707457041237136</v>
      </c>
      <c r="J56" s="21">
        <f>_xlfn.XLOOKUP($A56,Caixa!$C$53:$BK$53,Caixa!$C$61:$BK$61)/$F$40</f>
        <v>0.20000000000000093</v>
      </c>
    </row>
    <row r="57" spans="1:10" x14ac:dyDescent="0.3">
      <c r="A57" s="26">
        <f t="shared" si="14"/>
        <v>15</v>
      </c>
      <c r="B57" s="277">
        <f>_xlfn.XLOOKUP(Tabela2[[#This Row],[Periodo]],Caixa!$C$2:$BK$2,Caixa!$C$3:$BK$3)</f>
        <v>46691</v>
      </c>
      <c r="C57" s="274">
        <f>_xlfn.XLOOKUP($A57,Caixa!$C$53:$BK$53,Caixa!$C$54:$BK$54)</f>
        <v>2.5879289301875996E-2</v>
      </c>
      <c r="D57" s="274">
        <f>_xlfn.XLOOKUP($A57,Caixa!$C$53:$BK$53,Caixa!$C$55:$BK$55)</f>
        <v>3.504868707233233E-2</v>
      </c>
      <c r="E57" s="21">
        <f>_xlfn.XLOOKUP($A57,Caixa!$C$53:$BK$53,Caixa!$C$56:$BK$56)/$F$40</f>
        <v>12.674416618003432</v>
      </c>
      <c r="F57" s="21">
        <f>_xlfn.XLOOKUP($A57,Caixa!$C$53:$BK$53,Caixa!$C$57:$BK$57)/$F$40</f>
        <v>2.1826357963605747</v>
      </c>
      <c r="G57" s="21">
        <f>_xlfn.XLOOKUP($A57,Caixa!$C$53:$BK$53,Caixa!$C$58:$BK$58)/$F$40</f>
        <v>3.0677794239540126</v>
      </c>
      <c r="H57" s="21">
        <f>_xlfn.XLOOKUP($A57,Caixa!$C$53:$BK$53,Caixa!$C$59:$BK$59)/$F$40</f>
        <v>7.4240013976888442</v>
      </c>
      <c r="I57" s="21">
        <f>_xlfn.XLOOKUP($A57,Caixa!$C$53:$BK$53,Caixa!$C$60:$BK$60)/$F$40</f>
        <v>4.0754794866178319</v>
      </c>
      <c r="J57" s="21">
        <f>_xlfn.XLOOKUP($A57,Caixa!$C$53:$BK$53,Caixa!$C$61:$BK$61)/$F$40</f>
        <v>0.20000000000000093</v>
      </c>
    </row>
    <row r="58" spans="1:10" x14ac:dyDescent="0.3">
      <c r="A58" s="26">
        <f t="shared" si="14"/>
        <v>16</v>
      </c>
      <c r="B58" s="277">
        <f>_xlfn.XLOOKUP(Tabela2[[#This Row],[Periodo]],Caixa!$C$2:$BK$2,Caixa!$C$3:$BK$3)</f>
        <v>46721</v>
      </c>
      <c r="C58" s="274">
        <f>_xlfn.XLOOKUP($A58,Caixa!$C$53:$BK$53,Caixa!$C$54:$BK$54)</f>
        <v>2.7861417943825018E-2</v>
      </c>
      <c r="D58" s="274">
        <f>_xlfn.XLOOKUP($A58,Caixa!$C$53:$BK$53,Caixa!$C$55:$BK$55)</f>
        <v>3.7752418385272657E-2</v>
      </c>
      <c r="E58" s="21">
        <f>_xlfn.XLOOKUP($A58,Caixa!$C$53:$BK$53,Caixa!$C$56:$BK$56)/$F$40</f>
        <v>12.755844340069547</v>
      </c>
      <c r="F58" s="21">
        <f>_xlfn.XLOOKUP($A58,Caixa!$C$53:$BK$53,Caixa!$C$57:$BK$57)/$F$40</f>
        <v>1.9401207078760663</v>
      </c>
      <c r="G58" s="21">
        <f>_xlfn.XLOOKUP($A58,Caixa!$C$53:$BK$53,Caixa!$C$58:$BK$58)/$F$40</f>
        <v>3.1114482276462394</v>
      </c>
      <c r="H58" s="21">
        <f>_xlfn.XLOOKUP($A58,Caixa!$C$53:$BK$53,Caixa!$C$59:$BK$59)/$F$40</f>
        <v>7.7042754045472428</v>
      </c>
      <c r="I58" s="21">
        <f>_xlfn.XLOOKUP($A58,Caixa!$C$53:$BK$53,Caixa!$C$60:$BK$60)/$F$40</f>
        <v>4.4096191493279981</v>
      </c>
      <c r="J58" s="21">
        <f>_xlfn.XLOOKUP($A58,Caixa!$C$53:$BK$53,Caixa!$C$61:$BK$61)/$F$40</f>
        <v>0.20000000000000093</v>
      </c>
    </row>
    <row r="59" spans="1:10" x14ac:dyDescent="0.3">
      <c r="A59" s="26">
        <f t="shared" si="14"/>
        <v>17</v>
      </c>
      <c r="B59" s="277">
        <f>_xlfn.XLOOKUP(Tabela2[[#This Row],[Periodo]],Caixa!$C$2:$BK$2,Caixa!$C$3:$BK$3)</f>
        <v>46752</v>
      </c>
      <c r="C59" s="274">
        <f>_xlfn.XLOOKUP($A59,Caixa!$C$53:$BK$53,Caixa!$C$54:$BK$54)</f>
        <v>2.59294946993609E-2</v>
      </c>
      <c r="D59" s="274">
        <f>_xlfn.XLOOKUP($A59,Caixa!$C$53:$BK$53,Caixa!$C$55:$BK$55)</f>
        <v>3.2946749978002954E-2</v>
      </c>
      <c r="E59" s="21">
        <f>_xlfn.XLOOKUP($A59,Caixa!$C$53:$BK$53,Caixa!$C$56:$BK$56)/$F$40</f>
        <v>12.815666171301945</v>
      </c>
      <c r="F59" s="21">
        <f>_xlfn.XLOOKUP($A59,Caixa!$C$53:$BK$53,Caixa!$C$57:$BK$57)/$F$40</f>
        <v>1.6976056193915581</v>
      </c>
      <c r="G59" s="21">
        <f>_xlfn.XLOOKUP($A59,Caixa!$C$53:$BK$53,Caixa!$C$58:$BK$58)/$F$40</f>
        <v>3.1599543118478484</v>
      </c>
      <c r="H59" s="21">
        <f>_xlfn.XLOOKUP($A59,Caixa!$C$53:$BK$53,Caixa!$C$59:$BK$59)/$F$40</f>
        <v>7.9581062400625386</v>
      </c>
      <c r="I59" s="21">
        <f>_xlfn.XLOOKUP($A59,Caixa!$C$53:$BK$53,Caixa!$C$60:$BK$60)/$F$40</f>
        <v>4.1305675353561133</v>
      </c>
      <c r="J59" s="21">
        <f>_xlfn.XLOOKUP($A59,Caixa!$C$53:$BK$53,Caixa!$C$61:$BK$61)/$F$40</f>
        <v>0.20000000000000093</v>
      </c>
    </row>
    <row r="60" spans="1:10" x14ac:dyDescent="0.3">
      <c r="A60" s="26">
        <f t="shared" si="14"/>
        <v>18</v>
      </c>
      <c r="B60" s="277">
        <f>_xlfn.XLOOKUP(Tabela2[[#This Row],[Periodo]],Caixa!$C$2:$BK$2,Caixa!$C$3:$BK$3)</f>
        <v>46783</v>
      </c>
      <c r="C60" s="274">
        <f>_xlfn.XLOOKUP($A60,Caixa!$C$53:$BK$53,Caixa!$C$54:$BK$54)</f>
        <v>2.5836554604859341E-2</v>
      </c>
      <c r="D60" s="274">
        <f>_xlfn.XLOOKUP($A60,Caixa!$C$53:$BK$53,Caixa!$C$55:$BK$55)</f>
        <v>3.3059862973409349E-2</v>
      </c>
      <c r="E60" s="21">
        <f>_xlfn.XLOOKUP($A60,Caixa!$C$53:$BK$53,Caixa!$C$56:$BK$56)/$F$40</f>
        <v>12.881446388648715</v>
      </c>
      <c r="F60" s="21">
        <f>_xlfn.XLOOKUP($A60,Caixa!$C$53:$BK$53,Caixa!$C$57:$BK$57)/$F$40</f>
        <v>1.4550905309070497</v>
      </c>
      <c r="G60" s="21">
        <f>_xlfn.XLOOKUP($A60,Caixa!$C$53:$BK$53,Caixa!$C$58:$BK$58)/$F$40</f>
        <v>3.2051557158548261</v>
      </c>
      <c r="H60" s="21">
        <f>_xlfn.XLOOKUP($A60,Caixa!$C$53:$BK$53,Caixa!$C$59:$BK$59)/$F$40</f>
        <v>8.2212001418868397</v>
      </c>
      <c r="I60" s="21">
        <f>_xlfn.XLOOKUP($A60,Caixa!$C$53:$BK$53,Caixa!$C$60:$BK$60)/$F$40</f>
        <v>4.1412597039645869</v>
      </c>
      <c r="J60" s="21">
        <f>_xlfn.XLOOKUP($A60,Caixa!$C$53:$BK$53,Caixa!$C$61:$BK$61)/$F$40</f>
        <v>0.20000000000001211</v>
      </c>
    </row>
    <row r="61" spans="1:10" x14ac:dyDescent="0.3">
      <c r="A61" s="26">
        <f t="shared" si="14"/>
        <v>19</v>
      </c>
      <c r="B61" s="277">
        <f>_xlfn.XLOOKUP(Tabela2[[#This Row],[Periodo]],Caixa!$C$2:$BK$2,Caixa!$C$3:$BK$3)</f>
        <v>46812</v>
      </c>
      <c r="C61" s="274">
        <f>_xlfn.XLOOKUP($A61,Caixa!$C$53:$BK$53,Caixa!$C$54:$BK$54)</f>
        <v>2.7958786176154771E-2</v>
      </c>
      <c r="D61" s="274">
        <f>_xlfn.XLOOKUP($A61,Caixa!$C$53:$BK$53,Caixa!$C$55:$BK$55)</f>
        <v>3.5829727290713098E-2</v>
      </c>
      <c r="E61" s="21">
        <f>_xlfn.XLOOKUP($A61,Caixa!$C$53:$BK$53,Caixa!$C$56:$BK$56)/$F$40</f>
        <v>12.979466839581635</v>
      </c>
      <c r="F61" s="21">
        <f>_xlfn.XLOOKUP($A61,Caixa!$C$53:$BK$53,Caixa!$C$57:$BK$57)/$F$40</f>
        <v>1.2125754424225412</v>
      </c>
      <c r="G61" s="21">
        <f>_xlfn.XLOOKUP($A61,Caixa!$C$53:$BK$53,Caixa!$C$58:$BK$58)/$F$40</f>
        <v>3.2511278961860786</v>
      </c>
      <c r="H61" s="21">
        <f>_xlfn.XLOOKUP($A61,Caixa!$C$53:$BK$53,Caixa!$C$59:$BK$59)/$F$40</f>
        <v>8.5157635009730157</v>
      </c>
      <c r="I61" s="21">
        <f>_xlfn.XLOOKUP($A61,Caixa!$C$53:$BK$53,Caixa!$C$60:$BK$60)/$F$40</f>
        <v>4.5076396002609203</v>
      </c>
      <c r="J61" s="21">
        <f>_xlfn.XLOOKUP($A61,Caixa!$C$53:$BK$53,Caixa!$C$61:$BK$61)/$F$40</f>
        <v>0.20000000000001211</v>
      </c>
    </row>
    <row r="62" spans="1:10" x14ac:dyDescent="0.3">
      <c r="A62" s="26">
        <f t="shared" si="14"/>
        <v>20</v>
      </c>
      <c r="B62" s="277">
        <f>_xlfn.XLOOKUP(Tabela2[[#This Row],[Periodo]],Caixa!$C$2:$BK$2,Caixa!$C$3:$BK$3)</f>
        <v>46843</v>
      </c>
      <c r="C62" s="274">
        <f>_xlfn.XLOOKUP($A62,Caixa!$C$53:$BK$53,Caixa!$C$54:$BK$54)</f>
        <v>2.5877670126932761E-2</v>
      </c>
      <c r="D62" s="274">
        <f>_xlfn.XLOOKUP($A62,Caixa!$C$53:$BK$53,Caixa!$C$55:$BK$55)</f>
        <v>3.1351461889912224E-2</v>
      </c>
      <c r="E62" s="21">
        <f>_xlfn.XLOOKUP($A62,Caixa!$C$53:$BK$53,Caixa!$C$56:$BK$56)/$F$40</f>
        <v>13.054947256733817</v>
      </c>
      <c r="F62" s="21">
        <f>_xlfn.XLOOKUP($A62,Caixa!$C$53:$BK$53,Caixa!$C$57:$BK$57)/$F$40</f>
        <v>0.97006035393803303</v>
      </c>
      <c r="G62" s="21">
        <f>_xlfn.XLOOKUP($A62,Caixa!$C$53:$BK$53,Caixa!$C$58:$BK$58)/$F$40</f>
        <v>3.3021417669585045</v>
      </c>
      <c r="H62" s="21">
        <f>_xlfn.XLOOKUP($A62,Caixa!$C$53:$BK$53,Caixa!$C$59:$BK$59)/$F$40</f>
        <v>8.7827451358372777</v>
      </c>
      <c r="I62" s="21">
        <f>_xlfn.XLOOKUP($A62,Caixa!$C$53:$BK$53,Caixa!$C$60:$BK$60)/$F$40</f>
        <v>4.2060479525082943</v>
      </c>
      <c r="J62" s="21">
        <f>_xlfn.XLOOKUP($A62,Caixa!$C$53:$BK$53,Caixa!$C$61:$BK$61)/$F$40</f>
        <v>0.20000000000001211</v>
      </c>
    </row>
    <row r="63" spans="1:10" x14ac:dyDescent="0.3">
      <c r="A63" s="26">
        <f t="shared" si="14"/>
        <v>21</v>
      </c>
      <c r="B63" s="277">
        <f>_xlfn.XLOOKUP(Tabela2[[#This Row],[Periodo]],Caixa!$C$2:$BK$2,Caixa!$C$3:$BK$3)</f>
        <v>46873</v>
      </c>
      <c r="C63" s="274">
        <f>_xlfn.XLOOKUP($A63,Caixa!$C$53:$BK$53,Caixa!$C$54:$BK$54)</f>
        <v>2.579572923525264E-2</v>
      </c>
      <c r="D63" s="274">
        <f>_xlfn.XLOOKUP($A63,Caixa!$C$53:$BK$53,Caixa!$C$55:$BK$55)</f>
        <v>3.1748137126508036E-2</v>
      </c>
      <c r="E63" s="21">
        <f>_xlfn.XLOOKUP($A63,Caixa!$C$53:$BK$53,Caixa!$C$56:$BK$56)/$F$40</f>
        <v>13.136658886409696</v>
      </c>
      <c r="F63" s="21">
        <f>_xlfn.XLOOKUP($A63,Caixa!$C$53:$BK$53,Caixa!$C$57:$BK$57)/$F$40</f>
        <v>0.72754526545352483</v>
      </c>
      <c r="G63" s="21">
        <f>_xlfn.XLOOKUP($A63,Caixa!$C$53:$BK$53,Caixa!$C$58:$BK$58)/$F$40</f>
        <v>3.3475326881991601</v>
      </c>
      <c r="H63" s="21">
        <f>_xlfn.XLOOKUP($A63,Caixa!$C$53:$BK$53,Caixa!$C$59:$BK$59)/$F$40</f>
        <v>9.0615809327570105</v>
      </c>
      <c r="I63" s="21">
        <f>_xlfn.XLOOKUP($A63,Caixa!$C$53:$BK$53,Caixa!$C$60:$BK$60)/$F$40</f>
        <v>4.2229713336404657</v>
      </c>
      <c r="J63" s="21">
        <f>_xlfn.XLOOKUP($A63,Caixa!$C$53:$BK$53,Caixa!$C$61:$BK$61)/$F$40</f>
        <v>0.20000000000001211</v>
      </c>
    </row>
    <row r="64" spans="1:10" x14ac:dyDescent="0.3">
      <c r="A64" s="26">
        <f t="shared" si="14"/>
        <v>22</v>
      </c>
      <c r="B64" s="277">
        <f>_xlfn.XLOOKUP(Tabela2[[#This Row],[Periodo]],Caixa!$C$2:$BK$2,Caixa!$C$3:$BK$3)</f>
        <v>46904</v>
      </c>
      <c r="C64" s="274">
        <f>_xlfn.XLOOKUP($A64,Caixa!$C$53:$BK$53,Caixa!$C$54:$BK$54)</f>
        <v>2.8059100042086227E-2</v>
      </c>
      <c r="D64" s="274">
        <f>_xlfn.XLOOKUP($A64,Caixa!$C$53:$BK$53,Caixa!$C$55:$BK$55)</f>
        <v>3.3967989486991312E-2</v>
      </c>
      <c r="E64" s="21">
        <f>_xlfn.XLOOKUP($A64,Caixa!$C$53:$BK$53,Caixa!$C$56:$BK$56)/$F$40</f>
        <v>13.252431793095385</v>
      </c>
      <c r="F64" s="21">
        <f>_xlfn.XLOOKUP($A64,Caixa!$C$53:$BK$53,Caixa!$C$57:$BK$57)/$F$40</f>
        <v>0.48503017696901651</v>
      </c>
      <c r="G64" s="21">
        <f>_xlfn.XLOOKUP($A64,Caixa!$C$53:$BK$53,Caixa!$C$58:$BK$58)/$F$40</f>
        <v>3.3980169975099468</v>
      </c>
      <c r="H64" s="21">
        <f>_xlfn.XLOOKUP($A64,Caixa!$C$53:$BK$53,Caixa!$C$59:$BK$59)/$F$40</f>
        <v>9.3693846186164205</v>
      </c>
      <c r="I64" s="21">
        <f>_xlfn.XLOOKUP($A64,Caixa!$C$53:$BK$53,Caixa!$C$60:$BK$60)/$F$40</f>
        <v>4.6234125069466092</v>
      </c>
      <c r="J64" s="21">
        <f>_xlfn.XLOOKUP($A64,Caixa!$C$53:$BK$53,Caixa!$C$61:$BK$61)/$F$40</f>
        <v>0.20000000000001211</v>
      </c>
    </row>
    <row r="65" spans="1:10" x14ac:dyDescent="0.3">
      <c r="A65" s="26">
        <f t="shared" si="14"/>
        <v>23</v>
      </c>
      <c r="B65" s="277">
        <f>_xlfn.XLOOKUP(Tabela2[[#This Row],[Periodo]],Caixa!$C$2:$BK$2,Caixa!$C$3:$BK$3)</f>
        <v>46934</v>
      </c>
      <c r="C65" s="274">
        <f>_xlfn.XLOOKUP($A65,Caixa!$C$53:$BK$53,Caixa!$C$54:$BK$54)</f>
        <v>2.5833166825579346E-2</v>
      </c>
      <c r="D65" s="274">
        <f>_xlfn.XLOOKUP($A65,Caixa!$C$53:$BK$53,Caixa!$C$55:$BK$55)</f>
        <v>3.0322620925222088E-2</v>
      </c>
      <c r="E65" s="21">
        <f>_xlfn.XLOOKUP($A65,Caixa!$C$53:$BK$53,Caixa!$C$56:$BK$56)/$F$40</f>
        <v>13.345376735270534</v>
      </c>
      <c r="F65" s="21">
        <f>_xlfn.XLOOKUP($A65,Caixa!$C$53:$BK$53,Caixa!$C$57:$BK$57)/$F$40</f>
        <v>0.2425150884845082</v>
      </c>
      <c r="G65" s="21">
        <f>_xlfn.XLOOKUP($A65,Caixa!$C$53:$BK$53,Caixa!$C$58:$BK$58)/$F$40</f>
        <v>3.449372730076691</v>
      </c>
      <c r="H65" s="21">
        <f>_xlfn.XLOOKUP($A65,Caixa!$C$53:$BK$53,Caixa!$C$59:$BK$59)/$F$40</f>
        <v>9.6534889167093336</v>
      </c>
      <c r="I65" s="21">
        <f>_xlfn.XLOOKUP($A65,Caixa!$C$53:$BK$53,Caixa!$C$60:$BK$60)/$F$40</f>
        <v>4.2989928946834448</v>
      </c>
      <c r="J65" s="21">
        <f>_xlfn.XLOOKUP($A65,Caixa!$C$53:$BK$53,Caixa!$C$61:$BK$61)/$F$40</f>
        <v>0.20000000000001211</v>
      </c>
    </row>
    <row r="66" spans="1:10" x14ac:dyDescent="0.3">
      <c r="A66" s="26">
        <f t="shared" si="14"/>
        <v>24</v>
      </c>
      <c r="B66" s="277">
        <f>_xlfn.XLOOKUP(Tabela2[[#This Row],[Periodo]],Caixa!$C$2:$BK$2,Caixa!$C$3:$BK$3)</f>
        <v>46965</v>
      </c>
      <c r="C66" s="274">
        <f>_xlfn.XLOOKUP($A66,Caixa!$C$53:$BK$53,Caixa!$C$54:$BK$54)</f>
        <v>2.5760993543198385E-2</v>
      </c>
      <c r="D66" s="274">
        <f>_xlfn.XLOOKUP($A66,Caixa!$C$53:$BK$53,Caixa!$C$55:$BK$55)</f>
        <v>3.0101940800063121E-2</v>
      </c>
      <c r="E66" s="21">
        <f>_xlfn.XLOOKUP($A66,Caixa!$C$53:$BK$53,Caixa!$C$56:$BK$56)/$F$40</f>
        <v>13.443352779749308</v>
      </c>
      <c r="F66" s="21">
        <f>_xlfn.XLOOKUP($A66,Caixa!$C$53:$BK$53,Caixa!$C$57:$BK$57)/$F$40</f>
        <v>7.549516567451065E-17</v>
      </c>
      <c r="G66" s="21">
        <f>_xlfn.XLOOKUP($A66,Caixa!$C$53:$BK$53,Caixa!$C$58:$BK$58)/$F$40</f>
        <v>3.4992751111551241</v>
      </c>
      <c r="H66" s="21">
        <f>_xlfn.XLOOKUP($A66,Caixa!$C$53:$BK$53,Caixa!$C$59:$BK$59)/$F$40</f>
        <v>9.9440776685941827</v>
      </c>
      <c r="I66" s="21">
        <f>_xlfn.XLOOKUP($A66,Caixa!$C$53:$BK$53,Caixa!$C$60:$BK$60)/$F$40</f>
        <v>4.3209473781192376</v>
      </c>
      <c r="J66" s="21">
        <f>_xlfn.XLOOKUP($A66,Caixa!$C$53:$BK$53,Caixa!$C$61:$BK$61)/$F$40</f>
        <v>0.20000000000001211</v>
      </c>
    </row>
    <row r="67" spans="1:10" x14ac:dyDescent="0.3">
      <c r="A67" s="26">
        <f t="shared" si="14"/>
        <v>25</v>
      </c>
      <c r="B67" s="277">
        <f>_xlfn.XLOOKUP(Tabela2[[#This Row],[Periodo]],Caixa!$C$2:$BK$2,Caixa!$C$3:$BK$3)</f>
        <v>46996</v>
      </c>
      <c r="C67" s="274">
        <f>_xlfn.XLOOKUP($A67,Caixa!$C$53:$BK$53,Caixa!$C$54:$BK$54)</f>
        <v>2.8248471535063047E-2</v>
      </c>
      <c r="D67" s="274">
        <f>_xlfn.XLOOKUP($A67,Caixa!$C$53:$BK$53,Caixa!$C$55:$BK$55)</f>
        <v>3.2622708787753085E-2</v>
      </c>
      <c r="E67" s="21">
        <f>_xlfn.XLOOKUP($A67,Caixa!$C$53:$BK$53,Caixa!$C$56:$BK$56)/$F$40</f>
        <v>13.476149270431728</v>
      </c>
      <c r="F67" s="21">
        <f>_xlfn.XLOOKUP($A67,Caixa!$C$53:$BK$53,Caixa!$C$57:$BK$57)/$F$40</f>
        <v>7.6618122175788737E-17</v>
      </c>
      <c r="G67" s="21">
        <f>_xlfn.XLOOKUP($A67,Caixa!$C$53:$BK$53,Caixa!$C$58:$BK$58)/$F$40</f>
        <v>3.2076688518921972</v>
      </c>
      <c r="H67" s="21">
        <f>_xlfn.XLOOKUP($A67,Caixa!$C$53:$BK$53,Caixa!$C$59:$BK$59)/$F$40</f>
        <v>10.26848041853953</v>
      </c>
      <c r="I67" s="21">
        <f>_xlfn.XLOOKUP($A67,Caixa!$C$53:$BK$53,Caixa!$C$60:$BK$60)/$F$40</f>
        <v>4.6562089976290295</v>
      </c>
      <c r="J67" s="21">
        <f>_xlfn.XLOOKUP($A67,Caixa!$C$53:$BK$53,Caixa!$C$61:$BK$61)/$F$40</f>
        <v>0.20000000000001211</v>
      </c>
    </row>
    <row r="68" spans="1:10" x14ac:dyDescent="0.3">
      <c r="A68" s="26">
        <f t="shared" si="14"/>
        <v>26</v>
      </c>
      <c r="B68" s="277">
        <f>_xlfn.XLOOKUP(Tabela2[[#This Row],[Periodo]],Caixa!$C$2:$BK$2,Caixa!$C$3:$BK$3)</f>
        <v>47026</v>
      </c>
      <c r="C68" s="274">
        <f>_xlfn.XLOOKUP($A68,Caixa!$C$53:$BK$53,Caixa!$C$54:$BK$54)</f>
        <v>2.6079297578972538E-2</v>
      </c>
      <c r="D68" s="274">
        <f>_xlfn.XLOOKUP($A68,Caixa!$C$53:$BK$53,Caixa!$C$55:$BK$55)</f>
        <v>2.9697052871660023E-2</v>
      </c>
      <c r="E68" s="21">
        <f>_xlfn.XLOOKUP($A68,Caixa!$C$53:$BK$53,Caixa!$C$56:$BK$56)/$F$40</f>
        <v>13.489486617069774</v>
      </c>
      <c r="F68" s="21">
        <f>_xlfn.XLOOKUP($A68,Caixa!$C$53:$BK$53,Caixa!$C$57:$BK$57)/$F$40</f>
        <v>7.7662758687507139E-17</v>
      </c>
      <c r="G68" s="21">
        <f>_xlfn.XLOOKUP($A68,Caixa!$C$53:$BK$53,Caixa!$C$58:$BK$58)/$F$40</f>
        <v>2.9160625926292698</v>
      </c>
      <c r="H68" s="21">
        <f>_xlfn.XLOOKUP($A68,Caixa!$C$53:$BK$53,Caixa!$C$59:$BK$59)/$F$40</f>
        <v>10.573424024440504</v>
      </c>
      <c r="I68" s="21">
        <f>_xlfn.XLOOKUP($A68,Caixa!$C$53:$BK$53,Caixa!$C$60:$BK$60)/$F$40</f>
        <v>4.312330241321491</v>
      </c>
      <c r="J68" s="21">
        <f>_xlfn.XLOOKUP($A68,Caixa!$C$53:$BK$53,Caixa!$C$61:$BK$61)/$F$40</f>
        <v>0.20000000000001211</v>
      </c>
    </row>
    <row r="69" spans="1:10" x14ac:dyDescent="0.3">
      <c r="A69" s="26">
        <f t="shared" si="14"/>
        <v>27</v>
      </c>
      <c r="B69" s="277">
        <f>_xlfn.XLOOKUP(Tabela2[[#This Row],[Periodo]],Caixa!$C$2:$BK$2,Caixa!$C$3:$BK$3)</f>
        <v>47057</v>
      </c>
      <c r="C69" s="274">
        <f>_xlfn.XLOOKUP($A69,Caixa!$C$53:$BK$53,Caixa!$C$54:$BK$54)</f>
        <v>2.6192129270203868E-2</v>
      </c>
      <c r="D69" s="274">
        <f>_xlfn.XLOOKUP($A69,Caixa!$C$53:$BK$53,Caixa!$C$55:$BK$55)</f>
        <v>2.9412996307739192E-2</v>
      </c>
      <c r="E69" s="21">
        <f>_xlfn.XLOOKUP($A69,Caixa!$C$53:$BK$53,Caixa!$C$56:$BK$56)/$F$40</f>
        <v>13.508876439597875</v>
      </c>
      <c r="F69" s="21">
        <f>_xlfn.XLOOKUP($A69,Caixa!$C$53:$BK$53,Caixa!$C$57:$BK$57)/$F$40</f>
        <v>7.8722838564770462E-17</v>
      </c>
      <c r="G69" s="21">
        <f>_xlfn.XLOOKUP($A69,Caixa!$C$53:$BK$53,Caixa!$C$58:$BK$58)/$F$40</f>
        <v>2.6244563333663429</v>
      </c>
      <c r="H69" s="21">
        <f>_xlfn.XLOOKUP($A69,Caixa!$C$53:$BK$53,Caixa!$C$59:$BK$59)/$F$40</f>
        <v>10.884420106231532</v>
      </c>
      <c r="I69" s="21">
        <f>_xlfn.XLOOKUP($A69,Caixa!$C$53:$BK$53,Caixa!$C$60:$BK$60)/$F$40</f>
        <v>4.3403372006473395</v>
      </c>
      <c r="J69" s="21">
        <f>_xlfn.XLOOKUP($A69,Caixa!$C$53:$BK$53,Caixa!$C$61:$BK$61)/$F$40</f>
        <v>0.20000000000001211</v>
      </c>
    </row>
    <row r="70" spans="1:10" x14ac:dyDescent="0.3">
      <c r="A70" s="26">
        <f t="shared" si="14"/>
        <v>28</v>
      </c>
      <c r="B70" s="277">
        <f>_xlfn.XLOOKUP(Tabela2[[#This Row],[Periodo]],Caixa!$C$2:$BK$2,Caixa!$C$3:$BK$3)</f>
        <v>47087</v>
      </c>
      <c r="C70" s="274">
        <f>_xlfn.XLOOKUP($A70,Caixa!$C$53:$BK$53,Caixa!$C$54:$BK$54)</f>
        <v>2.8310843919380657E-2</v>
      </c>
      <c r="D70" s="274">
        <f>_xlfn.XLOOKUP($A70,Caixa!$C$53:$BK$53,Caixa!$C$55:$BK$55)</f>
        <v>3.1475443499561662E-2</v>
      </c>
      <c r="E70" s="21">
        <f>_xlfn.XLOOKUP($A70,Caixa!$C$53:$BK$53,Caixa!$C$56:$BK$56)/$F$40</f>
        <v>13.559862130414132</v>
      </c>
      <c r="F70" s="21">
        <f>_xlfn.XLOOKUP($A70,Caixa!$C$53:$BK$53,Caixa!$C$57:$BK$57)/$F$40</f>
        <v>7.9847214860733327E-17</v>
      </c>
      <c r="G70" s="21">
        <f>_xlfn.XLOOKUP($A70,Caixa!$C$53:$BK$53,Caixa!$C$58:$BK$58)/$F$40</f>
        <v>2.3328500741034155</v>
      </c>
      <c r="H70" s="21">
        <f>_xlfn.XLOOKUP($A70,Caixa!$C$53:$BK$53,Caixa!$C$59:$BK$59)/$F$40</f>
        <v>11.227012056310716</v>
      </c>
      <c r="I70" s="21">
        <f>_xlfn.XLOOKUP($A70,Caixa!$C$53:$BK$53,Caixa!$C$60:$BK$60)/$F$40</f>
        <v>4.707194688445286</v>
      </c>
      <c r="J70" s="21">
        <f>_xlfn.XLOOKUP($A70,Caixa!$C$53:$BK$53,Caixa!$C$61:$BK$61)/$F$40</f>
        <v>0.20000000000001211</v>
      </c>
    </row>
    <row r="71" spans="1:10" x14ac:dyDescent="0.3">
      <c r="A71" s="26">
        <f t="shared" si="14"/>
        <v>29</v>
      </c>
      <c r="B71" s="277">
        <f>_xlfn.XLOOKUP(Tabela2[[#This Row],[Periodo]],Caixa!$C$2:$BK$2,Caixa!$C$3:$BK$3)</f>
        <v>47118</v>
      </c>
      <c r="C71" s="274">
        <f>_xlfn.XLOOKUP($A71,Caixa!$C$53:$BK$53,Caixa!$C$54:$BK$54)</f>
        <v>2.5994805361747586E-2</v>
      </c>
      <c r="D71" s="274">
        <f>_xlfn.XLOOKUP($A71,Caixa!$C$53:$BK$53,Caixa!$C$55:$BK$55)</f>
        <v>2.8375672394661544E-2</v>
      </c>
      <c r="E71" s="21">
        <f>_xlfn.XLOOKUP($A71,Caixa!$C$53:$BK$53,Caixa!$C$56:$BK$56)/$F$40</f>
        <v>13.586829887231994</v>
      </c>
      <c r="F71" s="21">
        <f>_xlfn.XLOOKUP($A71,Caixa!$C$53:$BK$53,Caixa!$C$57:$BK$57)/$F$40</f>
        <v>8.0938963047417531E-17</v>
      </c>
      <c r="G71" s="21">
        <f>_xlfn.XLOOKUP($A71,Caixa!$C$53:$BK$53,Caixa!$C$58:$BK$58)/$F$40</f>
        <v>2.0412438148404881</v>
      </c>
      <c r="H71" s="21">
        <f>_xlfn.XLOOKUP($A71,Caixa!$C$53:$BK$53,Caixa!$C$59:$BK$59)/$F$40</f>
        <v>11.545586072391506</v>
      </c>
      <c r="I71" s="21">
        <f>_xlfn.XLOOKUP($A71,Caixa!$C$53:$BK$53,Caixa!$C$60:$BK$60)/$F$40</f>
        <v>4.3392979981393518</v>
      </c>
      <c r="J71" s="21">
        <f>_xlfn.XLOOKUP($A71,Caixa!$C$53:$BK$53,Caixa!$C$61:$BK$61)/$F$40</f>
        <v>0.20000000000001211</v>
      </c>
    </row>
    <row r="72" spans="1:10" x14ac:dyDescent="0.3">
      <c r="A72" s="26">
        <f t="shared" si="14"/>
        <v>30</v>
      </c>
      <c r="B72" s="277">
        <f>_xlfn.XLOOKUP(Tabela2[[#This Row],[Periodo]],Caixa!$C$2:$BK$2,Caixa!$C$3:$BK$3)</f>
        <v>47149</v>
      </c>
      <c r="C72" s="274">
        <f>_xlfn.XLOOKUP($A72,Caixa!$C$53:$BK$53,Caixa!$C$54:$BK$54)</f>
        <v>2.6120361798132041E-2</v>
      </c>
      <c r="D72" s="274">
        <f>_xlfn.XLOOKUP($A72,Caixa!$C$53:$BK$53,Caixa!$C$55:$BK$55)</f>
        <v>2.804920075925077E-2</v>
      </c>
      <c r="E72" s="21">
        <f>_xlfn.XLOOKUP($A72,Caixa!$C$53:$BK$53,Caixa!$C$56:$BK$56)/$F$40</f>
        <v>13.619068089596785</v>
      </c>
      <c r="F72" s="21">
        <f>_xlfn.XLOOKUP($A72,Caixa!$C$53:$BK$53,Caixa!$C$57:$BK$57)/$F$40</f>
        <v>8.209695423161118E-17</v>
      </c>
      <c r="G72" s="21">
        <f>_xlfn.XLOOKUP($A72,Caixa!$C$53:$BK$53,Caixa!$C$58:$BK$58)/$F$40</f>
        <v>1.7496375555775612</v>
      </c>
      <c r="H72" s="21">
        <f>_xlfn.XLOOKUP($A72,Caixa!$C$53:$BK$53,Caixa!$C$59:$BK$59)/$F$40</f>
        <v>11.869430534019225</v>
      </c>
      <c r="I72" s="21">
        <f>_xlfn.XLOOKUP($A72,Caixa!$C$53:$BK$53,Caixa!$C$60:$BK$60)/$F$40</f>
        <v>4.3725754030121324</v>
      </c>
      <c r="J72" s="21">
        <f>_xlfn.XLOOKUP($A72,Caixa!$C$53:$BK$53,Caixa!$C$61:$BK$61)/$F$40</f>
        <v>0.20000000000001211</v>
      </c>
    </row>
    <row r="73" spans="1:10" x14ac:dyDescent="0.3">
      <c r="A73" s="26">
        <f t="shared" si="14"/>
        <v>31</v>
      </c>
      <c r="B73" s="277">
        <f>_xlfn.XLOOKUP(Tabela2[[#This Row],[Periodo]],Caixa!$C$2:$BK$2,Caixa!$C$3:$BK$3)</f>
        <v>47177</v>
      </c>
      <c r="C73" s="274">
        <f>_xlfn.XLOOKUP($A73,Caixa!$C$53:$BK$53,Caixa!$C$54:$BK$54)</f>
        <v>2.8395574566832504E-2</v>
      </c>
      <c r="D73" s="274">
        <f>_xlfn.XLOOKUP($A73,Caixa!$C$53:$BK$53,Caixa!$C$55:$BK$55)</f>
        <v>3.0534367428343145E-2</v>
      </c>
      <c r="E73" s="21">
        <f>_xlfn.XLOOKUP($A73,Caixa!$C$53:$BK$53,Caixa!$C$56:$BK$56)/$F$40</f>
        <v>13.689887383424796</v>
      </c>
      <c r="F73" s="21">
        <f>_xlfn.XLOOKUP($A73,Caixa!$C$53:$BK$53,Caixa!$C$57:$BK$57)/$F$40</f>
        <v>8.3169318590248878E-17</v>
      </c>
      <c r="G73" s="21">
        <f>_xlfn.XLOOKUP($A73,Caixa!$C$53:$BK$53,Caixa!$C$58:$BK$58)/$F$40</f>
        <v>1.4580312963146342</v>
      </c>
      <c r="H73" s="21">
        <f>_xlfn.XLOOKUP($A73,Caixa!$C$53:$BK$53,Caixa!$C$59:$BK$59)/$F$40</f>
        <v>12.231856087110161</v>
      </c>
      <c r="I73" s="21">
        <f>_xlfn.XLOOKUP($A73,Caixa!$C$53:$BK$53,Caixa!$C$60:$BK$60)/$F$40</f>
        <v>4.7780139822732961</v>
      </c>
      <c r="J73" s="21">
        <f>_xlfn.XLOOKUP($A73,Caixa!$C$53:$BK$53,Caixa!$C$61:$BK$61)/$F$40</f>
        <v>0.20000000000001211</v>
      </c>
    </row>
    <row r="74" spans="1:10" x14ac:dyDescent="0.3">
      <c r="A74" s="26">
        <f t="shared" si="14"/>
        <v>32</v>
      </c>
      <c r="B74" s="277">
        <f>_xlfn.XLOOKUP(Tabela2[[#This Row],[Periodo]],Caixa!$C$2:$BK$2,Caixa!$C$3:$BK$3)</f>
        <v>47208</v>
      </c>
      <c r="C74" s="274">
        <f>_xlfn.XLOOKUP($A74,Caixa!$C$53:$BK$53,Caixa!$C$54:$BK$54)</f>
        <v>2.5910671653754935E-2</v>
      </c>
      <c r="D74" s="274">
        <f>_xlfn.XLOOKUP($A74,Caixa!$C$53:$BK$53,Caixa!$C$55:$BK$55)</f>
        <v>2.7183228162414252E-2</v>
      </c>
      <c r="E74" s="21">
        <f>_xlfn.XLOOKUP($A74,Caixa!$C$53:$BK$53,Caixa!$C$56:$BK$56)/$F$40</f>
        <v>13.7307824590276</v>
      </c>
      <c r="F74" s="21">
        <f>_xlfn.XLOOKUP($A74,Caixa!$C$53:$BK$53,Caixa!$C$57:$BK$57)/$F$40</f>
        <v>8.4361235604012002E-17</v>
      </c>
      <c r="G74" s="21">
        <f>_xlfn.XLOOKUP($A74,Caixa!$C$53:$BK$53,Caixa!$C$58:$BK$58)/$F$40</f>
        <v>1.1664250370517071</v>
      </c>
      <c r="H74" s="21">
        <f>_xlfn.XLOOKUP($A74,Caixa!$C$53:$BK$53,Caixa!$C$59:$BK$59)/$F$40</f>
        <v>12.564357421975892</v>
      </c>
      <c r="I74" s="21">
        <f>_xlfn.XLOOKUP($A74,Caixa!$C$53:$BK$53,Caixa!$C$60:$BK$60)/$F$40</f>
        <v>4.3801930737421548</v>
      </c>
      <c r="J74" s="21">
        <f>_xlfn.XLOOKUP($A74,Caixa!$C$53:$BK$53,Caixa!$C$61:$BK$61)/$F$40</f>
        <v>0.20000000000001211</v>
      </c>
    </row>
    <row r="75" spans="1:10" x14ac:dyDescent="0.3">
      <c r="A75" s="26">
        <f t="shared" si="14"/>
        <v>33</v>
      </c>
      <c r="B75" s="277">
        <f>_xlfn.XLOOKUP(Tabela2[[#This Row],[Periodo]],Caixa!$C$2:$BK$2,Caixa!$C$3:$BK$3)</f>
        <v>47238</v>
      </c>
      <c r="C75" s="274">
        <f>_xlfn.XLOOKUP($A75,Caixa!$C$53:$BK$53,Caixa!$C$54:$BK$54)</f>
        <v>2.6039864240543054E-2</v>
      </c>
      <c r="D75" s="274">
        <f>_xlfn.XLOOKUP($A75,Caixa!$C$53:$BK$53,Caixa!$C$55:$BK$55)</f>
        <v>2.7165429506536665E-2</v>
      </c>
      <c r="E75" s="21">
        <f>_xlfn.XLOOKUP($A75,Caixa!$C$53:$BK$53,Caixa!$C$56:$BK$56)/$F$40</f>
        <v>13.780492365606289</v>
      </c>
      <c r="F75" s="21">
        <f>_xlfn.XLOOKUP($A75,Caixa!$C$53:$BK$53,Caixa!$C$57:$BK$57)/$F$40</f>
        <v>8.5465662700490827E-17</v>
      </c>
      <c r="G75" s="21">
        <f>_xlfn.XLOOKUP($A75,Caixa!$C$53:$BK$53,Caixa!$C$58:$BK$58)/$F$40</f>
        <v>0.87481877778877981</v>
      </c>
      <c r="H75" s="21">
        <f>_xlfn.XLOOKUP($A75,Caixa!$C$53:$BK$53,Caixa!$C$59:$BK$59)/$F$40</f>
        <v>12.905673587817509</v>
      </c>
      <c r="I75" s="21">
        <f>_xlfn.XLOOKUP($A75,Caixa!$C$53:$BK$53,Caixa!$C$60:$BK$60)/$F$40</f>
        <v>4.4222853095908201</v>
      </c>
      <c r="J75" s="21">
        <f>_xlfn.XLOOKUP($A75,Caixa!$C$53:$BK$53,Caixa!$C$61:$BK$61)/$F$40</f>
        <v>0.20000000000001211</v>
      </c>
    </row>
    <row r="76" spans="1:10" x14ac:dyDescent="0.3">
      <c r="A76" s="26">
        <f t="shared" ref="A76:A102" si="15">A75+1</f>
        <v>34</v>
      </c>
      <c r="B76" s="277">
        <f>_xlfn.XLOOKUP(Tabela2[[#This Row],[Periodo]],Caixa!$C$2:$BK$2,Caixa!$C$3:$BK$3)</f>
        <v>47269</v>
      </c>
      <c r="C76" s="274">
        <f>_xlfn.XLOOKUP($A76,Caixa!$C$53:$BK$53,Caixa!$C$54:$BK$54)</f>
        <v>2.8502407648075101E-2</v>
      </c>
      <c r="D76" s="274">
        <f>_xlfn.XLOOKUP($A76,Caixa!$C$53:$BK$53,Caixa!$C$55:$BK$55)</f>
        <v>2.9355359176918672E-2</v>
      </c>
      <c r="E76" s="21">
        <f>_xlfn.XLOOKUP($A76,Caixa!$C$53:$BK$53,Caixa!$C$56:$BK$56)/$F$40</f>
        <v>13.867736789933819</v>
      </c>
      <c r="F76" s="21">
        <f>_xlfn.XLOOKUP($A76,Caixa!$C$53:$BK$53,Caixa!$C$57:$BK$57)/$F$40</f>
        <v>8.6745580712108867E-17</v>
      </c>
      <c r="G76" s="21">
        <f>_xlfn.XLOOKUP($A76,Caixa!$C$53:$BK$53,Caixa!$C$58:$BK$58)/$F$40</f>
        <v>0.58321251852585299</v>
      </c>
      <c r="H76" s="21">
        <f>_xlfn.XLOOKUP($A76,Caixa!$C$53:$BK$53,Caixa!$C$59:$BK$59)/$F$40</f>
        <v>13.284524271407966</v>
      </c>
      <c r="I76" s="21">
        <f>_xlfn.XLOOKUP($A76,Caixa!$C$53:$BK$53,Caixa!$C$60:$BK$60)/$F$40</f>
        <v>4.8652584066008275</v>
      </c>
      <c r="J76" s="21">
        <f>_xlfn.XLOOKUP($A76,Caixa!$C$53:$BK$53,Caixa!$C$61:$BK$61)/$F$40</f>
        <v>0.20000000000001211</v>
      </c>
    </row>
    <row r="77" spans="1:10" x14ac:dyDescent="0.3">
      <c r="A77" s="26">
        <f t="shared" si="15"/>
        <v>35</v>
      </c>
      <c r="B77" s="277">
        <f>_xlfn.XLOOKUP(Tabela2[[#This Row],[Periodo]],Caixa!$C$2:$BK$2,Caixa!$C$3:$BK$3)</f>
        <v>47299</v>
      </c>
      <c r="C77" s="274">
        <f>_xlfn.XLOOKUP($A77,Caixa!$C$53:$BK$53,Caixa!$C$54:$BK$54)</f>
        <v>2.5824438381254922E-2</v>
      </c>
      <c r="D77" s="274">
        <f>_xlfn.XLOOKUP($A77,Caixa!$C$53:$BK$53,Caixa!$C$55:$BK$55)</f>
        <v>2.6317612654278122E-2</v>
      </c>
      <c r="E77" s="21">
        <f>_xlfn.XLOOKUP($A77,Caixa!$C$53:$BK$53,Caixa!$C$56:$BK$56)/$F$40</f>
        <v>13.925747494742163</v>
      </c>
      <c r="F77" s="21">
        <f>_xlfn.XLOOKUP($A77,Caixa!$C$53:$BK$53,Caixa!$C$57:$BK$57)/$F$40</f>
        <v>8.7936340169038506E-17</v>
      </c>
      <c r="G77" s="21">
        <f>_xlfn.XLOOKUP($A77,Caixa!$C$53:$BK$53,Caixa!$C$58:$BK$58)/$F$40</f>
        <v>0.29160625926292583</v>
      </c>
      <c r="H77" s="21">
        <f>_xlfn.XLOOKUP($A77,Caixa!$C$53:$BK$53,Caixa!$C$59:$BK$59)/$F$40</f>
        <v>13.634141235479238</v>
      </c>
      <c r="I77" s="21">
        <f>_xlfn.XLOOKUP($A77,Caixa!$C$53:$BK$53,Caixa!$C$60:$BK$60)/$F$40</f>
        <v>4.4382037785504975</v>
      </c>
      <c r="J77" s="21">
        <f>_xlfn.XLOOKUP($A77,Caixa!$C$53:$BK$53,Caixa!$C$61:$BK$61)/$F$40</f>
        <v>0.20000000000001211</v>
      </c>
    </row>
    <row r="78" spans="1:10" x14ac:dyDescent="0.3">
      <c r="A78" s="26">
        <f t="shared" si="15"/>
        <v>36</v>
      </c>
      <c r="B78" s="277">
        <f>_xlfn.XLOOKUP(Tabela2[[#This Row],[Periodo]],Caixa!$C$2:$BK$2,Caixa!$C$3:$BK$3)</f>
        <v>47330</v>
      </c>
      <c r="C78" s="274">
        <f>_xlfn.XLOOKUP($A78,Caixa!$C$53:$BK$53,Caixa!$C$54:$BK$54)</f>
        <v>2.5976760815726863E-2</v>
      </c>
      <c r="D78" s="274">
        <f>_xlfn.XLOOKUP($A78,Caixa!$C$53:$BK$53,Caixa!$C$55:$BK$55)</f>
        <v>2.6219952078550657E-2</v>
      </c>
      <c r="E78" s="21">
        <f>_xlfn.XLOOKUP($A78,Caixa!$C$53:$BK$53,Caixa!$C$56:$BK$56)/$F$40</f>
        <v>13.991627765305694</v>
      </c>
      <c r="F78" s="21">
        <f>_xlfn.XLOOKUP($A78,Caixa!$C$53:$BK$53,Caixa!$C$57:$BK$57)/$F$40</f>
        <v>8.9144803172549937E-17</v>
      </c>
      <c r="G78" s="21">
        <f>_xlfn.XLOOKUP($A78,Caixa!$C$53:$BK$53,Caixa!$C$58:$BK$58)/$F$40</f>
        <v>-1.0480505352461477E-15</v>
      </c>
      <c r="H78" s="21">
        <f>_xlfn.XLOOKUP($A78,Caixa!$C$53:$BK$53,Caixa!$C$59:$BK$59)/$F$40</f>
        <v>13.991627765305696</v>
      </c>
      <c r="I78" s="21">
        <f>_xlfn.XLOOKUP($A78,Caixa!$C$53:$BK$53,Caixa!$C$60:$BK$60)/$F$40</f>
        <v>4.4881655801543516</v>
      </c>
      <c r="J78" s="21">
        <f>_xlfn.XLOOKUP($A78,Caixa!$C$53:$BK$53,Caixa!$C$61:$BK$61)/$F$40</f>
        <v>0.20000000000001211</v>
      </c>
    </row>
    <row r="79" spans="1:10" x14ac:dyDescent="0.3">
      <c r="A79" s="26">
        <f t="shared" si="15"/>
        <v>37</v>
      </c>
      <c r="B79" s="277">
        <f>_xlfn.XLOOKUP(Tabela2[[#This Row],[Periodo]],Caixa!$C$2:$BK$2,Caixa!$C$3:$BK$3)</f>
        <v>47361</v>
      </c>
      <c r="C79" s="274">
        <f>_xlfn.XLOOKUP($A79,Caixa!$C$53:$BK$53,Caixa!$C$54:$BK$54)</f>
        <v>2.8368342435438842E-2</v>
      </c>
      <c r="D79" s="274">
        <f>_xlfn.XLOOKUP($A79,Caixa!$C$53:$BK$53,Caixa!$C$55:$BK$55)</f>
        <v>2.8368342435438842E-2</v>
      </c>
      <c r="E79" s="21">
        <f>_xlfn.XLOOKUP($A79,Caixa!$C$53:$BK$53,Caixa!$C$56:$BK$56)/$F$40</f>
        <v>14.388547052981078</v>
      </c>
      <c r="F79" s="21">
        <f>_xlfn.XLOOKUP($A79,Caixa!$C$53:$BK$53,Caixa!$C$57:$BK$57)/$F$40</f>
        <v>9.0482826561668444E-17</v>
      </c>
      <c r="G79" s="21">
        <f>_xlfn.XLOOKUP($A79,Caixa!$C$53:$BK$53,Caixa!$C$58:$BK$58)/$F$40</f>
        <v>-1.0647701841253281E-15</v>
      </c>
      <c r="H79" s="21">
        <f>_xlfn.XLOOKUP($A79,Caixa!$C$53:$BK$53,Caixa!$C$59:$BK$59)/$F$40</f>
        <v>14.38854705298108</v>
      </c>
      <c r="I79" s="21">
        <f>_xlfn.XLOOKUP($A79,Caixa!$C$53:$BK$53,Caixa!$C$60:$BK$60)/$F$40</f>
        <v>5.2621776942762102</v>
      </c>
      <c r="J79" s="21">
        <f>_xlfn.XLOOKUP($A79,Caixa!$C$53:$BK$53,Caixa!$C$61:$BK$61)/$F$40</f>
        <v>0.20000000000001211</v>
      </c>
    </row>
    <row r="80" spans="1:10" x14ac:dyDescent="0.3">
      <c r="A80" s="26">
        <f t="shared" si="15"/>
        <v>38</v>
      </c>
      <c r="B80" s="277">
        <f>_xlfn.XLOOKUP(Tabela2[[#This Row],[Periodo]],Caixa!$C$2:$BK$2,Caixa!$C$3:$BK$3)</f>
        <v>47391</v>
      </c>
      <c r="C80" s="274">
        <f>_xlfn.XLOOKUP($A80,Caixa!$C$53:$BK$53,Caixa!$C$54:$BK$54)</f>
        <v>2.5004994500317013E-2</v>
      </c>
      <c r="D80" s="274">
        <f>_xlfn.XLOOKUP($A80,Caixa!$C$53:$BK$53,Caixa!$C$55:$BK$55)</f>
        <v>2.5004994500317013E-2</v>
      </c>
      <c r="E80" s="21">
        <f>_xlfn.XLOOKUP($A80,Caixa!$C$53:$BK$53,Caixa!$C$56:$BK$56)/$F$40</f>
        <v>14.748332592908424</v>
      </c>
      <c r="F80" s="21">
        <f>_xlfn.XLOOKUP($A80,Caixa!$C$53:$BK$53,Caixa!$C$57:$BK$57)/$F$40</f>
        <v>9.167072754428395E-17</v>
      </c>
      <c r="G80" s="21">
        <f>_xlfn.XLOOKUP($A80,Caixa!$C$53:$BK$53,Caixa!$C$58:$BK$58)/$F$40</f>
        <v>-1.0796263817408656E-15</v>
      </c>
      <c r="H80" s="21">
        <f>_xlfn.XLOOKUP($A80,Caixa!$C$53:$BK$53,Caixa!$C$59:$BK$59)/$F$40</f>
        <v>14.748332592908426</v>
      </c>
      <c r="I80" s="21">
        <f>_xlfn.XLOOKUP($A80,Caixa!$C$53:$BK$53,Caixa!$C$60:$BK$60)/$F$40</f>
        <v>4.7979893184778444</v>
      </c>
      <c r="J80" s="21">
        <f>_xlfn.XLOOKUP($A80,Caixa!$C$53:$BK$53,Caixa!$C$61:$BK$61)/$F$40</f>
        <v>0.20000000000001211</v>
      </c>
    </row>
    <row r="81" spans="1:10" x14ac:dyDescent="0.3">
      <c r="A81" s="26">
        <f t="shared" si="15"/>
        <v>39</v>
      </c>
      <c r="B81" s="277">
        <f>_xlfn.XLOOKUP(Tabela2[[#This Row],[Periodo]],Caixa!$C$2:$BK$2,Caixa!$C$3:$BK$3)</f>
        <v>47422</v>
      </c>
      <c r="C81" s="274">
        <f>_xlfn.XLOOKUP($A81,Caixa!$C$53:$BK$53,Caixa!$C$54:$BK$54)</f>
        <v>2.4689768576414028E-2</v>
      </c>
      <c r="D81" s="274">
        <f>_xlfn.XLOOKUP($A81,Caixa!$C$53:$BK$53,Caixa!$C$55:$BK$55)</f>
        <v>2.4689768576414028E-2</v>
      </c>
      <c r="E81" s="21">
        <f>_xlfn.XLOOKUP($A81,Caixa!$C$53:$BK$53,Caixa!$C$56:$BK$56)/$F$40</f>
        <v>15.112465511515316</v>
      </c>
      <c r="F81" s="21">
        <f>_xlfn.XLOOKUP($A81,Caixa!$C$53:$BK$53,Caixa!$C$57:$BK$57)/$F$40</f>
        <v>9.2991143755921177E-17</v>
      </c>
      <c r="G81" s="21">
        <f>_xlfn.XLOOKUP($A81,Caixa!$C$53:$BK$53,Caixa!$C$58:$BK$58)/$F$40</f>
        <v>-1.0961528436389362E-15</v>
      </c>
      <c r="H81" s="21">
        <f>_xlfn.XLOOKUP($A81,Caixa!$C$53:$BK$53,Caixa!$C$59:$BK$59)/$F$40</f>
        <v>15.112465511515317</v>
      </c>
      <c r="I81" s="21">
        <f>_xlfn.XLOOKUP($A81,Caixa!$C$53:$BK$53,Caixa!$C$60:$BK$60)/$F$40</f>
        <v>4.852298498761245</v>
      </c>
      <c r="J81" s="21">
        <f>_xlfn.XLOOKUP($A81,Caixa!$C$53:$BK$53,Caixa!$C$61:$BK$61)/$F$40</f>
        <v>0.20000000000001211</v>
      </c>
    </row>
    <row r="82" spans="1:10" x14ac:dyDescent="0.3">
      <c r="A82" s="26">
        <f t="shared" si="15"/>
        <v>40</v>
      </c>
      <c r="B82" s="277">
        <f>_xlfn.XLOOKUP(Tabela2[[#This Row],[Periodo]],Caixa!$C$2:$BK$2,Caixa!$C$3:$BK$3)</f>
        <v>47452</v>
      </c>
      <c r="C82" s="274">
        <f>_xlfn.XLOOKUP($A82,Caixa!$C$53:$BK$53,Caixa!$C$54:$BK$54)</f>
        <v>2.8548601576533938E-2</v>
      </c>
      <c r="D82" s="274">
        <f>_xlfn.XLOOKUP($A82,Caixa!$C$53:$BK$53,Caixa!$C$55:$BK$55)</f>
        <v>2.8548601576533938E-2</v>
      </c>
      <c r="E82" s="21">
        <f>_xlfn.XLOOKUP($A82,Caixa!$C$53:$BK$53,Caixa!$C$56:$BK$56)/$F$40</f>
        <v>15.543905268242677</v>
      </c>
      <c r="F82" s="21">
        <f>_xlfn.XLOOKUP($A82,Caixa!$C$53:$BK$53,Caixa!$C$57:$BK$57)/$F$40</f>
        <v>9.4331329893925501E-17</v>
      </c>
      <c r="G82" s="21">
        <f>_xlfn.XLOOKUP($A82,Caixa!$C$53:$BK$53,Caixa!$C$58:$BK$58)/$F$40</f>
        <v>-1.1129411434575047E-15</v>
      </c>
      <c r="H82" s="21">
        <f>_xlfn.XLOOKUP($A82,Caixa!$C$53:$BK$53,Caixa!$C$59:$BK$59)/$F$40</f>
        <v>15.543905268242678</v>
      </c>
      <c r="I82" s="21">
        <f>_xlfn.XLOOKUP($A82,Caixa!$C$53:$BK$53,Caixa!$C$60:$BK$60)/$F$40</f>
        <v>5.6936174510035693</v>
      </c>
      <c r="J82" s="21">
        <f>_xlfn.XLOOKUP($A82,Caixa!$C$53:$BK$53,Caixa!$C$61:$BK$61)/$F$40</f>
        <v>0.20000000000001211</v>
      </c>
    </row>
    <row r="83" spans="1:10" x14ac:dyDescent="0.3">
      <c r="A83" s="26">
        <f t="shared" si="15"/>
        <v>41</v>
      </c>
      <c r="B83" s="277">
        <f>_xlfn.XLOOKUP(Tabela2[[#This Row],[Periodo]],Caixa!$C$2:$BK$2,Caixa!$C$3:$BK$3)</f>
        <v>47483</v>
      </c>
      <c r="C83" s="274">
        <f>_xlfn.XLOOKUP($A83,Caixa!$C$53:$BK$53,Caixa!$C$54:$BK$54)</f>
        <v>2.5159506581138746E-2</v>
      </c>
      <c r="D83" s="274">
        <f>_xlfn.XLOOKUP($A83,Caixa!$C$53:$BK$53,Caixa!$C$55:$BK$55)</f>
        <v>2.5159506581138746E-2</v>
      </c>
      <c r="E83" s="21">
        <f>_xlfn.XLOOKUP($A83,Caixa!$C$53:$BK$53,Caixa!$C$56:$BK$56)/$F$40</f>
        <v>15.934982255135626</v>
      </c>
      <c r="F83" s="21">
        <f>_xlfn.XLOOKUP($A83,Caixa!$C$53:$BK$53,Caixa!$C$57:$BK$57)/$F$40</f>
        <v>9.5632044615062406E-17</v>
      </c>
      <c r="G83" s="21">
        <f>_xlfn.XLOOKUP($A83,Caixa!$C$53:$BK$53,Caixa!$C$58:$BK$58)/$F$40</f>
        <v>-1.1292486580510333E-15</v>
      </c>
      <c r="H83" s="21">
        <f>_xlfn.XLOOKUP($A83,Caixa!$C$53:$BK$53,Caixa!$C$59:$BK$59)/$F$40</f>
        <v>15.934982255135628</v>
      </c>
      <c r="I83" s="21">
        <f>_xlfn.XLOOKUP($A83,Caixa!$C$53:$BK$53,Caixa!$C$60:$BK$60)/$F$40</f>
        <v>5.1890663053707939</v>
      </c>
      <c r="J83" s="21">
        <f>_xlfn.XLOOKUP($A83,Caixa!$C$53:$BK$53,Caixa!$C$61:$BK$61)/$F$40</f>
        <v>0.20000000000001211</v>
      </c>
    </row>
    <row r="84" spans="1:10" x14ac:dyDescent="0.3">
      <c r="A84" s="26">
        <f t="shared" si="15"/>
        <v>42</v>
      </c>
      <c r="B84" s="277">
        <f>_xlfn.XLOOKUP(Tabela2[[#This Row],[Periodo]],Caixa!$C$2:$BK$2,Caixa!$C$3:$BK$3)</f>
        <v>47514</v>
      </c>
      <c r="C84" s="274">
        <f>_xlfn.XLOOKUP($A84,Caixa!$C$53:$BK$53,Caixa!$C$54:$BK$54)</f>
        <v>2.4838493987175969E-2</v>
      </c>
      <c r="D84" s="274">
        <f>_xlfn.XLOOKUP($A84,Caixa!$C$53:$BK$53,Caixa!$C$55:$BK$55)</f>
        <v>2.4838493987175969E-2</v>
      </c>
      <c r="E84" s="21">
        <f>_xlfn.XLOOKUP($A84,Caixa!$C$53:$BK$53,Caixa!$C$56:$BK$56)/$F$40</f>
        <v>16.330783216065566</v>
      </c>
      <c r="F84" s="21">
        <f>_xlfn.XLOOKUP($A84,Caixa!$C$53:$BK$53,Caixa!$C$57:$BK$57)/$F$40</f>
        <v>9.707227580739554E-17</v>
      </c>
      <c r="G84" s="21">
        <f>_xlfn.XLOOKUP($A84,Caixa!$C$53:$BK$53,Caixa!$C$58:$BK$58)/$F$40</f>
        <v>-1.1473208406013141E-15</v>
      </c>
      <c r="H84" s="21">
        <f>_xlfn.XLOOKUP($A84,Caixa!$C$53:$BK$53,Caixa!$C$59:$BK$59)/$F$40</f>
        <v>16.330783216065569</v>
      </c>
      <c r="I84" s="21">
        <f>_xlfn.XLOOKUP($A84,Caixa!$C$53:$BK$53,Caixa!$C$60:$BK$60)/$F$40</f>
        <v>5.2480994596911863</v>
      </c>
      <c r="J84" s="21">
        <f>_xlfn.XLOOKUP($A84,Caixa!$C$53:$BK$53,Caixa!$C$61:$BK$61)/$F$40</f>
        <v>0.20000000000001211</v>
      </c>
    </row>
    <row r="85" spans="1:10" x14ac:dyDescent="0.3">
      <c r="A85" s="26">
        <f t="shared" si="15"/>
        <v>43</v>
      </c>
      <c r="B85" s="277">
        <f>_xlfn.XLOOKUP(Tabela2[[#This Row],[Periodo]],Caixa!$C$2:$BK$2,Caixa!$C$3:$BK$3)</f>
        <v>47542</v>
      </c>
      <c r="C85" s="274">
        <f>_xlfn.XLOOKUP($A85,Caixa!$C$53:$BK$53,Caixa!$C$54:$BK$54)</f>
        <v>2.8716266971739346E-2</v>
      </c>
      <c r="D85" s="274">
        <f>_xlfn.XLOOKUP($A85,Caixa!$C$53:$BK$53,Caixa!$C$55:$BK$55)</f>
        <v>2.8716266971739124E-2</v>
      </c>
      <c r="E85" s="21">
        <f>_xlfn.XLOOKUP($A85,Caixa!$C$53:$BK$53,Caixa!$C$56:$BK$56)/$F$40</f>
        <v>16.799742346755707</v>
      </c>
      <c r="F85" s="21">
        <f>_xlfn.XLOOKUP($A85,Caixa!$C$53:$BK$53,Caixa!$C$57:$BK$57)/$F$40</f>
        <v>9.835025961949478E-17</v>
      </c>
      <c r="G85" s="21">
        <f>_xlfn.XLOOKUP($A85,Caixa!$C$53:$BK$53,Caixa!$C$58:$BK$58)/$F$40</f>
        <v>-1.1633710954214949E-15</v>
      </c>
      <c r="H85" s="21">
        <f>_xlfn.XLOOKUP($A85,Caixa!$C$53:$BK$53,Caixa!$C$59:$BK$59)/$F$40</f>
        <v>16.799742346755707</v>
      </c>
      <c r="I85" s="21">
        <f>_xlfn.XLOOKUP($A85,Caixa!$C$53:$BK$53,Caixa!$C$60:$BK$60)/$F$40</f>
        <v>6.162576581693707</v>
      </c>
      <c r="J85" s="21">
        <f>_xlfn.XLOOKUP($A85,Caixa!$C$53:$BK$53,Caixa!$C$61:$BK$61)/$F$40</f>
        <v>0.20000000000001211</v>
      </c>
    </row>
    <row r="86" spans="1:10" x14ac:dyDescent="0.3">
      <c r="A86" s="26">
        <f t="shared" si="15"/>
        <v>44</v>
      </c>
      <c r="B86" s="277">
        <f>_xlfn.XLOOKUP(Tabela2[[#This Row],[Periodo]],Caixa!$C$2:$BK$2,Caixa!$C$3:$BK$3)</f>
        <v>47573</v>
      </c>
      <c r="C86" s="274">
        <f>_xlfn.XLOOKUP($A86,Caixa!$C$53:$BK$53,Caixa!$C$54:$BK$54)</f>
        <v>2.5303244662176816E-2</v>
      </c>
      <c r="D86" s="274">
        <f>_xlfn.XLOOKUP($A86,Caixa!$C$53:$BK$53,Caixa!$C$55:$BK$55)</f>
        <v>2.5303244662176816E-2</v>
      </c>
      <c r="E86" s="21">
        <f>_xlfn.XLOOKUP($A86,Caixa!$C$53:$BK$53,Caixa!$C$56:$BK$56)/$F$40</f>
        <v>17.224830337617195</v>
      </c>
      <c r="F86" s="21">
        <f>_xlfn.XLOOKUP($A86,Caixa!$C$53:$BK$53,Caixa!$C$57:$BK$57)/$F$40</f>
        <v>9.9708667122988314E-17</v>
      </c>
      <c r="G86" s="21">
        <f>_xlfn.XLOOKUP($A86,Caixa!$C$53:$BK$53,Caixa!$C$58:$BK$58)/$F$40</f>
        <v>-1.1804444940950411E-15</v>
      </c>
      <c r="H86" s="21">
        <f>_xlfn.XLOOKUP($A86,Caixa!$C$53:$BK$53,Caixa!$C$59:$BK$59)/$F$40</f>
        <v>17.224830337617195</v>
      </c>
      <c r="I86" s="21">
        <f>_xlfn.XLOOKUP($A86,Caixa!$C$53:$BK$53,Caixa!$C$60:$BK$60)/$F$40</f>
        <v>5.6141542962322841</v>
      </c>
      <c r="J86" s="21">
        <f>_xlfn.XLOOKUP($A86,Caixa!$C$53:$BK$53,Caixa!$C$61:$BK$61)/$F$40</f>
        <v>0.20000000000001211</v>
      </c>
    </row>
    <row r="87" spans="1:10" x14ac:dyDescent="0.3">
      <c r="A87" s="26">
        <f t="shared" si="15"/>
        <v>45</v>
      </c>
      <c r="B87" s="277">
        <f>_xlfn.XLOOKUP(Tabela2[[#This Row],[Periodo]],Caixa!$C$2:$BK$2,Caixa!$C$3:$BK$3)</f>
        <v>47603</v>
      </c>
      <c r="C87" s="274">
        <f>_xlfn.XLOOKUP($A87,Caixa!$C$53:$BK$53,Caixa!$C$54:$BK$54)</f>
        <v>2.4976976404897266E-2</v>
      </c>
      <c r="D87" s="274">
        <f>_xlfn.XLOOKUP($A87,Caixa!$C$53:$BK$53,Caixa!$C$55:$BK$55)</f>
        <v>2.4976976404897266E-2</v>
      </c>
      <c r="E87" s="21">
        <f>_xlfn.XLOOKUP($A87,Caixa!$C$53:$BK$53,Caixa!$C$56:$BK$56)/$F$40</f>
        <v>17.655054518538218</v>
      </c>
      <c r="F87" s="21">
        <f>_xlfn.XLOOKUP($A87,Caixa!$C$53:$BK$53,Caixa!$C$57:$BK$57)/$F$40</f>
        <v>1.0108737526233307E-16</v>
      </c>
      <c r="G87" s="21">
        <f>_xlfn.XLOOKUP($A87,Caixa!$C$53:$BK$53,Caixa!$C$58:$BK$58)/$F$40</f>
        <v>-1.1977866870273079E-15</v>
      </c>
      <c r="H87" s="21">
        <f>_xlfn.XLOOKUP($A87,Caixa!$C$53:$BK$53,Caixa!$C$59:$BK$59)/$F$40</f>
        <v>17.655054518538218</v>
      </c>
      <c r="I87" s="21">
        <f>_xlfn.XLOOKUP($A87,Caixa!$C$53:$BK$53,Caixa!$C$60:$BK$60)/$F$40</f>
        <v>5.6783236406122084</v>
      </c>
      <c r="J87" s="21">
        <f>_xlfn.XLOOKUP($A87,Caixa!$C$53:$BK$53,Caixa!$C$61:$BK$61)/$F$40</f>
        <v>0.20000000000001211</v>
      </c>
    </row>
    <row r="88" spans="1:10" x14ac:dyDescent="0.3">
      <c r="A88" s="26">
        <f t="shared" si="15"/>
        <v>46</v>
      </c>
      <c r="B88" s="277">
        <f>_xlfn.XLOOKUP(Tabela2[[#This Row],[Periodo]],Caixa!$C$2:$BK$2,Caixa!$C$3:$BK$3)</f>
        <v>47634</v>
      </c>
      <c r="C88" s="274">
        <f>_xlfn.XLOOKUP($A88,Caixa!$C$53:$BK$53,Caixa!$C$54:$BK$54)</f>
        <v>2.8872407622708041E-2</v>
      </c>
      <c r="D88" s="274">
        <f>_xlfn.XLOOKUP($A88,Caixa!$C$53:$BK$53,Caixa!$C$55:$BK$55)</f>
        <v>2.8872407622708041E-2</v>
      </c>
      <c r="E88" s="21">
        <f>_xlfn.XLOOKUP($A88,Caixa!$C$53:$BK$53,Caixa!$C$56:$BK$56)/$F$40</f>
        <v>18.164798449198585</v>
      </c>
      <c r="F88" s="21">
        <f>_xlfn.XLOOKUP($A88,Caixa!$C$53:$BK$53,Caixa!$C$57:$BK$57)/$F$40</f>
        <v>1.0261317188706299E-16</v>
      </c>
      <c r="G88" s="21">
        <f>_xlfn.XLOOKUP($A88,Caixa!$C$53:$BK$53,Caixa!$C$58:$BK$58)/$F$40</f>
        <v>-1.2169961454962134E-15</v>
      </c>
      <c r="H88" s="21">
        <f>_xlfn.XLOOKUP($A88,Caixa!$C$53:$BK$53,Caixa!$C$59:$BK$59)/$F$40</f>
        <v>18.164798449198585</v>
      </c>
      <c r="I88" s="21">
        <f>_xlfn.XLOOKUP($A88,Caixa!$C$53:$BK$53,Caixa!$C$60:$BK$60)/$F$40</f>
        <v>6.6723205123540756</v>
      </c>
      <c r="J88" s="21">
        <f>_xlfn.XLOOKUP($A88,Caixa!$C$53:$BK$53,Caixa!$C$61:$BK$61)/$F$40</f>
        <v>0.20000000000001211</v>
      </c>
    </row>
    <row r="89" spans="1:10" x14ac:dyDescent="0.3">
      <c r="A89" s="26">
        <f t="shared" si="15"/>
        <v>47</v>
      </c>
      <c r="B89" s="277">
        <f>_xlfn.XLOOKUP(Tabela2[[#This Row],[Periodo]],Caixa!$C$2:$BK$2,Caixa!$C$3:$BK$3)</f>
        <v>47664</v>
      </c>
      <c r="C89" s="274">
        <f>_xlfn.XLOOKUP($A89,Caixa!$C$53:$BK$53,Caixa!$C$54:$BK$54)</f>
        <v>2.5436838045004961E-2</v>
      </c>
      <c r="D89" s="274">
        <f>_xlfn.XLOOKUP($A89,Caixa!$C$53:$BK$53,Caixa!$C$55:$BK$55)</f>
        <v>2.5436838045004961E-2</v>
      </c>
      <c r="E89" s="21">
        <f>_xlfn.XLOOKUP($A89,Caixa!$C$53:$BK$53,Caixa!$C$56:$BK$56)/$F$40</f>
        <v>18.626853485471006</v>
      </c>
      <c r="F89" s="21">
        <f>_xlfn.XLOOKUP($A89,Caixa!$C$53:$BK$53,Caixa!$C$57:$BK$57)/$F$40</f>
        <v>1.0396712400559261E-16</v>
      </c>
      <c r="G89" s="21">
        <f>_xlfn.XLOOKUP($A89,Caixa!$C$53:$BK$53,Caixa!$C$58:$BK$58)/$F$40</f>
        <v>-1.2340569680017399E-15</v>
      </c>
      <c r="H89" s="21">
        <f>_xlfn.XLOOKUP($A89,Caixa!$C$53:$BK$53,Caixa!$C$59:$BK$59)/$F$40</f>
        <v>18.626853485471006</v>
      </c>
      <c r="I89" s="21">
        <f>_xlfn.XLOOKUP($A89,Caixa!$C$53:$BK$53,Caixa!$C$60:$BK$60)/$F$40</f>
        <v>6.0762093325047042</v>
      </c>
      <c r="J89" s="21">
        <f>_xlfn.XLOOKUP($A89,Caixa!$C$53:$BK$53,Caixa!$C$61:$BK$61)/$F$40</f>
        <v>0.20000000000001211</v>
      </c>
    </row>
    <row r="90" spans="1:10" x14ac:dyDescent="0.3">
      <c r="A90" s="26">
        <f t="shared" si="15"/>
        <v>48</v>
      </c>
      <c r="B90" s="277">
        <f>_xlfn.XLOOKUP(Tabela2[[#This Row],[Periodo]],Caixa!$C$2:$BK$2,Caixa!$C$3:$BK$3)</f>
        <v>47695</v>
      </c>
      <c r="C90" s="274">
        <f>_xlfn.XLOOKUP($A90,Caixa!$C$53:$BK$53,Caixa!$C$54:$BK$54)</f>
        <v>2.5105497048635739E-2</v>
      </c>
      <c r="D90" s="274">
        <f>_xlfn.XLOOKUP($A90,Caixa!$C$53:$BK$53,Caixa!$C$55:$BK$55)</f>
        <v>2.5105497048635739E-2</v>
      </c>
      <c r="E90" s="21">
        <f>_xlfn.XLOOKUP($A90,Caixa!$C$53:$BK$53,Caixa!$C$56:$BK$56)/$F$40</f>
        <v>19.094489900675871</v>
      </c>
      <c r="F90" s="21">
        <f>_xlfn.XLOOKUP($A90,Caixa!$C$53:$BK$53,Caixa!$C$57:$BK$57)/$F$40</f>
        <v>1.0547136962288109E-16</v>
      </c>
      <c r="G90" s="21">
        <f>_xlfn.XLOOKUP($A90,Caixa!$C$53:$BK$53,Caixa!$C$58:$BK$58)/$F$40</f>
        <v>-1.2530271435675517E-15</v>
      </c>
      <c r="H90" s="21">
        <f>_xlfn.XLOOKUP($A90,Caixa!$C$53:$BK$53,Caixa!$C$59:$BK$59)/$F$40</f>
        <v>19.094489900675871</v>
      </c>
      <c r="I90" s="21">
        <f>_xlfn.XLOOKUP($A90,Caixa!$C$53:$BK$53,Caixa!$C$60:$BK$60)/$F$40</f>
        <v>6.1459600558170715</v>
      </c>
      <c r="J90" s="21">
        <f>_xlfn.XLOOKUP($A90,Caixa!$C$53:$BK$53,Caixa!$C$61:$BK$61)/$F$40</f>
        <v>0.20000000000001211</v>
      </c>
    </row>
    <row r="91" spans="1:10" x14ac:dyDescent="0.3">
      <c r="A91" s="26">
        <f t="shared" si="15"/>
        <v>49</v>
      </c>
      <c r="B91" s="277">
        <f>_xlfn.XLOOKUP(Tabela2[[#This Row],[Periodo]],Caixa!$C$2:$BK$2,Caixa!$C$3:$BK$3)</f>
        <v>47726</v>
      </c>
      <c r="C91" s="274">
        <f>_xlfn.XLOOKUP($A91,Caixa!$C$53:$BK$53,Caixa!$C$54:$BK$54)</f>
        <v>2.9017320110315881E-2</v>
      </c>
      <c r="D91" s="274">
        <f>_xlfn.XLOOKUP($A91,Caixa!$C$53:$BK$53,Caixa!$C$55:$BK$55)</f>
        <v>2.9017320110315881E-2</v>
      </c>
      <c r="E91" s="21">
        <f>_xlfn.XLOOKUP($A91,Caixa!$C$53:$BK$53,Caixa!$C$56:$BK$56)/$F$40</f>
        <v>19.648560826466973</v>
      </c>
      <c r="F91" s="21">
        <f>_xlfn.XLOOKUP($A91,Caixa!$C$53:$BK$53,Caixa!$C$57:$BK$57)/$F$40</f>
        <v>1.0699737937858135E-16</v>
      </c>
      <c r="G91" s="21">
        <f>_xlfn.XLOOKUP($A91,Caixa!$C$53:$BK$53,Caixa!$C$58:$BK$58)/$F$40</f>
        <v>-1.2722889325437074E-15</v>
      </c>
      <c r="H91" s="21">
        <f>_xlfn.XLOOKUP($A91,Caixa!$C$53:$BK$53,Caixa!$C$59:$BK$59)/$F$40</f>
        <v>19.648560826466973</v>
      </c>
      <c r="I91" s="21">
        <f>_xlfn.XLOOKUP($A91,Caixa!$C$53:$BK$53,Caixa!$C$60:$BK$60)/$F$40</f>
        <v>7.226391438145181</v>
      </c>
      <c r="J91" s="21">
        <f>_xlfn.XLOOKUP($A91,Caixa!$C$53:$BK$53,Caixa!$C$61:$BK$61)/$F$40</f>
        <v>0.20000000000001211</v>
      </c>
    </row>
    <row r="92" spans="1:10" x14ac:dyDescent="0.3">
      <c r="A92" s="26">
        <f t="shared" si="15"/>
        <v>50</v>
      </c>
      <c r="B92" s="277">
        <f>_xlfn.XLOOKUP(Tabela2[[#This Row],[Periodo]],Caixa!$C$2:$BK$2,Caixa!$C$3:$BK$3)</f>
        <v>47756</v>
      </c>
      <c r="C92" s="274">
        <f>_xlfn.XLOOKUP($A92,Caixa!$C$53:$BK$53,Caixa!$C$54:$BK$54)</f>
        <v>2.5560986947828157E-2</v>
      </c>
      <c r="D92" s="274">
        <f>_xlfn.XLOOKUP($A92,Caixa!$C$53:$BK$53,Caixa!$C$55:$BK$55)</f>
        <v>2.5560986947828157E-2</v>
      </c>
      <c r="E92" s="21">
        <f>_xlfn.XLOOKUP($A92,Caixa!$C$53:$BK$53,Caixa!$C$56:$BK$56)/$F$40</f>
        <v>20.150797433295903</v>
      </c>
      <c r="F92" s="21">
        <f>_xlfn.XLOOKUP($A92,Caixa!$C$53:$BK$53,Caixa!$C$57:$BK$57)/$F$40</f>
        <v>1.0841075447135156E-16</v>
      </c>
      <c r="G92" s="21">
        <f>_xlfn.XLOOKUP($A92,Caixa!$C$53:$BK$53,Caixa!$C$58:$BK$58)/$F$40</f>
        <v>-1.2901436317668791E-15</v>
      </c>
      <c r="H92" s="21">
        <f>_xlfn.XLOOKUP($A92,Caixa!$C$53:$BK$53,Caixa!$C$59:$BK$59)/$F$40</f>
        <v>20.150797433295903</v>
      </c>
      <c r="I92" s="21">
        <f>_xlfn.XLOOKUP($A92,Caixa!$C$53:$BK$53,Caixa!$C$60:$BK$60)/$F$40</f>
        <v>6.5784459393336308</v>
      </c>
      <c r="J92" s="21">
        <f>_xlfn.XLOOKUP($A92,Caixa!$C$53:$BK$53,Caixa!$C$61:$BK$61)/$F$40</f>
        <v>0.20000000000001211</v>
      </c>
    </row>
    <row r="93" spans="1:10" x14ac:dyDescent="0.3">
      <c r="A93" s="26">
        <f t="shared" si="15"/>
        <v>51</v>
      </c>
      <c r="B93" s="277">
        <f>_xlfn.XLOOKUP(Tabela2[[#This Row],[Periodo]],Caixa!$C$2:$BK$2,Caixa!$C$3:$BK$3)</f>
        <v>47787</v>
      </c>
      <c r="C93" s="274">
        <f>_xlfn.XLOOKUP($A93,Caixa!$C$53:$BK$53,Caixa!$C$54:$BK$54)</f>
        <v>2.520986752336829E-2</v>
      </c>
      <c r="D93" s="274">
        <f>_xlfn.XLOOKUP($A93,Caixa!$C$53:$BK$53,Caixa!$C$55:$BK$55)</f>
        <v>2.520986752336829E-2</v>
      </c>
      <c r="E93" s="21">
        <f>_xlfn.XLOOKUP($A93,Caixa!$C$53:$BK$53,Caixa!$C$56:$BK$56)/$F$40</f>
        <v>20.658796367079521</v>
      </c>
      <c r="F93" s="21">
        <f>_xlfn.XLOOKUP($A93,Caixa!$C$53:$BK$53,Caixa!$C$57:$BK$57)/$F$40</f>
        <v>1.1004891571932871E-16</v>
      </c>
      <c r="G93" s="21">
        <f>_xlfn.XLOOKUP($A93,Caixa!$C$53:$BK$53,Caixa!$C$58:$BK$58)/$F$40</f>
        <v>-1.31085602024987E-15</v>
      </c>
      <c r="H93" s="21">
        <f>_xlfn.XLOOKUP($A93,Caixa!$C$53:$BK$53,Caixa!$C$59:$BK$59)/$F$40</f>
        <v>20.658796367079521</v>
      </c>
      <c r="I93" s="21">
        <f>_xlfn.XLOOKUP($A93,Caixa!$C$53:$BK$53,Caixa!$C$60:$BK$60)/$F$40</f>
        <v>6.6539589896006941</v>
      </c>
      <c r="J93" s="21">
        <f>_xlfn.XLOOKUP($A93,Caixa!$C$53:$BK$53,Caixa!$C$61:$BK$61)/$F$40</f>
        <v>0.20000000000001211</v>
      </c>
    </row>
    <row r="94" spans="1:10" x14ac:dyDescent="0.3">
      <c r="A94" s="26">
        <f t="shared" si="15"/>
        <v>52</v>
      </c>
      <c r="B94" s="277">
        <f>_xlfn.XLOOKUP(Tabela2[[#This Row],[Periodo]],Caixa!$C$2:$BK$2,Caixa!$C$3:$BK$3)</f>
        <v>47817</v>
      </c>
      <c r="C94" s="274">
        <f>_xlfn.XLOOKUP($A94,Caixa!$C$53:$BK$53,Caixa!$C$54:$BK$54)</f>
        <v>2.9137753901272267E-2</v>
      </c>
      <c r="D94" s="274">
        <f>_xlfn.XLOOKUP($A94,Caixa!$C$53:$BK$53,Caixa!$C$55:$BK$55)</f>
        <v>2.9137753901272267E-2</v>
      </c>
      <c r="E94" s="21">
        <f>_xlfn.XLOOKUP($A94,Caixa!$C$53:$BK$53,Caixa!$C$56:$BK$56)/$F$40</f>
        <v>21.260747291519984</v>
      </c>
      <c r="F94" s="21">
        <f>_xlfn.XLOOKUP($A94,Caixa!$C$53:$BK$53,Caixa!$C$57:$BK$57)/$F$40</f>
        <v>1.1157314865010411E-16</v>
      </c>
      <c r="G94" s="21">
        <f>_xlfn.XLOOKUP($A94,Caixa!$C$53:$BK$53,Caixa!$C$58:$BK$58)/$F$40</f>
        <v>-1.3301444776379062E-15</v>
      </c>
      <c r="H94" s="21">
        <f>_xlfn.XLOOKUP($A94,Caixa!$C$53:$BK$53,Caixa!$C$59:$BK$59)/$F$40</f>
        <v>21.260747291519984</v>
      </c>
      <c r="I94" s="21">
        <f>_xlfn.XLOOKUP($A94,Caixa!$C$53:$BK$53,Caixa!$C$60:$BK$60)/$F$40</f>
        <v>7.8283423625856443</v>
      </c>
      <c r="J94" s="21">
        <f>_xlfn.XLOOKUP($A94,Caixa!$C$53:$BK$53,Caixa!$C$61:$BK$61)/$F$40</f>
        <v>0.20000000000001211</v>
      </c>
    </row>
    <row r="95" spans="1:10" x14ac:dyDescent="0.3">
      <c r="A95" s="26">
        <f t="shared" si="15"/>
        <v>53</v>
      </c>
      <c r="B95" s="277">
        <f>_xlfn.XLOOKUP(Tabela2[[#This Row],[Periodo]],Caixa!$C$2:$BK$2,Caixa!$C$3:$BK$3)</f>
        <v>47848</v>
      </c>
      <c r="C95" s="274">
        <f>_xlfn.XLOOKUP($A95,Caixa!$C$53:$BK$53,Caixa!$C$54:$BK$54)</f>
        <v>2.5662683917272666E-2</v>
      </c>
      <c r="D95" s="274">
        <f>_xlfn.XLOOKUP($A95,Caixa!$C$53:$BK$53,Caixa!$C$55:$BK$55)</f>
        <v>2.5662683917272666E-2</v>
      </c>
      <c r="E95" s="21">
        <f>_xlfn.XLOOKUP($A95,Caixa!$C$53:$BK$53,Caixa!$C$56:$BK$56)/$F$40</f>
        <v>21.806355129107274</v>
      </c>
      <c r="F95" s="21">
        <f>_xlfn.XLOOKUP($A95,Caixa!$C$53:$BK$53,Caixa!$C$57:$BK$57)/$F$40</f>
        <v>1.1311849297495432E-16</v>
      </c>
      <c r="G95" s="21">
        <f>_xlfn.XLOOKUP($A95,Caixa!$C$53:$BK$53,Caixa!$C$58:$BK$58)/$F$40</f>
        <v>-1.3497167530674838E-15</v>
      </c>
      <c r="H95" s="21">
        <f>_xlfn.XLOOKUP($A95,Caixa!$C$53:$BK$53,Caixa!$C$59:$BK$59)/$F$40</f>
        <v>21.806355129107274</v>
      </c>
      <c r="I95" s="21">
        <f>_xlfn.XLOOKUP($A95,Caixa!$C$53:$BK$53,Caixa!$C$60:$BK$60)/$F$40</f>
        <v>7.1240537769209205</v>
      </c>
      <c r="J95" s="21">
        <f>_xlfn.XLOOKUP($A95,Caixa!$C$53:$BK$53,Caixa!$C$61:$BK$61)/$F$40</f>
        <v>0.20000000000001211</v>
      </c>
    </row>
    <row r="96" spans="1:10" x14ac:dyDescent="0.3">
      <c r="A96" s="26">
        <f t="shared" si="15"/>
        <v>54</v>
      </c>
      <c r="B96" s="277">
        <f>_xlfn.XLOOKUP(Tabela2[[#This Row],[Periodo]],Caixa!$C$2:$BK$2,Caixa!$C$3:$BK$3)</f>
        <v>47879</v>
      </c>
      <c r="C96" s="274">
        <f>_xlfn.XLOOKUP($A96,Caixa!$C$53:$BK$53,Caixa!$C$54:$BK$54)</f>
        <v>2.5321709497768463E-2</v>
      </c>
      <c r="D96" s="274">
        <f>_xlfn.XLOOKUP($A96,Caixa!$C$53:$BK$53,Caixa!$C$55:$BK$55)</f>
        <v>2.5321709497768463E-2</v>
      </c>
      <c r="E96" s="21">
        <f>_xlfn.XLOOKUP($A96,Caixa!$C$53:$BK$53,Caixa!$C$56:$BK$56)/$F$40</f>
        <v>22.358529318891701</v>
      </c>
      <c r="F96" s="21">
        <f>_xlfn.XLOOKUP($A96,Caixa!$C$53:$BK$53,Caixa!$C$57:$BK$57)/$F$40</f>
        <v>1.1482874430363334E-16</v>
      </c>
      <c r="G96" s="21">
        <f>_xlfn.XLOOKUP($A96,Caixa!$C$53:$BK$53,Caixa!$C$58:$BK$58)/$F$40</f>
        <v>-1.3713969284877052E-15</v>
      </c>
      <c r="H96" s="21">
        <f>_xlfn.XLOOKUP($A96,Caixa!$C$53:$BK$53,Caixa!$C$59:$BK$59)/$F$40</f>
        <v>22.358529318891701</v>
      </c>
      <c r="I96" s="21">
        <f>_xlfn.XLOOKUP($A96,Caixa!$C$53:$BK$53,Caixa!$C$60:$BK$60)/$F$40</f>
        <v>7.2061331793851195</v>
      </c>
      <c r="J96" s="21">
        <f>_xlfn.XLOOKUP($A96,Caixa!$C$53:$BK$53,Caixa!$C$61:$BK$61)/$F$40</f>
        <v>0.20000000000001211</v>
      </c>
    </row>
    <row r="97" spans="1:15" x14ac:dyDescent="0.3">
      <c r="A97" s="26">
        <f t="shared" si="15"/>
        <v>55</v>
      </c>
      <c r="B97" s="277">
        <f>_xlfn.XLOOKUP(Tabela2[[#This Row],[Periodo]],Caixa!$C$2:$BK$2,Caixa!$C$3:$BK$3)</f>
        <v>47907</v>
      </c>
      <c r="C97" s="274">
        <f>_xlfn.XLOOKUP($A97,Caixa!$C$53:$BK$53,Caixa!$C$54:$BK$54)</f>
        <v>2.9512991114667653E-2</v>
      </c>
      <c r="D97" s="274">
        <f>_xlfn.XLOOKUP($A97,Caixa!$C$53:$BK$53,Caixa!$C$55:$BK$55)</f>
        <v>2.9512991114667653E-2</v>
      </c>
      <c r="E97" s="21">
        <f>_xlfn.XLOOKUP($A97,Caixa!$C$53:$BK$53,Caixa!$C$56:$BK$56)/$F$40</f>
        <v>23.018396396017188</v>
      </c>
      <c r="F97" s="21">
        <f>_xlfn.XLOOKUP($A97,Caixa!$C$53:$BK$53,Caixa!$C$57:$BK$57)/$F$40</f>
        <v>1.1634641212763698E-16</v>
      </c>
      <c r="G97" s="21">
        <f>_xlfn.XLOOKUP($A97,Caixa!$C$53:$BK$53,Caixa!$C$58:$BK$58)/$F$40</f>
        <v>-1.3906525600932122E-15</v>
      </c>
      <c r="H97" s="21">
        <f>_xlfn.XLOOKUP($A97,Caixa!$C$53:$BK$53,Caixa!$C$59:$BK$59)/$F$40</f>
        <v>23.018396396017188</v>
      </c>
      <c r="I97" s="21">
        <f>_xlfn.XLOOKUP($A97,Caixa!$C$53:$BK$53,Caixa!$C$60:$BK$60)/$F$40</f>
        <v>8</v>
      </c>
      <c r="J97" s="21">
        <f>_xlfn.XLOOKUP($A97,Caixa!$C$53:$BK$53,Caixa!$C$61:$BK$61)/$F$40</f>
        <v>0.68820943971114423</v>
      </c>
    </row>
    <row r="98" spans="1:15" x14ac:dyDescent="0.3">
      <c r="A98" s="26">
        <f t="shared" si="15"/>
        <v>56</v>
      </c>
      <c r="B98" s="277">
        <f>_xlfn.XLOOKUP(Tabela2[[#This Row],[Periodo]],Caixa!$C$2:$BK$2,Caixa!$C$3:$BK$3)</f>
        <v>47938</v>
      </c>
      <c r="C98" s="274">
        <f>_xlfn.XLOOKUP($A98,Caixa!$C$53:$BK$53,Caixa!$C$54:$BK$54)</f>
        <v>2.586724921905903E-2</v>
      </c>
      <c r="D98" s="274">
        <f>_xlfn.XLOOKUP($A98,Caixa!$C$53:$BK$53,Caixa!$C$55:$BK$55)</f>
        <v>2.586724921905903E-2</v>
      </c>
      <c r="E98" s="21">
        <f>_xlfn.XLOOKUP($A98,Caixa!$C$53:$BK$53,Caixa!$C$56:$BK$56)/$F$40</f>
        <v>23.613818992216054</v>
      </c>
      <c r="F98" s="21">
        <f>_xlfn.XLOOKUP($A98,Caixa!$C$53:$BK$53,Caixa!$C$57:$BK$57)/$F$40</f>
        <v>1.1795786855665622E-16</v>
      </c>
      <c r="G98" s="21">
        <f>_xlfn.XLOOKUP($A98,Caixa!$C$53:$BK$53,Caixa!$C$58:$BK$58)/$F$40</f>
        <v>-1.411115175538811E-15</v>
      </c>
      <c r="H98" s="21">
        <f>_xlfn.XLOOKUP($A98,Caixa!$C$53:$BK$53,Caixa!$C$59:$BK$59)/$F$40</f>
        <v>23.613818992216054</v>
      </c>
      <c r="I98" s="21">
        <f>_xlfn.XLOOKUP($A98,Caixa!$C$53:$BK$53,Caixa!$C$60:$BK$60)/$F$40</f>
        <v>8</v>
      </c>
      <c r="J98" s="21">
        <f>_xlfn.XLOOKUP($A98,Caixa!$C$53:$BK$53,Caixa!$C$61:$BK$61)/$F$40</f>
        <v>0.4076858128309287</v>
      </c>
    </row>
    <row r="99" spans="1:15" x14ac:dyDescent="0.3">
      <c r="A99" s="26">
        <f t="shared" si="15"/>
        <v>57</v>
      </c>
      <c r="B99" s="277">
        <f>_xlfn.XLOOKUP(Tabela2[[#This Row],[Periodo]],Caixa!$C$2:$BK$2,Caixa!$C$3:$BK$3)</f>
        <v>47968</v>
      </c>
      <c r="C99" s="274">
        <f>_xlfn.XLOOKUP($A99,Caixa!$C$53:$BK$53,Caixa!$C$54:$BK$54)</f>
        <v>2.5423784017922113E-2</v>
      </c>
      <c r="D99" s="274">
        <f>_xlfn.XLOOKUP($A99,Caixa!$C$53:$BK$53,Caixa!$C$55:$BK$55)</f>
        <v>2.5423784017922113E-2</v>
      </c>
      <c r="E99" s="21">
        <f>_xlfn.XLOOKUP($A99,Caixa!$C$53:$BK$53,Caixa!$C$56:$BK$56)/$F$40</f>
        <v>24.214171626112464</v>
      </c>
      <c r="F99" s="21">
        <f>_xlfn.XLOOKUP($A99,Caixa!$C$53:$BK$53,Caixa!$C$57:$BK$57)/$F$40</f>
        <v>1.196673939198122E-16</v>
      </c>
      <c r="G99" s="21">
        <f>_xlfn.XLOOKUP($A99,Caixa!$C$53:$BK$53,Caixa!$C$58:$BK$58)/$F$40</f>
        <v>-1.4328413107242386E-15</v>
      </c>
      <c r="H99" s="21">
        <f>_xlfn.XLOOKUP($A99,Caixa!$C$53:$BK$53,Caixa!$C$59:$BK$59)/$F$40</f>
        <v>24.214171626112464</v>
      </c>
      <c r="I99" s="21">
        <f>_xlfn.XLOOKUP($A99,Caixa!$C$53:$BK$53,Caixa!$C$60:$BK$60)/$F$40</f>
        <v>8</v>
      </c>
      <c r="J99" s="21">
        <f>_xlfn.XLOOKUP($A99,Caixa!$C$53:$BK$53,Caixa!$C$61:$BK$61)/$F$40</f>
        <v>0.2141716261124583</v>
      </c>
    </row>
    <row r="100" spans="1:15" x14ac:dyDescent="0.3">
      <c r="A100" s="26">
        <f t="shared" si="15"/>
        <v>58</v>
      </c>
      <c r="B100" s="277">
        <f>_xlfn.XLOOKUP(Tabela2[[#This Row],[Periodo]],Caixa!$C$2:$BK$2,Caixa!$C$3:$BK$3)</f>
        <v>47999</v>
      </c>
      <c r="C100" s="274">
        <f>_xlfn.XLOOKUP($A100,Caixa!$C$53:$BK$53,Caixa!$C$54:$BK$54)</f>
        <v>2.7963717593706638E-2</v>
      </c>
      <c r="D100" s="274">
        <f>_xlfn.XLOOKUP($A100,Caixa!$C$53:$BK$53,Caixa!$C$55:$BK$55)</f>
        <v>2.7963717593706638E-2</v>
      </c>
      <c r="E100" s="21">
        <f>_xlfn.XLOOKUP($A100,Caixa!$C$53:$BK$53,Caixa!$C$56:$BK$56)/$F$40</f>
        <v>24.89128988323062</v>
      </c>
      <c r="F100" s="21">
        <f>_xlfn.XLOOKUP($A100,Caixa!$C$53:$BK$53,Caixa!$C$57:$BK$57)/$F$40</f>
        <v>1.2140169488296023E-16</v>
      </c>
      <c r="G100" s="21">
        <f>_xlfn.XLOOKUP($A100,Caixa!$C$53:$BK$53,Caixa!$C$58:$BK$58)/$F$40</f>
        <v>-1.4549019508163372E-15</v>
      </c>
      <c r="H100" s="21">
        <f>_xlfn.XLOOKUP($A100,Caixa!$C$53:$BK$53,Caixa!$C$59:$BK$59)/$F$40</f>
        <v>24.89128988323062</v>
      </c>
      <c r="I100" s="21">
        <f>_xlfn.XLOOKUP($A100,Caixa!$C$53:$BK$53,Caixa!$C$60:$BK$60)/$F$40</f>
        <v>8</v>
      </c>
      <c r="J100" s="21">
        <f>_xlfn.XLOOKUP($A100,Caixa!$C$53:$BK$53,Caixa!$C$61:$BK$61)/$F$40</f>
        <v>0.89128988323060987</v>
      </c>
    </row>
    <row r="101" spans="1:15" x14ac:dyDescent="0.3">
      <c r="A101" s="26">
        <f t="shared" si="15"/>
        <v>59</v>
      </c>
      <c r="B101" s="277">
        <f>_xlfn.XLOOKUP(Tabela2[[#This Row],[Periodo]],Caixa!$C$2:$BK$2,Caixa!$C$3:$BK$3)</f>
        <v>48029</v>
      </c>
      <c r="C101" s="274">
        <f>_xlfn.XLOOKUP($A101,Caixa!$C$53:$BK$53,Caixa!$C$54:$BK$54)</f>
        <v>2.7517309774300447E-2</v>
      </c>
      <c r="D101" s="274">
        <f>_xlfn.XLOOKUP($A101,Caixa!$C$53:$BK$53,Caixa!$C$55:$BK$55)</f>
        <v>2.7517309774300447E-2</v>
      </c>
      <c r="E101" s="21">
        <f>_xlfn.XLOOKUP($A101,Caixa!$C$53:$BK$53,Caixa!$C$56:$BK$56)/$F$40</f>
        <v>25.576231217629385</v>
      </c>
      <c r="F101" s="21">
        <f>_xlfn.XLOOKUP($A101,Caixa!$C$53:$BK$53,Caixa!$C$57:$BK$57)/$F$40</f>
        <v>1.2300712913889751E-16</v>
      </c>
      <c r="G101" s="21">
        <f>_xlfn.XLOOKUP($A101,Caixa!$C$53:$BK$53,Caixa!$C$58:$BK$58)/$F$40</f>
        <v>-1.4753407789386333E-15</v>
      </c>
      <c r="H101" s="21">
        <f>_xlfn.XLOOKUP($A101,Caixa!$C$53:$BK$53,Caixa!$C$59:$BK$59)/$F$40</f>
        <v>25.576231217629385</v>
      </c>
      <c r="I101" s="21">
        <f>_xlfn.XLOOKUP($A101,Caixa!$C$53:$BK$53,Caixa!$C$60:$BK$60)/$F$40</f>
        <v>8</v>
      </c>
      <c r="J101" s="21">
        <f>_xlfn.XLOOKUP($A101,Caixa!$C$53:$BK$53,Caixa!$C$61:$BK$61)/$F$40</f>
        <v>1.5762312176293778</v>
      </c>
    </row>
    <row r="102" spans="1:15" x14ac:dyDescent="0.3">
      <c r="A102" s="26">
        <f t="shared" si="15"/>
        <v>60</v>
      </c>
      <c r="B102" s="277">
        <f>_xlfn.XLOOKUP(Tabela2[[#This Row],[Periodo]],Caixa!$C$2:$BK$2,Caixa!$C$3:$BK$3)</f>
        <v>48060</v>
      </c>
      <c r="C102" s="274">
        <f>_xlfn.XLOOKUP($A102,Caixa!$C$53:$BK$53,Caixa!$C$54:$BK$54)</f>
        <v>2.7089792456479245E-2</v>
      </c>
      <c r="D102" s="274">
        <f>_xlfn.XLOOKUP($A102,Caixa!$C$53:$BK$53,Caixa!$C$55:$BK$55)</f>
        <v>2.7089792456479245E-2</v>
      </c>
      <c r="E102" s="21">
        <f>_xlfn.XLOOKUP($A102,Caixa!$C$53:$BK$53,Caixa!$C$56:$BK$56)/$F$40</f>
        <v>26.26908601313389</v>
      </c>
      <c r="F102" s="21">
        <f>_xlfn.XLOOKUP($A102,Caixa!$C$53:$BK$53,Caixa!$C$57:$BK$57)/$F$40</f>
        <v>1.2486792400541674E-16</v>
      </c>
      <c r="G102" s="21">
        <f>_xlfn.XLOOKUP($A102,Caixa!$C$53:$BK$53,Caixa!$C$58:$BK$58)/$F$40</f>
        <v>-1.4990512616457949E-15</v>
      </c>
      <c r="H102" s="21">
        <f>_xlfn.XLOOKUP($A102,Caixa!$C$53:$BK$53,Caixa!$C$59:$BK$59)/$F$40</f>
        <v>26.26908601313389</v>
      </c>
      <c r="I102" s="21">
        <f>_xlfn.XLOOKUP($A102,Caixa!$C$53:$BK$53,Caixa!$C$60:$BK$60)/$F$40</f>
        <v>8</v>
      </c>
      <c r="J102" s="21">
        <f>_xlfn.XLOOKUP($A102,Caixa!$C$53:$BK$53,Caixa!$C$61:$BK$61)/$F$40</f>
        <v>2.2690860131338835</v>
      </c>
    </row>
    <row r="104" spans="1:15" x14ac:dyDescent="0.3">
      <c r="L104" s="276" t="s">
        <v>186</v>
      </c>
      <c r="M104" t="s">
        <v>190</v>
      </c>
      <c r="N104" t="s">
        <v>191</v>
      </c>
      <c r="O104" t="s">
        <v>192</v>
      </c>
    </row>
    <row r="105" spans="1:15" x14ac:dyDescent="0.3">
      <c r="L105" s="30">
        <v>0</v>
      </c>
      <c r="M105" s="1">
        <v>2.5</v>
      </c>
      <c r="N105" s="1">
        <v>2.5</v>
      </c>
      <c r="O105" s="1">
        <v>5</v>
      </c>
    </row>
    <row r="106" spans="1:15" x14ac:dyDescent="0.3">
      <c r="L106" s="30">
        <v>1</v>
      </c>
      <c r="M106" s="1">
        <v>2.5134324847493752</v>
      </c>
      <c r="N106" s="1">
        <v>2.5143084047351172</v>
      </c>
      <c r="O106" s="1">
        <v>4.986907080470278</v>
      </c>
    </row>
    <row r="107" spans="1:15" x14ac:dyDescent="0.3">
      <c r="L107" s="30">
        <v>2</v>
      </c>
      <c r="M107" s="1">
        <v>2.5478640760800357</v>
      </c>
      <c r="N107" s="1">
        <v>2.5510225283579357</v>
      </c>
      <c r="O107" s="1">
        <v>4.9264302866513168</v>
      </c>
    </row>
    <row r="108" spans="1:15" x14ac:dyDescent="0.3">
      <c r="L108" s="30">
        <v>3</v>
      </c>
      <c r="M108" s="1">
        <v>2.5826844764254795</v>
      </c>
      <c r="N108" s="1">
        <v>2.5881897073288336</v>
      </c>
      <c r="O108" s="1">
        <v>4.8305564492542743</v>
      </c>
    </row>
    <row r="109" spans="1:15" x14ac:dyDescent="0.3">
      <c r="L109" s="30">
        <v>4</v>
      </c>
      <c r="M109" s="1">
        <v>2.6148924537885994</v>
      </c>
      <c r="N109" s="1">
        <v>2.6225976826015929</v>
      </c>
      <c r="O109" s="1">
        <v>5.0161626416801495</v>
      </c>
    </row>
    <row r="110" spans="1:15" x14ac:dyDescent="0.3">
      <c r="L110" s="30">
        <v>5</v>
      </c>
      <c r="M110" s="1">
        <v>2.6522380911753785</v>
      </c>
      <c r="N110" s="1">
        <v>2.6625261278319439</v>
      </c>
      <c r="O110" s="1">
        <v>5.1908786493495276</v>
      </c>
    </row>
    <row r="111" spans="1:15" x14ac:dyDescent="0.3">
      <c r="L111" s="30">
        <v>6</v>
      </c>
      <c r="M111" s="1">
        <v>2.6870017967507649</v>
      </c>
      <c r="N111" s="1">
        <v>2.6997231369141996</v>
      </c>
      <c r="O111" s="1">
        <v>5.3709123717807659</v>
      </c>
    </row>
    <row r="112" spans="1:15" x14ac:dyDescent="0.3">
      <c r="L112" s="30">
        <v>7</v>
      </c>
      <c r="M112" s="1">
        <v>2.7190762464480409</v>
      </c>
      <c r="N112" s="1">
        <v>2.7340656063955362</v>
      </c>
      <c r="O112" s="1">
        <v>5.5959437511553221</v>
      </c>
    </row>
    <row r="113" spans="12:15" x14ac:dyDescent="0.3">
      <c r="L113" s="30">
        <v>8</v>
      </c>
      <c r="M113" s="1">
        <v>2.7564796588441327</v>
      </c>
      <c r="N113" s="1">
        <v>2.7741443335219671</v>
      </c>
      <c r="O113" s="1">
        <v>5.792376920367813</v>
      </c>
    </row>
    <row r="114" spans="12:15" x14ac:dyDescent="0.3">
      <c r="L114" s="30">
        <v>9</v>
      </c>
      <c r="M114" s="1">
        <v>2.7944647753070022</v>
      </c>
      <c r="N114" s="1">
        <v>2.8148782518511815</v>
      </c>
      <c r="O114" s="1">
        <v>5.9875779153746391</v>
      </c>
    </row>
    <row r="115" spans="12:15" x14ac:dyDescent="0.3">
      <c r="L115" s="30">
        <v>10</v>
      </c>
      <c r="M115" s="1">
        <v>2.8313531663276641</v>
      </c>
      <c r="N115" s="1">
        <v>2.8544663096457104</v>
      </c>
      <c r="O115" s="1">
        <v>6.2279046764207706</v>
      </c>
    </row>
    <row r="116" spans="12:15" x14ac:dyDescent="0.3">
      <c r="L116" s="30">
        <v>11</v>
      </c>
      <c r="M116" s="1">
        <v>2.8704620503902687</v>
      </c>
      <c r="N116" s="1">
        <v>2.8964724508034645</v>
      </c>
      <c r="O116" s="1">
        <v>6.4445338143626509</v>
      </c>
    </row>
    <row r="117" spans="12:15" x14ac:dyDescent="0.3">
      <c r="L117" s="30">
        <v>12</v>
      </c>
      <c r="M117" s="1">
        <v>2.9101810618141002</v>
      </c>
      <c r="N117" s="1">
        <v>2.939167372677006</v>
      </c>
      <c r="O117" s="1">
        <v>6.6598691729286053</v>
      </c>
    </row>
    <row r="118" spans="12:15" x14ac:dyDescent="0.3">
      <c r="L118" s="30">
        <v>13</v>
      </c>
      <c r="M118" s="1">
        <v>2.6676659733295915</v>
      </c>
      <c r="N118" s="1">
        <v>2.9807088907689221</v>
      </c>
      <c r="O118" s="1">
        <v>6.9271298840982478</v>
      </c>
    </row>
    <row r="119" spans="12:15" x14ac:dyDescent="0.3">
      <c r="L119" s="30">
        <v>14</v>
      </c>
      <c r="M119" s="1">
        <v>2.4251508848450829</v>
      </c>
      <c r="N119" s="1">
        <v>3.0248391992358732</v>
      </c>
      <c r="O119" s="1">
        <v>7.1726108060557578</v>
      </c>
    </row>
    <row r="120" spans="12:15" x14ac:dyDescent="0.3">
      <c r="L120" s="30">
        <v>15</v>
      </c>
      <c r="M120" s="1">
        <v>2.1826357963605747</v>
      </c>
      <c r="N120" s="1">
        <v>3.0677794239540126</v>
      </c>
      <c r="O120" s="1">
        <v>7.4240013976888335</v>
      </c>
    </row>
    <row r="121" spans="12:15" x14ac:dyDescent="0.3">
      <c r="L121" s="30">
        <v>16</v>
      </c>
      <c r="M121" s="1">
        <v>1.9401207078760663</v>
      </c>
      <c r="N121" s="1">
        <v>3.1114482276462394</v>
      </c>
      <c r="O121" s="1">
        <v>7.7042754045472277</v>
      </c>
    </row>
    <row r="122" spans="12:15" x14ac:dyDescent="0.3">
      <c r="L122" s="30">
        <v>17</v>
      </c>
      <c r="M122" s="1">
        <v>1.6976056193915581</v>
      </c>
      <c r="N122" s="1">
        <v>3.1599543118478484</v>
      </c>
      <c r="O122" s="1">
        <v>7.9581062400625235</v>
      </c>
    </row>
    <row r="123" spans="12:15" x14ac:dyDescent="0.3">
      <c r="L123" s="30">
        <v>18</v>
      </c>
      <c r="M123" s="1">
        <v>1.4550905309070497</v>
      </c>
      <c r="N123" s="1">
        <v>3.2051557158548261</v>
      </c>
      <c r="O123" s="1">
        <v>8.2212001418868201</v>
      </c>
    </row>
    <row r="124" spans="12:15" x14ac:dyDescent="0.3">
      <c r="L124" s="30">
        <v>19</v>
      </c>
      <c r="M124" s="1">
        <v>1.2125754424225412</v>
      </c>
      <c r="N124" s="1">
        <v>3.2511278961860786</v>
      </c>
      <c r="O124" s="1">
        <v>8.5157635009730015</v>
      </c>
    </row>
    <row r="125" spans="12:15" x14ac:dyDescent="0.3">
      <c r="L125" s="30">
        <v>20</v>
      </c>
      <c r="M125" s="1">
        <v>0.97006035393803303</v>
      </c>
      <c r="N125" s="1">
        <v>3.3021417669585045</v>
      </c>
      <c r="O125" s="1">
        <v>8.7827451358372617</v>
      </c>
    </row>
    <row r="126" spans="12:15" x14ac:dyDescent="0.3">
      <c r="L126" s="30">
        <v>21</v>
      </c>
      <c r="M126" s="1">
        <v>0.72754526545352483</v>
      </c>
      <c r="N126" s="1">
        <v>3.3475326881991601</v>
      </c>
      <c r="O126" s="1">
        <v>9.0615809327569963</v>
      </c>
    </row>
    <row r="127" spans="12:15" x14ac:dyDescent="0.3">
      <c r="L127" s="30">
        <v>22</v>
      </c>
      <c r="M127" s="1">
        <v>0.48503017696901651</v>
      </c>
      <c r="N127" s="1">
        <v>3.3980169975099468</v>
      </c>
      <c r="O127" s="1">
        <v>9.3693846186164063</v>
      </c>
    </row>
    <row r="128" spans="12:15" x14ac:dyDescent="0.3">
      <c r="L128" s="30">
        <v>23</v>
      </c>
      <c r="M128" s="1">
        <v>0.2425150884845082</v>
      </c>
      <c r="N128" s="1">
        <v>3.449372730076691</v>
      </c>
      <c r="O128" s="1">
        <v>9.653488916709323</v>
      </c>
    </row>
    <row r="129" spans="12:15" x14ac:dyDescent="0.3">
      <c r="L129" s="30">
        <v>24</v>
      </c>
      <c r="M129" s="1">
        <v>7.549516567451065E-17</v>
      </c>
      <c r="N129" s="1">
        <v>3.4992751111551241</v>
      </c>
      <c r="O129" s="1">
        <v>9.9440776685941685</v>
      </c>
    </row>
    <row r="130" spans="12:15" x14ac:dyDescent="0.3">
      <c r="L130" s="30">
        <v>25</v>
      </c>
      <c r="M130" s="1">
        <v>7.6618122175788737E-17</v>
      </c>
      <c r="N130" s="1">
        <v>3.2076688518921972</v>
      </c>
      <c r="O130" s="1">
        <v>10.268480418539518</v>
      </c>
    </row>
    <row r="131" spans="12:15" x14ac:dyDescent="0.3">
      <c r="L131" s="30">
        <v>26</v>
      </c>
      <c r="M131" s="1">
        <v>7.7662758687507139E-17</v>
      </c>
      <c r="N131" s="1">
        <v>2.9160625926292698</v>
      </c>
      <c r="O131" s="1">
        <v>10.573424024440493</v>
      </c>
    </row>
    <row r="132" spans="12:15" x14ac:dyDescent="0.3">
      <c r="L132" s="30">
        <v>27</v>
      </c>
      <c r="M132" s="1">
        <v>7.8722838564770462E-17</v>
      </c>
      <c r="N132" s="1">
        <v>2.6244563333663429</v>
      </c>
      <c r="O132" s="1">
        <v>10.884420106231522</v>
      </c>
    </row>
    <row r="133" spans="12:15" x14ac:dyDescent="0.3">
      <c r="L133" s="30">
        <v>28</v>
      </c>
      <c r="M133" s="1">
        <v>7.9847214860733327E-17</v>
      </c>
      <c r="N133" s="1">
        <v>2.3328500741034155</v>
      </c>
      <c r="O133" s="1">
        <v>11.227012056310706</v>
      </c>
    </row>
    <row r="134" spans="12:15" x14ac:dyDescent="0.3">
      <c r="L134" s="30">
        <v>29</v>
      </c>
      <c r="M134" s="1">
        <v>8.0938963047417531E-17</v>
      </c>
      <c r="N134" s="1">
        <v>2.0412438148404881</v>
      </c>
      <c r="O134" s="1">
        <v>11.545586072391492</v>
      </c>
    </row>
    <row r="135" spans="12:15" x14ac:dyDescent="0.3">
      <c r="L135" s="30">
        <v>30</v>
      </c>
      <c r="M135" s="1">
        <v>8.209695423161118E-17</v>
      </c>
      <c r="N135" s="1">
        <v>1.7496375555775612</v>
      </c>
      <c r="O135" s="1">
        <v>11.869430534019212</v>
      </c>
    </row>
    <row r="136" spans="12:15" x14ac:dyDescent="0.3">
      <c r="L136" s="30">
        <v>31</v>
      </c>
      <c r="M136" s="1">
        <v>8.3169318590248878E-17</v>
      </c>
      <c r="N136" s="1">
        <v>1.4580312963146342</v>
      </c>
      <c r="O136" s="1">
        <v>12.231856087110151</v>
      </c>
    </row>
    <row r="137" spans="12:15" x14ac:dyDescent="0.3">
      <c r="L137" s="30">
        <v>32</v>
      </c>
      <c r="M137" s="1">
        <v>8.4361235604012002E-17</v>
      </c>
      <c r="N137" s="1">
        <v>1.1664250370517071</v>
      </c>
      <c r="O137" s="1">
        <v>12.564357421975881</v>
      </c>
    </row>
    <row r="138" spans="12:15" x14ac:dyDescent="0.3">
      <c r="L138" s="30">
        <v>33</v>
      </c>
      <c r="M138" s="1">
        <v>8.5465662700490827E-17</v>
      </c>
      <c r="N138" s="1">
        <v>0.87481877778877981</v>
      </c>
      <c r="O138" s="1">
        <v>12.905673587817494</v>
      </c>
    </row>
    <row r="139" spans="12:15" x14ac:dyDescent="0.3">
      <c r="L139" s="30">
        <v>34</v>
      </c>
      <c r="M139" s="1">
        <v>8.6745580712108867E-17</v>
      </c>
      <c r="N139" s="1">
        <v>0.58321251852585299</v>
      </c>
      <c r="O139" s="1">
        <v>13.284524271407955</v>
      </c>
    </row>
    <row r="140" spans="12:15" x14ac:dyDescent="0.3">
      <c r="L140" s="30">
        <v>35</v>
      </c>
      <c r="M140" s="1">
        <v>8.7936340169038506E-17</v>
      </c>
      <c r="N140" s="1">
        <v>0.29160625926292583</v>
      </c>
      <c r="O140" s="1">
        <v>13.634141235479227</v>
      </c>
    </row>
    <row r="141" spans="12:15" x14ac:dyDescent="0.3">
      <c r="L141" s="30">
        <v>36</v>
      </c>
      <c r="M141" s="1">
        <v>8.9144803172549937E-17</v>
      </c>
      <c r="N141" s="1">
        <v>-1.0480505352461477E-15</v>
      </c>
      <c r="O141" s="1">
        <v>13.991627765305685</v>
      </c>
    </row>
    <row r="142" spans="12:15" x14ac:dyDescent="0.3">
      <c r="L142" s="30">
        <v>37</v>
      </c>
      <c r="M142" s="1">
        <v>9.0482826561668444E-17</v>
      </c>
      <c r="N142" s="1">
        <v>-1.0647701841253281E-15</v>
      </c>
      <c r="O142" s="1">
        <v>14.388547052981066</v>
      </c>
    </row>
    <row r="143" spans="12:15" x14ac:dyDescent="0.3">
      <c r="L143" s="30">
        <v>38</v>
      </c>
      <c r="M143" s="1">
        <v>9.167072754428395E-17</v>
      </c>
      <c r="N143" s="1">
        <v>-1.0796263817408656E-15</v>
      </c>
      <c r="O143" s="1">
        <v>14.748332592908413</v>
      </c>
    </row>
    <row r="144" spans="12:15" x14ac:dyDescent="0.3">
      <c r="L144" s="30">
        <v>39</v>
      </c>
      <c r="M144" s="1">
        <v>9.2991143755921177E-17</v>
      </c>
      <c r="N144" s="1">
        <v>-1.0961528436389362E-15</v>
      </c>
      <c r="O144" s="1">
        <v>15.112465511515307</v>
      </c>
    </row>
    <row r="145" spans="12:15" x14ac:dyDescent="0.3">
      <c r="L145" s="30">
        <v>40</v>
      </c>
      <c r="M145" s="1">
        <v>9.4331329893925501E-17</v>
      </c>
      <c r="N145" s="1">
        <v>-1.1129411434575047E-15</v>
      </c>
      <c r="O145" s="1">
        <v>15.543905268242666</v>
      </c>
    </row>
    <row r="146" spans="12:15" x14ac:dyDescent="0.3">
      <c r="L146" s="30">
        <v>41</v>
      </c>
      <c r="M146" s="1">
        <v>9.5632044615062406E-17</v>
      </c>
      <c r="N146" s="1">
        <v>-1.1292486580510333E-15</v>
      </c>
      <c r="O146" s="1">
        <v>15.934982255135616</v>
      </c>
    </row>
    <row r="147" spans="12:15" x14ac:dyDescent="0.3">
      <c r="L147" s="30">
        <v>42</v>
      </c>
      <c r="M147" s="1">
        <v>9.707227580739554E-17</v>
      </c>
      <c r="N147" s="1">
        <v>-1.1473208406013141E-15</v>
      </c>
      <c r="O147" s="1">
        <v>16.330783216065559</v>
      </c>
    </row>
    <row r="148" spans="12:15" x14ac:dyDescent="0.3">
      <c r="L148" s="30">
        <v>43</v>
      </c>
      <c r="M148" s="1">
        <v>9.835025961949478E-17</v>
      </c>
      <c r="N148" s="1">
        <v>-1.1633710954214949E-15</v>
      </c>
      <c r="O148" s="1">
        <v>16.799742346755696</v>
      </c>
    </row>
    <row r="149" spans="12:15" x14ac:dyDescent="0.3">
      <c r="L149" s="30">
        <v>44</v>
      </c>
      <c r="M149" s="1">
        <v>9.9708667122988314E-17</v>
      </c>
      <c r="N149" s="1">
        <v>-1.1804444940950411E-15</v>
      </c>
      <c r="O149" s="1">
        <v>17.224830337617185</v>
      </c>
    </row>
    <row r="150" spans="12:15" x14ac:dyDescent="0.3">
      <c r="L150" s="30">
        <v>45</v>
      </c>
      <c r="M150" s="1">
        <v>1.0108737526233307E-16</v>
      </c>
      <c r="N150" s="1">
        <v>-1.1977866870273079E-15</v>
      </c>
      <c r="O150" s="1">
        <v>17.655054518538208</v>
      </c>
    </row>
    <row r="151" spans="12:15" x14ac:dyDescent="0.3">
      <c r="L151" s="30">
        <v>46</v>
      </c>
      <c r="M151" s="1">
        <v>1.0261317188706299E-16</v>
      </c>
      <c r="N151" s="1">
        <v>-1.2169961454962134E-15</v>
      </c>
      <c r="O151" s="1">
        <v>18.164798449198575</v>
      </c>
    </row>
    <row r="152" spans="12:15" x14ac:dyDescent="0.3">
      <c r="L152" s="30">
        <v>47</v>
      </c>
      <c r="M152" s="1">
        <v>1.0396712400559261E-16</v>
      </c>
      <c r="N152" s="1">
        <v>-1.2340569680017399E-15</v>
      </c>
      <c r="O152" s="1">
        <v>18.626853485470996</v>
      </c>
    </row>
    <row r="153" spans="12:15" x14ac:dyDescent="0.3">
      <c r="L153" s="30">
        <v>48</v>
      </c>
      <c r="M153" s="1">
        <v>1.0547136962288109E-16</v>
      </c>
      <c r="N153" s="1">
        <v>-1.2530271435675517E-15</v>
      </c>
      <c r="O153" s="1">
        <v>19.09448990067586</v>
      </c>
    </row>
    <row r="154" spans="12:15" x14ac:dyDescent="0.3">
      <c r="L154" s="30">
        <v>49</v>
      </c>
      <c r="M154" s="1">
        <v>1.0699737937858135E-16</v>
      </c>
      <c r="N154" s="1">
        <v>-1.2722889325437074E-15</v>
      </c>
      <c r="O154" s="1">
        <v>19.648560826466962</v>
      </c>
    </row>
    <row r="155" spans="12:15" x14ac:dyDescent="0.3">
      <c r="L155" s="30">
        <v>50</v>
      </c>
      <c r="M155" s="1">
        <v>1.0841075447135156E-16</v>
      </c>
      <c r="N155" s="1">
        <v>-1.2901436317668791E-15</v>
      </c>
      <c r="O155" s="1">
        <v>20.150797433295892</v>
      </c>
    </row>
    <row r="156" spans="12:15" x14ac:dyDescent="0.3">
      <c r="L156" s="30">
        <v>51</v>
      </c>
      <c r="M156" s="1">
        <v>1.1004891571932871E-16</v>
      </c>
      <c r="N156" s="1">
        <v>-1.31085602024987E-15</v>
      </c>
      <c r="O156" s="1">
        <v>20.658796367079511</v>
      </c>
    </row>
    <row r="157" spans="12:15" x14ac:dyDescent="0.3">
      <c r="L157" s="30">
        <v>52</v>
      </c>
      <c r="M157" s="1">
        <v>1.1157314865010411E-16</v>
      </c>
      <c r="N157" s="1">
        <v>-1.3301444776379062E-15</v>
      </c>
      <c r="O157" s="1">
        <v>21.260747291519973</v>
      </c>
    </row>
    <row r="158" spans="12:15" x14ac:dyDescent="0.3">
      <c r="L158" s="30">
        <v>53</v>
      </c>
      <c r="M158" s="1">
        <v>1.1311849297495432E-16</v>
      </c>
      <c r="N158" s="1">
        <v>-1.3497167530674838E-15</v>
      </c>
      <c r="O158" s="1">
        <v>21.806355129107263</v>
      </c>
    </row>
    <row r="159" spans="12:15" x14ac:dyDescent="0.3">
      <c r="L159" s="30">
        <v>54</v>
      </c>
      <c r="M159" s="1">
        <v>1.1482874430363334E-16</v>
      </c>
      <c r="N159" s="1">
        <v>-1.3713969284877052E-15</v>
      </c>
      <c r="O159" s="1">
        <v>22.358529318891691</v>
      </c>
    </row>
    <row r="160" spans="12:15" x14ac:dyDescent="0.3">
      <c r="L160" s="30">
        <v>55</v>
      </c>
      <c r="M160" s="1">
        <v>1.1634641212763698E-16</v>
      </c>
      <c r="N160" s="1">
        <v>-1.3906525600932122E-15</v>
      </c>
      <c r="O160" s="1">
        <v>23.018396396017174</v>
      </c>
    </row>
    <row r="161" spans="12:15" x14ac:dyDescent="0.3">
      <c r="L161" s="30">
        <v>56</v>
      </c>
      <c r="M161" s="1">
        <v>1.1795786855665622E-16</v>
      </c>
      <c r="N161" s="1">
        <v>-1.411115175538811E-15</v>
      </c>
      <c r="O161" s="1">
        <v>23.613818992216043</v>
      </c>
    </row>
    <row r="162" spans="12:15" x14ac:dyDescent="0.3">
      <c r="L162" s="30">
        <v>57</v>
      </c>
      <c r="M162" s="1">
        <v>1.196673939198122E-16</v>
      </c>
      <c r="N162" s="1">
        <v>-1.4328413107242386E-15</v>
      </c>
      <c r="O162" s="1">
        <v>24.214171626112453</v>
      </c>
    </row>
    <row r="163" spans="12:15" x14ac:dyDescent="0.3">
      <c r="L163" s="30">
        <v>58</v>
      </c>
      <c r="M163" s="1">
        <v>1.2140169488296023E-16</v>
      </c>
      <c r="N163" s="1">
        <v>-1.4549019508163372E-15</v>
      </c>
      <c r="O163" s="1">
        <v>24.891289883230606</v>
      </c>
    </row>
    <row r="164" spans="12:15" x14ac:dyDescent="0.3">
      <c r="L164" s="30">
        <v>59</v>
      </c>
      <c r="M164" s="1">
        <v>1.2300712913889751E-16</v>
      </c>
      <c r="N164" s="1">
        <v>-1.4753407789386333E-15</v>
      </c>
      <c r="O164" s="1">
        <v>25.576231217629374</v>
      </c>
    </row>
    <row r="165" spans="12:15" x14ac:dyDescent="0.3">
      <c r="L165" s="30">
        <v>60</v>
      </c>
      <c r="M165" s="1">
        <v>1.2486792400541674E-16</v>
      </c>
      <c r="N165" s="1">
        <v>-1.4990512616457949E-15</v>
      </c>
      <c r="O165" s="1">
        <v>26.269086013133876</v>
      </c>
    </row>
    <row r="166" spans="12:15" x14ac:dyDescent="0.3">
      <c r="L166" s="30" t="s">
        <v>187</v>
      </c>
      <c r="M166" s="1">
        <v>2.9101810618141002</v>
      </c>
      <c r="N166" s="1">
        <v>3.4992751111551241</v>
      </c>
      <c r="O166" s="1">
        <v>26.269086013133876</v>
      </c>
    </row>
  </sheetData>
  <conditionalFormatting sqref="J4:J35">
    <cfRule type="expression" dxfId="14" priority="4">
      <formula>ROUND(J4,4)&lt;&gt;0</formula>
    </cfRule>
  </conditionalFormatting>
  <conditionalFormatting sqref="T4:T20">
    <cfRule type="expression" dxfId="13" priority="3">
      <formula>ROUND(T4,4)&lt;&gt;0</formula>
    </cfRule>
  </conditionalFormatting>
  <conditionalFormatting sqref="T21:T35">
    <cfRule type="expression" dxfId="12" priority="1">
      <formula>ROUND(T21,4)&lt;&gt;0</formula>
    </cfRule>
  </conditionalFormatting>
  <pageMargins left="0.511811024" right="0.511811024" top="0.78740157499999996" bottom="0.78740157499999996" header="0.31496062000000002" footer="0.31496062000000002"/>
  <ignoredErrors>
    <ignoredError sqref="D21:H21 D4:H4" formulaRange="1"/>
  </ignoredErrors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ba5cc7-82c9-442a-8065-00a572b32fad">
      <Terms xmlns="http://schemas.microsoft.com/office/infopath/2007/PartnerControls"/>
    </lcf76f155ced4ddcb4097134ff3c332f>
    <TaxCatchAll xmlns="699af678-ae11-424b-a4fc-9ec858b57bc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7D409F42288542892C49D29C86D0BC" ma:contentTypeVersion="11" ma:contentTypeDescription="Create a new document." ma:contentTypeScope="" ma:versionID="d39db22d9ad75b844a40424b9ad5c89a">
  <xsd:schema xmlns:xsd="http://www.w3.org/2001/XMLSchema" xmlns:xs="http://www.w3.org/2001/XMLSchema" xmlns:p="http://schemas.microsoft.com/office/2006/metadata/properties" xmlns:ns2="fdba5cc7-82c9-442a-8065-00a572b32fad" xmlns:ns3="699af678-ae11-424b-a4fc-9ec858b57bc5" targetNamespace="http://schemas.microsoft.com/office/2006/metadata/properties" ma:root="true" ma:fieldsID="a54fbd25bde74a0a50bab933bfd720cc" ns2:_="" ns3:_="">
    <xsd:import namespace="fdba5cc7-82c9-442a-8065-00a572b32fad"/>
    <xsd:import namespace="699af678-ae11-424b-a4fc-9ec858b57b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ba5cc7-82c9-442a-8065-00a572b32f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92e871de-d2a3-4be5-9580-ddd41ffbcdd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9af678-ae11-424b-a4fc-9ec858b57bc5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e6b9215-83c2-44e9-99f7-57ad760ad41a}" ma:internalName="TaxCatchAll" ma:showField="CatchAllData" ma:web="699af678-ae11-424b-a4fc-9ec858b57bc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AD5658-34AD-41CE-8F91-22CC1950C2C8}">
  <ds:schemaRefs>
    <ds:schemaRef ds:uri="http://purl.org/dc/terms/"/>
    <ds:schemaRef ds:uri="fdba5cc7-82c9-442a-8065-00a572b32fad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699af678-ae11-424b-a4fc-9ec858b57bc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F0167C5-F303-48C9-B564-E15DBC5E14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ba5cc7-82c9-442a-8065-00a572b32fad"/>
    <ds:schemaRef ds:uri="699af678-ae11-424b-a4fc-9ec858b57b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7CC00D-412F-4204-B3AD-41E8FB4AE0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CDI</vt:lpstr>
      <vt:lpstr>Inputs</vt:lpstr>
      <vt:lpstr>Curva DI</vt:lpstr>
      <vt:lpstr>Caixa</vt:lpstr>
      <vt:lpstr>Custos FIDC</vt:lpstr>
      <vt:lpstr>Carteira</vt:lpstr>
      <vt:lpstr>Classes</vt:lpstr>
      <vt:lpstr>Resultados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Igor Baitelo</dc:creator>
  <cp:keywords/>
  <dc:description/>
  <cp:lastModifiedBy>Vitor Eduardo Preto Martins</cp:lastModifiedBy>
  <cp:revision/>
  <dcterms:created xsi:type="dcterms:W3CDTF">2018-05-21T18:07:14Z</dcterms:created>
  <dcterms:modified xsi:type="dcterms:W3CDTF">2026-09-24T22:17:33Z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0x010100A27D409F42288542892C49D29C86D0BC</vt:lpwstr>
  </property>
  <property fmtid="{D5CDD505-2E9C-101B-9397-08002B2CF9AE}" pid="3" name="Versão final">
    <vt:bool>false</vt:bool>
  </property>
  <property fmtid="{D5CDD505-2E9C-101B-9397-08002B2CF9AE}" pid="4" name="MediaServiceImageTags">
    <vt:lpwstr/>
  </property>
</Properties>
</file>